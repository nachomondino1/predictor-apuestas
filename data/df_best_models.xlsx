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s actuales" sheetId="1" r:id="rId4"/>
    <sheet state="visible" name="Sheet35" sheetId="2" r:id="rId5"/>
    <sheet state="hidden" name="Modelo semana 24" sheetId="3" r:id="rId6"/>
    <sheet state="hidden" name="Modelo semana 25" sheetId="4" r:id="rId7"/>
    <sheet state="hidden" name="Modelo semana 26" sheetId="5" r:id="rId8"/>
    <sheet state="hidden" name="Modelo semana 27" sheetId="6" r:id="rId9"/>
    <sheet state="visible" name="Data preparation" sheetId="7" r:id="rId10"/>
    <sheet state="visible" name="Framework" sheetId="8" r:id="rId11"/>
    <sheet state="visible" name="Reseña modelos" sheetId="9" r:id="rId12"/>
    <sheet state="visible" name="Metricas semana 33" sheetId="10" r:id="rId13"/>
    <sheet state="visible" name="Metricas semana 34" sheetId="11" r:id="rId14"/>
    <sheet state="visible" name="Semana 35" sheetId="12" r:id="rId15"/>
    <sheet state="visible" name="Metricas semana 35 - roi" sheetId="13" r:id="rId16"/>
    <sheet state="visible" name="Metricas semana 35 - f1_score" sheetId="14" r:id="rId17"/>
    <sheet state="visible" name="Sheet28" sheetId="15" r:id="rId18"/>
  </sheets>
  <definedNames>
    <definedName hidden="1" localSheetId="0" name="_xlnm._FilterDatabase">'Modelos actuales'!$A$1:$L$8</definedName>
    <definedName hidden="1" localSheetId="7" name="_xlnm._FilterDatabase">Framework!$A$2:$P$22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Fecha de entrenamiento de modelos</t>
      </text>
    </comment>
    <comment authorId="0" ref="K1">
      <text>
        <t xml:space="preserve">ultima actualizacion: Sabado semana 33</t>
      </text>
    </comment>
    <comment authorId="0" ref="L1">
      <text>
        <t xml:space="preserve">Alarma si llega a 20%. En ese caso, podria ser conveniente reentrenar modellos</t>
      </text>
    </comment>
    <comment authorId="0" ref="A1">
      <text>
        <t xml:space="preserve">tengo que comparar dif_acc con bet puesto que los test cambian entre entrenamientos y con el lo facil o dificil que fueron esos partidos. Tal vez justo se dio una muy buena racha en un train y una muy mala en el otro.
	-Tiptopia Mondino
----
Por que usar 0? Porque no quiero ampliar la diferencia entre los ROI de las ligas.
	-Tiptopia Mondino
En ITA y GER donde castigo mucho el m_to_use, estoy dejando plata por usar un stake muy bajo.
	-Tiptopia Mondino
----
Por que usar sum? Porque cada liga puede tener ≠ numero de partidos. Ligas con mas partidos, pueden tener mismo Average stake pero mas ROI que otra.
	-Tiptopia Mondino
Por que usar $ y no % bank? Proque en una liga pudo haber apostado mas $ dado que el bank inicial era mas grande ese dia. Eso hace mas probable que las G/P sean mas grandes.
	-Tiptopia Mondino</t>
      </text>
    </comment>
    <comment authorId="0" ref="J1">
      <text>
        <t xml:space="preserve">Tener presente que al multiplicador de roi con estrategia hay que aplicarle el porc_m para que sea el multiplicador de roi a esperar en producción puesto que aplico la estrategia en dicho porcentaje.
	-Tiptopia Mondino
----
EVITAR MODELOS OUTLIER AL DEFINIR EL M_TO_USE. EN INGLATERRA, EVITAR EL 808, HACE QUE USEMOS UN M_TO_USE MAS GRANDE Y LUEGO ENCIMA PIERDE TODO....
	-Tiptopia Mondino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5">
      <text>
        <t xml:space="preserve">Fecha de entrenamiento de modelos</t>
      </text>
    </comment>
    <comment authorId="0" ref="M65">
      <text>
        <t xml:space="preserve">los que mas valor tienen suelen tener un rdo mucho mas rentable que otro.
</t>
      </text>
    </comment>
    <comment authorId="0" ref="M68">
      <text>
        <t xml:space="preserve">el empate...</t>
      </text>
    </comment>
    <comment authorId="0" ref="E77">
      <text>
        <t xml:space="preserve">Fecha de entrenamiento de modelos</t>
      </text>
    </comment>
    <comment authorId="0" ref="Q77">
      <text>
        <t xml:space="preserve">los que mas valor tienen suelen tener un rdo mucho mas rentable que otro.
</t>
      </text>
    </comment>
    <comment authorId="0" ref="Q80">
      <text>
        <t xml:space="preserve">el empate...</t>
      </text>
    </comment>
    <comment authorId="0" ref="E96">
      <text>
        <t xml:space="preserve">Fecha de entrenamiento de modelos</t>
      </text>
    </comment>
    <comment authorId="0" ref="P96">
      <text>
        <t xml:space="preserve">los que mas valor tienen suelen tener un rdo mucho mas rentable que otro.
</t>
      </text>
    </comment>
    <comment authorId="0" ref="P99">
      <text>
        <t xml:space="preserve">el empate...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2">
      <text>
        <t xml:space="preserve">Fecha de entrenamiento de modelos</t>
      </text>
    </comment>
    <comment authorId="0" ref="O32">
      <text>
        <t xml:space="preserve">los que mas valor tienen suelen tener un rdo mucho mas rentable que otro.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no el mejor pero el de los menos golpeados</t>
      </text>
    </comment>
    <comment authorId="0" ref="H18">
      <text>
        <t xml:space="preserve">344
1,484
</t>
      </text>
    </comment>
    <comment authorId="0" ref="I18">
      <text>
        <t xml:space="preserve">no se.</t>
      </text>
    </comment>
    <comment authorId="0" ref="H20">
      <text>
        <t xml:space="preserve">a lo sumo 1082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8">
      <text>
        <t xml:space="preserve">no se donde poner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Partidos nueva temp
101</t>
      </text>
    </comment>
    <comment authorId="0" ref="G35">
      <text>
        <t xml:space="preserve">45 - 50%</t>
      </text>
    </comment>
    <comment authorId="0" ref="H35">
      <text>
        <t xml:space="preserve">25 - 30%</t>
      </text>
    </comment>
    <comment authorId="0" ref="I35">
      <text>
        <t xml:space="preserve">20 - 25%
</t>
      </text>
    </comment>
    <comment authorId="0" ref="W35">
      <text>
        <t xml:space="preserve">o 3960
Me gusta mas el 4863 porque tiene mayor roin_sin_ea y ex_roi_sin_ea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sensibilidad a datos de entrada que cambian toda la distribucion de probas ante el mas minimo cambio.</t>
      </text>
    </comment>
    <comment authorId="0" ref="G5">
      <text>
        <t xml:space="preserve">Predicciones uniformes 33-33-33</t>
      </text>
    </comment>
    <comment authorId="0" ref="F7">
      <text>
        <t xml:space="preserve">puede cambiar assess y prod por una tener formaciones y al otra no pero sino es 0% la dif?</t>
      </text>
    </comment>
    <comment authorId="0" ref="G11">
      <text>
        <t xml:space="preserve">Puede ser DEFICIENTE segun el min_samples_leaf que uses. 
Si usas un min samples leaf de 1 o 4 las distribuciones de probas pueden ser del tipo:
1-0-0
0,8-0-0,2
0,5-0,5-0
0-0-1
asi.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los otros son max roi.
El error tiene mas corr entre test y prod. Y necesita de menos robustez en datasets de test y prod que el roi.
</t>
      </text>
    </comment>
    <comment authorId="0" ref="C3">
      <text>
        <t xml:space="preserve">SPA: Me hizo darme cuenta que los que mejor les fue en assess son los de f1_score alto... --&gt; empiezo a usar como metrica general "f1_score" en vez de error o roi...</t>
      </text>
    </comment>
    <comment authorId="0" ref="G4">
      <text>
        <t xml:space="preserve">SALIO 22º EL 342 CON 33 DE ROI. 
</t>
      </text>
    </comment>
    <comment authorId="0" ref="J4">
      <text>
        <t xml:space="preserve">pesos: 0.33 a todos</t>
      </text>
    </comment>
    <comment authorId="0" ref="K4">
      <text>
        <t xml:space="preserve">pesos: 
0.66 Expected_error
0.165 Error
0.165 gp_res</t>
      </text>
    </comment>
    <comment authorId="0" ref="S4">
      <text>
        <t xml:space="preserve">pesos: 0.33 a todos</t>
      </text>
    </comment>
    <comment authorId="0" ref="T4">
      <text>
        <t xml:space="preserve">pesos: 
0.66 Expected_error
0.165 Error
0.165 gp_res</t>
      </text>
    </comment>
    <comment authorId="0" ref="AH4">
      <text>
        <t xml:space="preserve">pesos: 0.33 a todos</t>
      </text>
    </comment>
    <comment authorId="0" ref="AI4">
      <text>
        <t xml:space="preserve">pesos: 
0.66 Expected_error
0.165 Error
0.165 gp_res</t>
      </text>
    </comment>
    <comment authorId="0" ref="AW4">
      <text>
        <t xml:space="preserve">pesos: 0.33 a todos</t>
      </text>
    </comment>
    <comment authorId="0" ref="AX4">
      <text>
        <t xml:space="preserve">pesos: 
0.66 Expected_error
0.165 Error
0.165 gp_res</t>
      </text>
    </comment>
    <comment authorId="0" ref="BN4">
      <text>
        <t xml:space="preserve">pesos: 0.33 a todos</t>
      </text>
    </comment>
    <comment authorId="0" ref="BO4">
      <text>
        <t xml:space="preserve">pesos: 
0.66 Expected_error
0.165 Error
0.165 gp_res</t>
      </text>
    </comment>
    <comment authorId="0" ref="N5">
      <text>
        <t xml:space="preserve">Aun puedo ajustar pesos. Con + peso en expected creo que aparece el de 33.5 de roi y ahi el roi prom quedaria parecido.</t>
      </text>
    </comment>
    <comment authorId="0" ref="S5">
      <text>
        <t xml:space="preserve">de todas maneras el error max es de 1.05 a diferencia de los otros donde es &gt;1.15</t>
      </text>
    </comment>
    <comment authorId="0" ref="BB5">
      <text>
        <t xml:space="preserve">sin los ultimos dos terminaria en 6.1</t>
      </text>
    </comment>
    <comment authorId="0" ref="BE5">
      <text>
        <t xml:space="preserve">sin los ultimos dos terminaria en 6.1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predice draw en WOL-WHU y NOT-MUN, por lo que me lavaria las manos para no tener que elegir.</t>
      </text>
    </comment>
    <comment authorId="0" ref="F14">
      <text>
        <t xml:space="preserve">Tira empates en mas partidos, me gusta</t>
      </text>
    </comment>
    <comment authorId="0" ref="I14">
      <text>
        <t xml:space="preserve">pasa que tira empate en WOL-WHU pero no en NOT-MUN y no se.
Tuvo buen assess</t>
      </text>
    </comment>
    <comment authorId="0" ref="M14">
      <text>
        <t xml:space="preserve">no predice empates en la sem 34?</t>
      </text>
    </comment>
    <comment authorId="0" ref="F15">
      <text>
        <t xml:space="preserve">assess pauperrimo. Todo vis
mal error.</t>
      </text>
    </comment>
    <comment authorId="0" ref="L28">
      <text>
        <t xml:space="preserve">Dice 1 y bet 2, no le pretendo ganar en eso. No deja pasar un local.</t>
      </text>
    </comment>
    <comment authorId="0" ref="G35">
      <text>
        <t xml:space="preserve">me guie demasiado por el assess.
</t>
      </text>
    </comment>
    <comment authorId="0" ref="F43">
      <text>
        <t xml:space="preserve">Fecha de entrenamiento de modelos</t>
      </text>
    </comment>
    <comment authorId="0" ref="R43">
      <text>
        <t xml:space="preserve">ultima actualizacion: Sabado semana 33</t>
      </text>
    </comment>
    <comment authorId="0" ref="S43">
      <text>
        <t xml:space="preserve">Alarma si llega a 20%. En ese caso, podria ser conveniente reentrenar modellos</t>
      </text>
    </comment>
    <comment authorId="0" ref="J46">
      <text>
        <t xml:space="preserve">Leccion aprendida: los empates de ENG siempre se deberian haber dado pero nunca se dan. Ir mas por 2. Las GP por rdo te lo indican.</t>
      </text>
    </comment>
    <comment authorId="0" ref="O46">
      <text>
        <t xml:space="preserve">el 1071 un poco mas pero predicen lo mismo en prox partidos</t>
      </text>
    </comment>
    <comment authorId="0" ref="P46">
      <text>
        <t xml:space="preserve">no lo use solo porque la bs lo lleva a usar stakes bajos.
Ademas, el roi es mas bajo.
1071:
:)
"2º en metrica (gran expected_error, error y gp_draw)
#8 de 1152 en roi + #5 de 1152 en f1_score"
:(
Assess promedio
Deja pasar empates (-50% de dif_draw)"</t>
      </text>
    </comment>
    <comment authorId="0" ref="P47">
      <text>
        <t xml:space="preserve">el 1134 tambien pero ojo la distrib de probas no me gusta
1083
918
</t>
      </text>
    </comment>
    <comment authorId="0" ref="P48">
      <text>
        <t xml:space="preserve">900:
:) 
#1 en metrica (gp_away, error)
Buenas metricas en cv (top 100)
# buenos roi y f1 score y error
:( 
mas expected_error y mas G/P en away que en draw
No me gusta su distrib. Poca visita?
el 899: le fue bien en asses y tiene buenas metricas de cv y roi PERO 1) mala distribucion de bets (41%). No me gusta su distrib predice mucho 0 y poco 2.
2) en 2 es bastante malo justo donde mas apostamos con ea. 
3) Error alto
Ventajas del 882: assess + distribucion excelente (4%)
Desventajas del 882: error alto, f1_score mas bajo
457:
:) 
"# 3 roi, prioriza gp_draw
Gran f1_score
Minimiza expected_error"	
:(
"Distribucion promedio (19%) aunque promedio.
Metricas de cv"
</t>
      </text>
    </comment>
    <comment authorId="0" ref="P49">
      <text>
        <t xml:space="preserve">1117: 
:) distribucion (13%), f1_score alto
:( error promedio y gp_home alto? y assess malo
349:
Tiene menos roi, G/P en draw y away
211:
:) 
#4 en metrica (gp_home, error)
Buen assess
#23 en f1_score
expected_roi aceptable"	
:( 
Distribucion mala (31%) aunque mejor que la media (mas empates)
Mala estrategia de apuesta con poco empate y mucho local</t>
      </text>
    </comment>
    <comment authorId="0" ref="P50">
      <text>
        <t xml:space="preserve">546:
:( 
Metricas de cv (error alto y f1_score bajo)
Distribucion mala (39%) aunque creo que todos son asi.
ROI &lt; 0 en test"
601:
:)
"#6 en metrica (expected_error, gp_draw)
#10 roi, gran error y f1_score
Distribucion aceptable (24%)"	
:(
Assess malo (0%) aunque mereció mas.</t>
      </text>
    </comment>
  </commentList>
</comments>
</file>

<file path=xl/sharedStrings.xml><?xml version="1.0" encoding="utf-8"?>
<sst xmlns="http://schemas.openxmlformats.org/spreadsheetml/2006/main" count="1278" uniqueCount="493">
  <si>
    <t>id_country</t>
  </si>
  <si>
    <t>country</t>
  </si>
  <si>
    <t>iteration_date</t>
  </si>
  <si>
    <t>n_model</t>
  </si>
  <si>
    <t>model_name</t>
  </si>
  <si>
    <t>mean_stake_home</t>
  </si>
  <si>
    <t>mean_stake_draw</t>
  </si>
  <si>
    <t>mean_stake_away</t>
  </si>
  <si>
    <t>mean_stake</t>
  </si>
  <si>
    <t>Error test</t>
  </si>
  <si>
    <t>Error prod</t>
  </si>
  <si>
    <t>Var error</t>
  </si>
  <si>
    <t>argentina</t>
  </si>
  <si>
    <t>LogisticRegression</t>
  </si>
  <si>
    <t>usa</t>
  </si>
  <si>
    <t>england</t>
  </si>
  <si>
    <t>RandomForestClassifier</t>
  </si>
  <si>
    <t>france</t>
  </si>
  <si>
    <t>XGBClassifier</t>
  </si>
  <si>
    <t>germany</t>
  </si>
  <si>
    <t>italy</t>
  </si>
  <si>
    <t>spain</t>
  </si>
  <si>
    <t>Usando n_wins y esas</t>
  </si>
  <si>
    <t>Sin n_wins y esas</t>
  </si>
  <si>
    <t>con escalado</t>
  </si>
  <si>
    <t>sin escalado</t>
  </si>
  <si>
    <t>decay_rate=0</t>
  </si>
  <si>
    <t>decay_rate=0.2</t>
  </si>
  <si>
    <t>con_val_players</t>
  </si>
  <si>
    <t>sin_val_players</t>
  </si>
  <si>
    <t>usando 'S2G', 'xS2G', "SOG2S",</t>
  </si>
  <si>
    <t>sin</t>
  </si>
  <si>
    <t>Con ELO</t>
  </si>
  <si>
    <t>sin ELO</t>
  </si>
  <si>
    <t>porc_nan=0.2</t>
  </si>
  <si>
    <t>porc_nan=0.35</t>
  </si>
  <si>
    <t>porc_nan=0.7</t>
  </si>
  <si>
    <r>
      <rPr>
        <b/>
      </rPr>
      <t xml:space="preserve">(1) Ver si el nuevo train con los cambios es bueno o no comparandolo con los test del anterior train.
</t>
    </r>
    <r>
      <rPr/>
      <t xml:space="preserve">
</t>
    </r>
    <r>
      <rPr>
        <b/>
      </rPr>
      <t xml:space="preserve">Si es bueno:
</t>
    </r>
    <r>
      <rPr/>
      <t xml:space="preserve">- Commit de cambios en main y mtm. 
- Documentacion de cambios
- Adaptar </t>
    </r>
    <r>
      <rPr>
        <color rgb="FF1155CC"/>
        <u/>
      </rPr>
      <t>mnm.py</t>
    </r>
    <r>
      <rPr/>
      <t xml:space="preserve"> tras cambios en xpath de modelos guardados y por cambio en el flujo (no se si lo afecta pero capaz si).
- Entrenar otros paises
</t>
    </r>
    <r>
      <rPr>
        <b/>
      </rPr>
      <t xml:space="preserve">Si no es bueno:
</t>
    </r>
    <r>
      <rPr/>
      <t>- Guardar cambios en branch aparte y volver a staging como estaba. Probar cambio por cambio de los nuevos e ir implementando de a uno.</t>
    </r>
  </si>
  <si>
    <t>(2) Experimento metricas + bs</t>
  </si>
  <si>
    <t>(3) Seguir con paso a paso de:</t>
  </si>
  <si>
    <t>2025-05-01</t>
  </si>
  <si>
    <t>1. comparar codigo de diciembre de 2024 con el actual
2. Feedback del cliente</t>
  </si>
  <si>
    <t>deberia cambiar el modelo en: ENG y en SPA</t>
  </si>
  <si>
    <t>Cambio</t>
  </si>
  <si>
    <t>eng</t>
  </si>
  <si>
    <t>SPA</t>
  </si>
  <si>
    <t>No deberia cambiar el modelo en: ITA y GER.</t>
  </si>
  <si>
    <t>No cambio</t>
  </si>
  <si>
    <t>GER</t>
  </si>
  <si>
    <t>ITA</t>
  </si>
  <si>
    <t>Que hubera seleccionado con el nuevo metodo en el entrenamiento anterior y como me hubiera ido?</t>
  </si>
  <si>
    <t>f1_score</t>
  </si>
  <si>
    <t>test_accuracy</t>
  </si>
  <si>
    <t>nueva seleccion (n_metric=1)</t>
  </si>
  <si>
    <t>nueva seleccion con ea</t>
  </si>
  <si>
    <t>ESTA MAL HECHO ESTO? ESTOY ANALIZANDOLO SIN EA....</t>
  </si>
  <si>
    <t>SPAIN</t>
  </si>
  <si>
    <t>FRA</t>
  </si>
  <si>
    <t>ENG</t>
  </si>
  <si>
    <t>Sin kelly</t>
  </si>
  <si>
    <t>dif_prec_bm</t>
  </si>
  <si>
    <t>G/P sin ea</t>
  </si>
  <si>
    <t>G/P con ea</t>
  </si>
  <si>
    <t>m</t>
  </si>
  <si>
    <t>Multiplicador ea</t>
  </si>
  <si>
    <t>m_to_use</t>
  </si>
  <si>
    <t>Con kelly pero seleccionando con l_metrics y eso.</t>
  </si>
  <si>
    <t>m_home</t>
  </si>
  <si>
    <t>m_draw</t>
  </si>
  <si>
    <t>m_away</t>
  </si>
  <si>
    <t>Average m</t>
  </si>
  <si>
    <t>Hasta el sabado incluido:</t>
  </si>
  <si>
    <t>recall</t>
  </si>
  <si>
    <t>%_gp_home</t>
  </si>
  <si>
    <t>%_gp_draw</t>
  </si>
  <si>
    <t>%_gp_away</t>
  </si>
  <si>
    <r>
      <rPr>
        <rFont val="Arial"/>
        <b/>
        <color theme="1"/>
      </rPr>
      <t xml:space="preserve">Tabla. </t>
    </r>
    <r>
      <rPr>
        <rFont val="Arial"/>
        <b val="0"/>
        <color theme="1"/>
      </rPr>
      <t>Modelo seleccionado por pais segun ≠ metricas combinadas</t>
    </r>
  </si>
  <si>
    <t>roi_last_25_matches_sb_sin_ea</t>
  </si>
  <si>
    <t>roi_last_25_matches_sb_con_ea</t>
  </si>
  <si>
    <t>roi_last_25_matches_sin_ea</t>
  </si>
  <si>
    <t>roi_last_25_matches_con_ea</t>
  </si>
  <si>
    <t>ROI_sb_sin_ea</t>
  </si>
  <si>
    <t>ROI_sin_ea</t>
  </si>
  <si>
    <t>ROI_sb_con_ea</t>
  </si>
  <si>
    <t>ROI_con_ea</t>
  </si>
  <si>
    <t>['ROI_sin_ea', 'ROI_con_ea']</t>
  </si>
  <si>
    <t>['ROI_sb_sin_ea', 'ROI_sb_con_ea']</t>
  </si>
  <si>
    <t>['ROI_sb_sin_ea', 'ROI_sin_ea', 'ROI_sb_con_ea', 'ROI_con_ea']</t>
  </si>
  <si>
    <t>['roi_last_25_matches_sb_sin_ea', 'ROI_sin_ea', 'roi_last_25_matches_sb_con_ea', 'ROI_con_ea']</t>
  </si>
  <si>
    <t>['roi_last_25_matches_sin_ea', 'ROI_sin_ea', 'roi_last_25_matches_con_ea', 'ROI_con_ea']</t>
  </si>
  <si>
    <t>['ROI_sb_sin_ea', 'ROI_sb_con_ea', 'roi_last_25_matches_sb_sin_ea', 'roi_last_25_matches_sb_con_ea']</t>
  </si>
  <si>
    <t>Hasta el sabado incluido</t>
  </si>
  <si>
    <t>En el iniicio del domingo:</t>
  </si>
  <si>
    <t>Bank inicial part 100</t>
  </si>
  <si>
    <t>Bank final con assess</t>
  </si>
  <si>
    <t>ROI assess</t>
  </si>
  <si>
    <t>Tal vez seleccionar por last 50 nada mas? hubiera seleccionado mejores modelos?</t>
  </si>
  <si>
    <t>Usar f1_score en vez de accuracy.</t>
  </si>
  <si>
    <t>Es evidente que la seleccion actual no funciona porque seleccionaba totalmente otros modelos y los modelos que mejor rindieron no estaban ni cerca de  ser elegidos.</t>
  </si>
  <si>
    <t>Mejor modelo --&gt; Modelo a seleccionar cuando tenia test... ver con que metricas los hubiera seleccionado..</t>
  </si>
  <si>
    <t>metodo de seleccion</t>
  </si>
  <si>
    <t>Por f1_score en last 50 no.
Por expected ROI no.</t>
  </si>
  <si>
    <t>1,288
1,117
1,126</t>
  </si>
  <si>
    <t>Por recall / f1_score en last 50, en FRA quedaban cerca de elegir los mejores modelos... si lo mezclaba con f1_score en last_25 quedaban. Pero no usar ROI ni test_acc.
Expecetd no (aunque mejor que recall y esas)</t>
  </si>
  <si>
    <r>
      <rPr>
        <rFont val="Arial"/>
        <b/>
        <color theme="1"/>
      </rPr>
      <t>Por recall</t>
    </r>
    <r>
      <rPr>
        <rFont val="Arial"/>
        <color theme="1"/>
      </rPr>
      <t>. No last matches. 
Por expected ROI? Hubiera seleccionado el 411.</t>
    </r>
  </si>
  <si>
    <t>1,216
1,016
1,015
1,270</t>
  </si>
  <si>
    <r>
      <rPr>
        <rFont val="Arial"/>
        <b/>
        <color theme="1"/>
      </rPr>
      <t xml:space="preserve">Por recall en last 50. </t>
    </r>
    <r>
      <rPr>
        <rFont val="Arial"/>
        <color theme="1"/>
      </rPr>
      <t>Luego por f1_score en last 50 si. Por ROI no. En last 25 no tnato.
Expected ROI mejor que recall y esas. Incluso seleccionaba el 1216.</t>
    </r>
  </si>
  <si>
    <t>530
1,151
770
508
1,201</t>
  </si>
  <si>
    <t>Por recall? Por expected ROI?
Por expecetd ROI, seleccionaba el 770 y 3ro 1201</t>
  </si>
  <si>
    <t>CONCLUSIONES</t>
  </si>
  <si>
    <t>El expected estaria bueno pero funciona mal en ENG?</t>
  </si>
  <si>
    <t>PLAN DE ACCION:</t>
  </si>
  <si>
    <t xml:space="preserve">Seleccion de modelos candidatos </t>
  </si>
  <si>
    <t>el 411 de GER casi queda fuera del recorte de candidatos. Dado que el ROI no sirve, usar solo f1_score?</t>
  </si>
  <si>
    <t>En FRA, sucedia lo mismo, los mejores modelos casi quedan fuera del corte por candidatos.</t>
  </si>
  <si>
    <t xml:space="preserve">No considero el expected roi tampoco. Funciona muy mal para algunos paises. </t>
  </si>
  <si>
    <t>Metricas para selec modelo.</t>
  </si>
  <si>
    <t>Usar expected en ligas donde la correalcion entre ROI y expected roi sea alto? No al reves...</t>
  </si>
  <si>
    <t xml:space="preserve">Usar recall o f1_score? Con recall, funciona joya salvo en FRA. </t>
  </si>
  <si>
    <t>Cuando considero recall en last_50 y recall_en last_25 --&gt; Funciona muchisimo mejor.</t>
  </si>
  <si>
    <t>Uso las mismas metricas para seleccionar los candidatos. Simplifico y ademas genero consistencia.</t>
  </si>
  <si>
    <r>
      <rPr>
        <rFont val="Arial"/>
        <b/>
        <color theme="1"/>
      </rPr>
      <t>Cambio en seleccion:</t>
    </r>
    <r>
      <rPr>
        <rFont val="Arial"/>
        <color theme="1"/>
      </rPr>
      <t xml:space="preserve">  tener en cuenta ROI_sin_ea para seleccionar modelos. O sea, en la seleccion de candidatos recall y roi_sin_ea y en la seleccion del modelo recall y roi_sin_ea en ultimos partidos.</t>
    </r>
  </si>
  <si>
    <t>antes</t>
  </si>
  <si>
    <t>despues</t>
  </si>
  <si>
    <r>
      <rPr>
        <rFont val="Arial"/>
        <b/>
        <color theme="1"/>
      </rPr>
      <t>antes</t>
    </r>
    <r>
      <rPr>
        <rFont val="Arial"/>
        <color theme="1"/>
      </rPr>
      <t xml:space="preserve">: seleccionando modelos por recall. </t>
    </r>
  </si>
  <si>
    <t>ROI</t>
  </si>
  <si>
    <r>
      <rPr>
        <rFont val="Arial"/>
        <b/>
        <color theme="1"/>
      </rPr>
      <t>despues</t>
    </r>
    <r>
      <rPr>
        <rFont val="Arial"/>
        <color theme="1"/>
      </rPr>
      <t>: seleccionando modelos por recall y roi_sin_ea</t>
    </r>
  </si>
  <si>
    <t>Sum</t>
  </si>
  <si>
    <t>Mejora!</t>
  </si>
  <si>
    <t>En ENG, 
- el 2278 no habia quedado entre los mejores modelos por recall.
- los mejores modelos crecen en ROI_sin_ea. Es bueno</t>
  </si>
  <si>
    <t xml:space="preserve">En FRA, 
- el 518 no habia quedado entre los mejores modelos por recall.
</t>
  </si>
  <si>
    <t>En GER, 
- el 645 no habia quedado entre los mejores modelos por recall.</t>
  </si>
  <si>
    <t>En ITA, 
- el 1023 si era seleccionado por recall.</t>
  </si>
  <si>
    <t>En SPA, 
- el 499 no habia quedado entre los mejores modelos por recall.</t>
  </si>
  <si>
    <t>Mantiene</t>
  </si>
  <si>
    <t>porc_m</t>
  </si>
  <si>
    <t>average m_to_use</t>
  </si>
  <si>
    <t>Correl</t>
  </si>
  <si>
    <t>Promedio</t>
  </si>
  <si>
    <t>PROMEDIO PONDERADO</t>
  </si>
  <si>
    <t>CONTADOR DE RDOS</t>
  </si>
  <si>
    <t>x</t>
  </si>
  <si>
    <t>y</t>
  </si>
  <si>
    <t xml:space="preserve">Promedio ROI pp top 10 modelos </t>
  </si>
  <si>
    <t xml:space="preserve">Promedio ROI pp top 20 modelos </t>
  </si>
  <si>
    <t>Mean variable</t>
  </si>
  <si>
    <t>Mean Weigh variable</t>
  </si>
  <si>
    <t>Result</t>
  </si>
  <si>
    <t>Count result</t>
  </si>
  <si>
    <t>Comparo con result real</t>
  </si>
  <si>
    <t>Shape</t>
  </si>
  <si>
    <t>X</t>
  </si>
  <si>
    <t>(81, 8)</t>
  </si>
  <si>
    <t>3.60</t>
  </si>
  <si>
    <t>5.80</t>
  </si>
  <si>
    <t>(54, 27)</t>
  </si>
  <si>
    <t>3.67</t>
  </si>
  <si>
    <t>4.92</t>
  </si>
  <si>
    <t>Variable</t>
  </si>
  <si>
    <t>Peso</t>
  </si>
  <si>
    <t>Variable * Peso</t>
  </si>
  <si>
    <t>(81, 23)</t>
  </si>
  <si>
    <t>3.51</t>
  </si>
  <si>
    <t>9.15</t>
  </si>
  <si>
    <t>(54, 54)</t>
  </si>
  <si>
    <t>2.74</t>
  </si>
  <si>
    <t>3.83</t>
  </si>
  <si>
    <t>(54, 24)</t>
  </si>
  <si>
    <t>3.65</t>
  </si>
  <si>
    <t>5.94</t>
  </si>
  <si>
    <t>3.63</t>
  </si>
  <si>
    <t>6.18</t>
  </si>
  <si>
    <t>Tipto</t>
  </si>
  <si>
    <t>BET</t>
  </si>
  <si>
    <t>FB</t>
  </si>
  <si>
    <t>(81, 4)</t>
  </si>
  <si>
    <t>3.68</t>
  </si>
  <si>
    <t>9.33</t>
  </si>
  <si>
    <t>(81, 15)</t>
  </si>
  <si>
    <t>3.64</t>
  </si>
  <si>
    <t>8.30</t>
  </si>
  <si>
    <t>(54, 20)</t>
  </si>
  <si>
    <t>2.71</t>
  </si>
  <si>
    <t>5.73</t>
  </si>
  <si>
    <t>(81, 10)</t>
  </si>
  <si>
    <t>2.80</t>
  </si>
  <si>
    <t>5.42</t>
  </si>
  <si>
    <t>Total</t>
  </si>
  <si>
    <t>7.91</t>
  </si>
  <si>
    <t>Average</t>
  </si>
  <si>
    <t>7.85</t>
  </si>
  <si>
    <t>Prom</t>
  </si>
  <si>
    <t>4.24</t>
  </si>
  <si>
    <t>4.73</t>
  </si>
  <si>
    <t>5.56</t>
  </si>
  <si>
    <t>4.19</t>
  </si>
  <si>
    <t>2.63</t>
  </si>
  <si>
    <t>4.54</t>
  </si>
  <si>
    <t>n_iteration</t>
  </si>
  <si>
    <t>roi</t>
  </si>
  <si>
    <t>prob_result_to_bet</t>
  </si>
  <si>
    <t>prob_bm</t>
  </si>
  <si>
    <t>odd</t>
  </si>
  <si>
    <t>kelly_crit</t>
  </si>
  <si>
    <t>Falta entrenarlos: 1) sin rellenar formaciones antes de construir 2) Con todos l_models y no solo logistic.</t>
  </si>
  <si>
    <t>3) Integracion por liga. --&gt; FRA tenes que recolectar Sofifa de la Ligue 2 del fifa 25 antes...</t>
  </si>
  <si>
    <t>Stake promedio</t>
  </si>
  <si>
    <t>Country</t>
  </si>
  <si>
    <t>Correl ROI y Expected ROI</t>
  </si>
  <si>
    <t>mean</t>
  </si>
  <si>
    <t>median</t>
  </si>
  <si>
    <t>p25</t>
  </si>
  <si>
    <t>p75</t>
  </si>
  <si>
    <t>Gracias a las nuevas métricas de G/P sin bank en test, me di cuenta de que:</t>
  </si>
  <si>
    <t>La rentabilidad en ITA está en el visitante y no en el empate como creía.</t>
  </si>
  <si>
    <t>La rentabilidad en ENG y GER está en el empate tal como creía.</t>
  </si>
  <si>
    <t>En SPA esta repartido aunque Empate saca una ventaja.</t>
  </si>
  <si>
    <t>En FRA, depende el modelo. A veces local, a veces, empate.</t>
  </si>
  <si>
    <t>Si en FRA empate no rinde, no tiene sentido exigirle una buena distrib en empate… → Tiene sentido pero al parecer si importa el empate puesto que el modelo que gana se basa en empate.</t>
  </si>
  <si>
    <t>RENTABILIDAD</t>
  </si>
  <si>
    <t>DISTRIBUCION BETS</t>
  </si>
  <si>
    <t>roi_50</t>
  </si>
  <si>
    <t>roi_100</t>
  </si>
  <si>
    <t>roi_por_partido</t>
  </si>
  <si>
    <t>% ROI 100</t>
  </si>
  <si>
    <t># aciertos</t>
  </si>
  <si>
    <t>% aciertos</t>
  </si>
  <si>
    <t># aciertos empate</t>
  </si>
  <si>
    <t>% aciertos empate</t>
  </si>
  <si>
    <t>Descarte x</t>
  </si>
  <si>
    <t>Orden de prioridad</t>
  </si>
  <si>
    <t>Obs</t>
  </si>
  <si>
    <t>SEMANA 29</t>
  </si>
  <si>
    <t>Volver a implementar ea por rdo para evitar esas caidas rancias en 1 de ITA y ENG.  (en vez de doble oportunidad)</t>
  </si>
  <si>
    <t>Baja el m de SPA en relacion al resto, eso esta buenisimo.</t>
  </si>
  <si>
    <t>Me hubiera ido mucho mejor en esta semana 29. Cuanto mejor?</t>
  </si>
  <si>
    <t>Eliminar x distrib? Si eliminara por distrib no elegigiria nunca el 145 en ENG</t>
  </si>
  <si>
    <t>Si tengo en cuenta el ROI con ea en la seleccion con ea por rdo?</t>
  </si>
  <si>
    <t xml:space="preserve">definir dp primero por rdo y luego para auqellos en los que no funciono, usar un mismo m? </t>
  </si>
  <si>
    <t>Kelly criterion con -0.5 x ej? para evitar realmente donde no conviene? No, no me siento comodo con eso.</t>
  </si>
  <si>
    <r>
      <rPr>
        <rFont val="Arial"/>
        <b/>
        <color theme="1"/>
      </rPr>
      <t>Observaciones</t>
    </r>
    <r>
      <rPr>
        <rFont val="Arial"/>
        <color theme="1"/>
      </rPr>
      <t>: 
- en eng ya ningun modelo candidato es rentable en los utimos partidos. Tal vez es momento de reentrenar con sofifa actualizado.
- en FRA</t>
    </r>
  </si>
  <si>
    <t>Tendre que crear columna kelly_criterion en database de VPS</t>
  </si>
  <si>
    <t>DISTRIBUCION REALIDAD</t>
  </si>
  <si>
    <t># partidos</t>
  </si>
  <si>
    <t>result</t>
  </si>
  <si>
    <t>result to bet</t>
  </si>
  <si>
    <t>SEMANA 30</t>
  </si>
  <si>
    <t>DISTRIBUCION HISTORICA</t>
  </si>
  <si>
    <t>era ea con kelly</t>
  </si>
  <si>
    <r>
      <rPr>
        <rFont val="Arial"/>
        <b/>
        <color theme="1"/>
      </rPr>
      <t>Metricas</t>
    </r>
    <r>
      <rPr>
        <rFont val="Arial"/>
        <color theme="1"/>
      </rPr>
      <t>: F1_score + ROI sin ea + ROI con ea (ea con linear pero max Ex roi)</t>
    </r>
  </si>
  <si>
    <t>Balance entre roi y ex roi</t>
  </si>
  <si>
    <t>DIF</t>
  </si>
  <si>
    <t>Ver si funca initial date en prod. Deberia ser el dia de hoy + Agregar warning y user input si hay pocos ultimos partidos...</t>
  </si>
  <si>
    <t>dp</t>
  </si>
  <si>
    <t>-</t>
  </si>
  <si>
    <t>#1</t>
  </si>
  <si>
    <t># mio -&gt; mas prio a ex_roi y acerte_draw</t>
  </si>
  <si>
    <t>?</t>
  </si>
  <si>
    <t>Semana 31</t>
  </si>
  <si>
    <t>roi_con_ea</t>
  </si>
  <si>
    <t>]</t>
  </si>
  <si>
    <t>Entrenamiento</t>
  </si>
  <si>
    <t>Produccion</t>
  </si>
  <si>
    <t>Modelo</t>
  </si>
  <si>
    <t>Rapidez en seleccion de hiperparametros</t>
  </si>
  <si>
    <t>Errores en entrenamiento</t>
  </si>
  <si>
    <t>Sensibilidad a datos de entrada</t>
  </si>
  <si>
    <t>Distribucion de probas</t>
  </si>
  <si>
    <t>Balanceo de clases</t>
  </si>
  <si>
    <t>Logistic</t>
  </si>
  <si>
    <t>Alta</t>
  </si>
  <si>
    <t>Puede no converger pero ahi podes subir el max_iter</t>
  </si>
  <si>
    <t>Alto</t>
  </si>
  <si>
    <t>Muy poca</t>
  </si>
  <si>
    <t>Soft</t>
  </si>
  <si>
    <t>Baja</t>
  </si>
  <si>
    <t>Altisima</t>
  </si>
  <si>
    <t>A veces, deficiente</t>
  </si>
  <si>
    <t>Red neuronal propia</t>
  </si>
  <si>
    <t>Consumo de memoria y corta entrenamiento</t>
  </si>
  <si>
    <t>SVC</t>
  </si>
  <si>
    <t>Media a alta</t>
  </si>
  <si>
    <t>Bajo</t>
  </si>
  <si>
    <t>Nula?</t>
  </si>
  <si>
    <t>Con scoring accuracy, solo predice 2 clases de las 3. Recien con f1_score, empezó a predecir las 3 clases.</t>
  </si>
  <si>
    <t>MLPClassifier</t>
  </si>
  <si>
    <t>Muy baja</t>
  </si>
  <si>
    <t>Medio?</t>
  </si>
  <si>
    <t>Alta?</t>
  </si>
  <si>
    <t>Algunas muy chotas?</t>
  </si>
  <si>
    <t>GradientBoosting</t>
  </si>
  <si>
    <t>DecisionTreeClassifier</t>
  </si>
  <si>
    <t>Depende de min_samples_leaf</t>
  </si>
  <si>
    <t>Tras el sabado</t>
  </si>
  <si>
    <t>Corr error en test</t>
  </si>
  <si>
    <t>test_acc</t>
  </si>
  <si>
    <t>Max roi en prod</t>
  </si>
  <si>
    <t>Max roi all countries</t>
  </si>
  <si>
    <t>Max error en prod</t>
  </si>
  <si>
    <t>Independiente</t>
  </si>
  <si>
    <t>Max roi</t>
  </si>
  <si>
    <t>1 gral + 1 part</t>
  </si>
  <si>
    <t>f1_score + 1 part</t>
  </si>
  <si>
    <t>3 + imp</t>
  </si>
  <si>
    <t>+ impor sin mi bias</t>
  </si>
  <si>
    <t>+ impor all countries sin corr</t>
  </si>
  <si>
    <t>+ impor all countries sin corr
sin_expected</t>
  </si>
  <si>
    <t>mis metricas</t>
  </si>
  <si>
    <t>+ impor all countries sin corr
sin expected salvo error</t>
  </si>
  <si>
    <t>Errores + gp mas impor</t>
  </si>
  <si>
    <t>Solo errores</t>
  </si>
  <si>
    <t>+ imp con pesos ≠</t>
  </si>
  <si>
    <t>Candidatos por roi</t>
  </si>
  <si>
    <t>"mis metricas"</t>
  </si>
  <si>
    <t>2 + imp</t>
  </si>
  <si>
    <t xml:space="preserve"> + imp con pesos ≠ MOD</t>
  </si>
  <si>
    <t>fra</t>
  </si>
  <si>
    <t>error + gp_draw</t>
  </si>
  <si>
    <t>f1_score + gp_draw</t>
  </si>
  <si>
    <t>error + expected_roi + gp_draw</t>
  </si>
  <si>
    <t>expected_error': 0.66, 'error': 0.33</t>
  </si>
  <si>
    <t>0.47 expected_f1_score_away
0.29 f1_score_draw
0.24 expected_f1_score_home</t>
  </si>
  <si>
    <t xml:space="preserve">0.51 f1_score_draw
0.37 accuracy_home
0.11 f1_score_away
</t>
  </si>
  <si>
    <t>error + gp_away</t>
  </si>
  <si>
    <t>0.4 f1_score_draw
0.3 expected_error
0.3 f1_score_away</t>
  </si>
  <si>
    <t>Expected_error + Error + gp_res</t>
  </si>
  <si>
    <t>Expected_error + Error + gp_res
(≠ pesos)</t>
  </si>
  <si>
    <t>0.7 Expected_error + 0.3 Error</t>
  </si>
  <si>
    <t>expected_error': 0.5, 
'error': 0.25, 
'gp_draw': 0.25</t>
  </si>
  <si>
    <t>0.4 Expected_error
0.4 error
0.2 gp_draw
0.2 gp_away</t>
  </si>
  <si>
    <t>error + gp_home</t>
  </si>
  <si>
    <t>f1_score + gp_home</t>
  </si>
  <si>
    <t>gp_home
accuracy_away
error</t>
  </si>
  <si>
    <t>gp_home': 0.4, 
'f1_score_draw': 0.4,  
'error': 0.2</t>
  </si>
  <si>
    <t>gp_home': 0.5, 
'accuracy_away': 0.3, 
'error': 0.2</t>
  </si>
  <si>
    <t>f1_score + f1_score_draw</t>
  </si>
  <si>
    <t>f1_score_draw
f1_score
expected_f1_score_away</t>
  </si>
  <si>
    <t>0 Expected_error + 1 Error</t>
  </si>
  <si>
    <t>gp_away': 0.66, 
'error': 0.33</t>
  </si>
  <si>
    <t>f1_score_draw': 0.45, 
'expected_f1_score_draw': 0.35, 
'expected_f1_score_home': 0.2</t>
  </si>
  <si>
    <t>roi + gp_home</t>
  </si>
  <si>
    <t>f1_score_home
roi
expected_accuracy_away</t>
  </si>
  <si>
    <t>Expected_error + Error + gp_away</t>
  </si>
  <si>
    <t>0.3 Expected_error + 0.7 Error</t>
  </si>
  <si>
    <t>gp_home': 0.5, 
'error': 0.5</t>
  </si>
  <si>
    <t>gp_home': 0.5, 
'recall': 0.3, 
'roi': 0.2</t>
  </si>
  <si>
    <t>error + acc_draw</t>
  </si>
  <si>
    <t>f1_score + acc_draw</t>
  </si>
  <si>
    <t>acc_draw + ex_acc_away</t>
  </si>
  <si>
    <t>acc_draw + ex_acc_away + error</t>
  </si>
  <si>
    <t>Expected_error + Error + gp_draw</t>
  </si>
  <si>
    <t>1 Expected_error + 0 Error</t>
  </si>
  <si>
    <t>expected_error': 0.7, 'expected_accuracy_away': 0.3</t>
  </si>
  <si>
    <t>expected_error': 0.7, 'accuracy_draw: 0.3</t>
  </si>
  <si>
    <t>accuracy_draw': 0.4, 'expected_accuracy_away': 0.4, 'expected_accuracy_draw': 0.2</t>
  </si>
  <si>
    <t>ger</t>
  </si>
  <si>
    <t>Mean</t>
  </si>
  <si>
    <t>ita</t>
  </si>
  <si>
    <t>Var</t>
  </si>
  <si>
    <t>spa</t>
  </si>
  <si>
    <t>Modelos</t>
  </si>
  <si>
    <t>favorece el assess</t>
  </si>
  <si>
    <t>Mayor roi en assess</t>
  </si>
  <si>
    <t>grandes metricas en test + assess promedio a bueno</t>
  </si>
  <si>
    <t>metricas de test aceptables + asses bueno</t>
  </si>
  <si>
    <t>favorece metricas en test</t>
  </si>
  <si>
    <t>mejor assess</t>
  </si>
  <si>
    <t>roi mayor en test</t>
  </si>
  <si>
    <t>metricas de test aceptables</t>
  </si>
  <si>
    <t>gran roi en test y mayor roi en assess PERO mal error y las probas de prod no me gustan</t>
  </si>
  <si>
    <t>alto roi en assess + roi aceptable en test</t>
  </si>
  <si>
    <t xml:space="preserve">gran roi en test y no tan buen assess </t>
  </si>
  <si>
    <t>roi bajo</t>
  </si>
  <si>
    <t>CUIDADO!</t>
  </si>
  <si>
    <t>No necesariamente un ROI alto en assess es bueno. Son solo 10 partidos por pais, es muy poco robusto. Lo tomo mas como una guia.</t>
  </si>
  <si>
    <t>Tras los resultados del sabado, creo que fue un error seleccionar las metricas segun define_metrics minimizando el error.</t>
  </si>
  <si>
    <t>Al volver a usar define_metrics por pais maximizando el ROI de prod en 60-40, reselecciono las metricas. Los modelos a usar:</t>
  </si>
  <si>
    <t>Variabilidad del error</t>
  </si>
  <si>
    <t>En SPA va de -1.00 a -1.07</t>
  </si>
  <si>
    <t>En ITA va de -0.9 a -0.99</t>
  </si>
  <si>
    <t>En ENG va de -0.95 a -1.07</t>
  </si>
  <si>
    <t>En FRA va de -0.95 a -1.06</t>
  </si>
  <si>
    <t>En GER va de -0.98 a -1.17</t>
  </si>
  <si>
    <t>Maximizan f1_score_draw --&gt; Capaz en FRA y GER mejor f1_score_away viendo los roi no tan buenos en assess...</t>
  </si>
  <si>
    <t>Metrica a max</t>
  </si>
  <si>
    <t>Model</t>
  </si>
  <si>
    <t>f1_score_draw</t>
  </si>
  <si>
    <t>f1_score_away</t>
  </si>
  <si>
    <t>mal assess (0/3 y se perdio 4)</t>
  </si>
  <si>
    <t>buen assess (1/3 y se perdio el resto)</t>
  </si>
  <si>
    <t>buen assess (1/2 pero se perdio el resto)</t>
  </si>
  <si>
    <t xml:space="preserve">creo que por hoy, no estaria mal tomar empate en los dos... </t>
  </si>
  <si>
    <t>Tras tener en cuenta cuotas de bet:</t>
  </si>
  <si>
    <t>Maximizando n_res y acc_res del rdo mas rentable de cada pais + buen roi en test (y assess promedio)</t>
  </si>
  <si>
    <t>Posicion segun metrics</t>
  </si>
  <si>
    <t>Puntos fuertes</t>
  </si>
  <si>
    <t>Puntos flacos</t>
  </si>
  <si>
    <t>Modelo alternativa</t>
  </si>
  <si>
    <t># 5 metrica (error + roi)
# 7 roi con ea + Expected roi con ea bueno (en eng importa)
Buen assess</t>
  </si>
  <si>
    <t>Predice poco empate (-65%)</t>
  </si>
  <si>
    <t>1071
375
771</t>
  </si>
  <si>
    <t>11º en metrica (gran gp_home, f1_score_draw, error)
Buena distribucion de bets (12% de dif)
#4 en roi y #5 en roi con ea
Grandes metricas en cv</t>
  </si>
  <si>
    <t>No es el error mas bajo.
Assess promedio (pero fue negativo)</t>
  </si>
  <si>
    <t>#2 en roi con ea y #2 en f1_score y #2 en roi
Error promedio.</t>
  </si>
  <si>
    <t>Mal assess
Predice un poco mas de empate de los que hay</t>
  </si>
  <si>
    <t># 1 roi, con gp_draw y gp_away max. 
Gran f1_score
Distribucion aceptable (20%)
Grandes metricas de cv</t>
  </si>
  <si>
    <t># Max roi con ea en empates
Metrica buena
Buen assess</t>
  </si>
  <si>
    <t>1066 / 1135 / 601</t>
  </si>
  <si>
    <t>Cambio domingo</t>
  </si>
  <si>
    <t>Bs</t>
  </si>
  <si>
    <t>Amplio el espacio m de 1 a 100 (era de 5 a 100) y el reescalado de 1 a 20 (era de 5 a 20)</t>
  </si>
  <si>
    <t>Dejo de usar expected roi pues no te asegura nada.</t>
  </si>
  <si>
    <t>saco kelly_linear pues aumenta el m de local.</t>
  </si>
  <si>
    <t>MAIN_SELECT_MODEL</t>
  </si>
  <si>
    <r>
      <rPr>
        <rFont val="Arial"/>
        <b/>
        <color theme="1"/>
      </rPr>
      <t xml:space="preserve">Metricas: </t>
    </r>
    <r>
      <rPr>
        <rFont val="Arial"/>
        <color theme="1"/>
      </rPr>
      <t>f1_score y f1_score_draw --&gt; lo que tenia no funcionaba.</t>
    </r>
  </si>
  <si>
    <t>Quiero buenas predicciones loco. Me canse de perderme empates que sabia que se iban a dar como MIL-FIO, LEC-VEN.</t>
  </si>
  <si>
    <t>Main_select_model</t>
  </si>
  <si>
    <r>
      <rPr>
        <rFont val="Arial"/>
        <color rgb="FFFF0000"/>
      </rPr>
      <t xml:space="preserve">Balance entre pasado y futuro:
</t>
    </r>
    <r>
      <rPr>
        <rFont val="Arial"/>
        <color theme="1"/>
      </rPr>
      <t>Ojo con guiarte demasiado por los rdos pasados para definir el modelo a usar suponiendo que estos resulados se repetiran en el futuro. Como sucedio en la semana 34, con usar el modelo 184 en lugar del 112 a pesar de que me gustaban mas las predic de este ultim. Comentarios como "Ojo que perdi mucho expected al dejar de seleccionar: 847 en ITA, 667 en FRA"</t>
    </r>
  </si>
  <si>
    <t>Un buen metodo podria ser:
- Usar el pasado para determinar los modelos candidatos a partir de todos los entrenados.
- Usar el futuro para determinar el modelo a usar en prod a partir de los candidatos.</t>
  </si>
  <si>
    <t>Betting strategy</t>
  </si>
  <si>
    <r>
      <rPr>
        <rFont val="Arial"/>
        <color rgb="FFFF0000"/>
      </rPr>
      <t xml:space="preserve">Balance entre pasado y futuro:
</t>
    </r>
    <r>
      <rPr>
        <rFont val="Arial"/>
        <color theme="1"/>
      </rPr>
      <t>Tal vez el gran problema de la bs fue guiarme tanto del pasado para definirla. Suponiendo que ligas a las que les fue mejor, le iran mejor en el futuro. O que rdos que fueron mas rentables, lo seguiran siendo en el futuro, etcetera.
Cuidado porque el test no es robusto y pudo haber una buena racha para cierto pais o rdo y que definas mal la estrategia.</t>
    </r>
  </si>
  <si>
    <t>Tal vez no usar un m ≠ por pais pues se ajusta demasiado a los rdos en el test los cuales no son para nada representativos de lo que sucederá en prod.</t>
  </si>
  <si>
    <t>tal vez solo definie el k de kelly_linear</t>
  </si>
  <si>
    <t>y si uso kelly directamente? 
- Favoreceria 0 y 2 y perjudicaria 1
- No hay hiperparametros que manejar. No la puedo cagar en la bs pues no lo manejo.</t>
  </si>
  <si>
    <t>Semana 36</t>
  </si>
  <si>
    <t>Si el roi + ex_roi es negativo prefiero usar stake 0.</t>
  </si>
  <si>
    <t>Sino usa un stake altisimo...</t>
  </si>
  <si>
    <t>No basa el stake segun el roi generado. A mayor roi generado no necesariamente mayor stake...</t>
  </si>
  <si>
    <t>prob_dp</t>
  </si>
  <si>
    <t>curva</t>
  </si>
  <si>
    <t>b</t>
  </si>
  <si>
    <t>k</t>
  </si>
  <si>
    <t>expected_roi</t>
  </si>
  <si>
    <t>expected_roi_por_partido</t>
  </si>
  <si>
    <t>%_G/P</t>
  </si>
  <si>
    <t>kelly</t>
  </si>
  <si>
    <t>error</t>
  </si>
  <si>
    <t>expected_error</t>
  </si>
  <si>
    <t>f1_score_home</t>
  </si>
  <si>
    <t>gp_home</t>
  </si>
  <si>
    <t>gp_draw</t>
  </si>
  <si>
    <t>gp_away</t>
  </si>
  <si>
    <t>n_home</t>
  </si>
  <si>
    <t>n_draw</t>
  </si>
  <si>
    <t>n_away</t>
  </si>
  <si>
    <t>expected_f1_score</t>
  </si>
  <si>
    <t>Mean roi prod</t>
  </si>
  <si>
    <t>Var roi prod</t>
  </si>
  <si>
    <t>Metrics</t>
  </si>
  <si>
    <t>Column 1</t>
  </si>
  <si>
    <t>El tema de usar este metodo es que es muy poco robusto. En SPA gana n_away por lejos porque justo se dio una fecha donde ganaron todos los 2 de sorpresa REA-VAL, MAL-CEL, etc.</t>
  </si>
  <si>
    <t>x1</t>
  </si>
  <si>
    <t>Selecciono por pais pues varian y no me gusta la seleccion de modelos con las mismas metricas (los modelos que elige)</t>
  </si>
  <si>
    <t>y1</t>
  </si>
  <si>
    <t>x2</t>
  </si>
  <si>
    <t>y2</t>
  </si>
  <si>
    <t>Mean f1_score prod</t>
  </si>
  <si>
    <t>Var f1_score prod</t>
  </si>
  <si>
    <t>Creo que conviene usar roi pues el f1_score favorece a 0 y 2 y el assess es muy pequeño. Con meter un solo empate en el assess, el f1_score cambia banda pues promedia el f1_score de cada rdo.</t>
  </si>
  <si>
    <t>No es tan distinto de lo que da el roi.</t>
  </si>
  <si>
    <t>Paso 1: Definir kelly o linear</t>
  </si>
  <si>
    <t>Pongo el average del roi sin ea para linear y el avg de roi con ea para kelly (ambos usando m=10). Si kelly saca una gran ventaja, adentro.</t>
  </si>
  <si>
    <t>linear</t>
  </si>
  <si>
    <t>Kelly es mejor pero hasta ahi. Es suficiente? Por ahora linear para no meter tanto cambio.</t>
  </si>
  <si>
    <t>Paso 2: Hacer exp con metricas con ea bien calculadas a ver si ahora tienen mas corr con roi de prod o no.</t>
  </si>
  <si>
    <t>Si tienen mas corr, pueden llegar a ser seleccionadas como metricas...</t>
  </si>
  <si>
    <t>No, ganan. Mantengo metricas.</t>
  </si>
  <si>
    <t>Paso 3: Reseleccionar modelos o ea de los modelos + actualizar preds.</t>
  </si>
  <si>
    <t>Los modelos selec no cambian pero si la ea. En la ea uso kelly y maximizo Ex roi en un 90% (gracias a que ahora tengo la normalizacion del roi y ex roi)</t>
  </si>
  <si>
    <t>Median x ea</t>
  </si>
  <si>
    <t>Eng</t>
  </si>
  <si>
    <t>Ex roi 90%</t>
  </si>
  <si>
    <t>Con kelly</t>
  </si>
  <si>
    <t>x ea</t>
  </si>
  <si>
    <t>ex_roi</t>
  </si>
  <si>
    <t>roi_weight</t>
  </si>
  <si>
    <t>x_roi</t>
  </si>
  <si>
    <t>x_ex_roi</t>
  </si>
  <si>
    <t>0,5</t>
  </si>
  <si>
    <t>0,4</t>
  </si>
  <si>
    <t>0,2</t>
  </si>
  <si>
    <t>0,1</t>
  </si>
  <si>
    <t>Pero no me gusta el m entre las ligas. Hay demasiada dif y no se condice con lo historico. GER queda con m=10 y fra con 60...</t>
  </si>
  <si>
    <t>Con linear</t>
  </si>
  <si>
    <t>La otra seria con linear definir el m y con kelly para el stake...</t>
  </si>
  <si>
    <t>prob</t>
  </si>
  <si>
    <t>stake</t>
  </si>
  <si>
    <t>Dif G/P</t>
  </si>
  <si>
    <t>dif G/P</t>
  </si>
  <si>
    <t>-3,9</t>
  </si>
  <si>
    <t>-2,66</t>
  </si>
  <si>
    <t>SEMANA 35</t>
  </si>
  <si>
    <t>metricas comunes a todos los paises pero con ≠ peso: f1 score_draw, f1_score_away y expected_error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</si>
</sst>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m&quot;-&quot;dd"/>
    <numFmt numFmtId="165" formatCode="0.000"/>
    <numFmt numFmtId="166" formatCode="0.0"/>
    <numFmt numFmtId="167" formatCode="dd.mm"/>
    <numFmt numFmtId="168" formatCode="#,##0.0"/>
  </numFmts>
  <fonts count="31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u/>
      <color theme="1"/>
      <name val="Arial"/>
      <scheme val="minor"/>
    </font>
    <font>
      <color rgb="FFFF0000"/>
      <name val="Arial"/>
      <scheme val="minor"/>
    </font>
    <font>
      <b/>
      <sz val="9.0"/>
      <color rgb="FF000000"/>
      <name val="Arial"/>
    </font>
    <font>
      <b/>
      <sz val="9.0"/>
      <color theme="1"/>
      <name val="Arial"/>
    </font>
    <font>
      <b/>
      <sz val="9.0"/>
      <color theme="1"/>
      <name val="Arial"/>
      <scheme val="minor"/>
    </font>
    <font>
      <sz val="9.0"/>
      <color theme="1"/>
      <name val="Google Sans Mono"/>
    </font>
    <font>
      <b/>
      <sz val="18.0"/>
      <color theme="1"/>
      <name val="Arial"/>
      <scheme val="minor"/>
    </font>
    <font>
      <sz val="11.0"/>
      <color rgb="FF000000"/>
      <name val="Calibri"/>
    </font>
    <font>
      <b/>
      <sz val="11.0"/>
      <color rgb="FFFF0000"/>
      <name val="Arial"/>
    </font>
    <font>
      <sz val="11.0"/>
      <color rgb="FFFF0000"/>
      <name val="Arial"/>
    </font>
    <font/>
    <font>
      <b/>
      <color rgb="FFFFFFFF"/>
      <name val="Arial"/>
      <scheme val="minor"/>
    </font>
    <font>
      <strike/>
      <color rgb="FFFF0000"/>
      <name val="Arial"/>
      <scheme val="minor"/>
    </font>
    <font>
      <strike/>
      <color theme="1"/>
      <name val="Arial"/>
      <scheme val="minor"/>
    </font>
    <font>
      <sz val="11.0"/>
      <color rgb="FF000000"/>
      <name val="Arial"/>
    </font>
    <font>
      <color rgb="FFFFFFFF"/>
      <name val="Arial"/>
      <scheme val="minor"/>
    </font>
    <font>
      <sz val="18.0"/>
      <color theme="1"/>
      <name val="Arial"/>
      <scheme val="minor"/>
    </font>
    <font>
      <sz val="14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rgb="FFFF0000"/>
      <name val="Arial"/>
      <scheme val="minor"/>
    </font>
    <font>
      <b/>
      <color rgb="FF38761D"/>
      <name val="Arial"/>
      <scheme val="minor"/>
    </font>
    <font>
      <color rgb="FF000000"/>
      <name val="Arial"/>
      <scheme val="minor"/>
    </font>
    <font>
      <b/>
      <color rgb="FF57BB8A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E67C73"/>
        <bgColor rgb="FFE67C73"/>
      </patternFill>
    </fill>
    <fill>
      <patternFill patternType="solid">
        <fgColor rgb="FFFFD966"/>
        <bgColor rgb="FFFFD966"/>
      </patternFill>
    </fill>
  </fills>
  <borders count="206">
    <border/>
    <border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ck">
        <color rgb="FF000000"/>
      </top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E3F4EC"/>
      </left>
      <right style="thin">
        <color rgb="FFE3F4EC"/>
      </right>
      <top style="thin">
        <color rgb="FFE3F4EC"/>
      </top>
      <bottom style="thin">
        <color rgb="FFE3F4EC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</border>
    <border>
      <left style="thin">
        <color rgb="FF5CBD8E"/>
      </left>
      <right style="thin">
        <color rgb="FF5CBD8E"/>
      </right>
      <top style="thin">
        <color rgb="FF5CBD8E"/>
      </top>
      <bottom style="thin">
        <color rgb="FF5CBD8E"/>
      </bottom>
    </border>
    <border>
      <left style="thin">
        <color rgb="FF57BB8A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72C69D"/>
      </left>
      <right style="thin">
        <color rgb="FF72C69D"/>
      </right>
      <top style="thin">
        <color rgb="FF72C69D"/>
      </top>
      <bottom style="thin">
        <color rgb="FF72C69D"/>
      </bottom>
    </border>
    <border>
      <left style="thin">
        <color rgb="FFAADDC4"/>
      </left>
      <right style="thin">
        <color rgb="FFAADDC4"/>
      </right>
      <top style="thin">
        <color rgb="FFAADDC4"/>
      </top>
      <bottom style="thin">
        <color rgb="FFAADDC4"/>
      </bottom>
    </border>
    <border>
      <left style="thin">
        <color rgb="FFBEE5D2"/>
      </left>
      <right style="thin">
        <color rgb="FFBEE5D2"/>
      </right>
      <top style="thin">
        <color rgb="FFBEE5D2"/>
      </top>
      <bottom style="thin">
        <color rgb="FFBEE5D2"/>
      </bottom>
    </border>
    <border>
      <left style="thin">
        <color rgb="FFB5E1CC"/>
      </left>
      <right style="thin">
        <color rgb="FFB5E1CC"/>
      </right>
      <top style="thin">
        <color rgb="FFB5E1CC"/>
      </top>
      <bottom style="thin">
        <color rgb="FFB5E1CC"/>
      </bottom>
    </border>
    <border>
      <left style="thin">
        <color rgb="FFF7D5D2"/>
      </left>
      <right style="thin">
        <color rgb="FF284E3F"/>
      </right>
      <top style="thin">
        <color rgb="FFF7D5D2"/>
      </top>
      <bottom style="thin">
        <color rgb="FFF7D5D2"/>
      </bottom>
    </border>
    <border>
      <left style="thin">
        <color rgb="FF284E3F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68C296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E67C73"/>
      </left>
      <right style="thin">
        <color rgb="FF284E3F"/>
      </right>
      <top style="thin">
        <color rgb="FFE67C73"/>
      </top>
      <bottom style="thin">
        <color rgb="FFE67C73"/>
      </bottom>
    </border>
    <border>
      <left style="thin">
        <color rgb="FFABDDC4"/>
      </left>
      <right style="thin">
        <color rgb="FFABDDC4"/>
      </right>
      <top style="thin">
        <color rgb="FFABDDC4"/>
      </top>
      <bottom style="thin">
        <color rgb="FFABDDC4"/>
      </bottom>
    </border>
    <border>
      <left style="thin">
        <color rgb="FF9FD9BD"/>
      </left>
      <right style="thin">
        <color rgb="FF9FD9BD"/>
      </right>
      <top style="thin">
        <color rgb="FF9FD9BD"/>
      </top>
      <bottom style="thin">
        <color rgb="FF9FD9BD"/>
      </bottom>
    </border>
    <border>
      <left style="thin">
        <color rgb="FF58BC8B"/>
      </left>
      <right style="thin">
        <color rgb="FF58BC8B"/>
      </right>
      <top style="thin">
        <color rgb="FF58BC8B"/>
      </top>
      <bottom style="thin">
        <color rgb="FF58BC8B"/>
      </bottom>
    </border>
    <border>
      <left style="thin">
        <color rgb="FF8ED2B1"/>
      </left>
      <right style="thin">
        <color rgb="FF8ED2B1"/>
      </right>
      <top style="thin">
        <color rgb="FF8ED2B1"/>
      </top>
      <bottom style="thin">
        <color rgb="FF8ED2B1"/>
      </bottom>
    </border>
    <border>
      <left style="thin">
        <color rgb="FFC6E8D7"/>
      </left>
      <right style="thin">
        <color rgb="FFC6E8D7"/>
      </right>
      <top style="thin">
        <color rgb="FFC6E8D7"/>
      </top>
      <bottom style="thin">
        <color rgb="FFC6E8D7"/>
      </bottom>
    </border>
    <border>
      <left style="thin">
        <color rgb="FF6CC498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61BF91"/>
      </left>
      <right style="thin">
        <color rgb="FF61BF91"/>
      </right>
      <top style="thin">
        <color rgb="FF61BF91"/>
      </top>
      <bottom style="thin">
        <color rgb="FF61BF91"/>
      </bottom>
    </border>
    <border>
      <left style="thin">
        <color rgb="FFF9DEDC"/>
      </left>
      <right style="thin">
        <color rgb="FF284E3F"/>
      </right>
      <top style="thin">
        <color rgb="FFF9DEDC"/>
      </top>
      <bottom style="thin">
        <color rgb="FFF9DEDC"/>
      </bottom>
    </border>
    <border>
      <left style="thin">
        <color rgb="FFC7E9D8"/>
      </left>
      <right style="thin">
        <color rgb="FFC7E9D8"/>
      </right>
      <top style="thin">
        <color rgb="FFC7E9D8"/>
      </top>
      <bottom style="thin">
        <color rgb="FFC7E9D8"/>
      </bottom>
    </border>
    <border>
      <left style="thin">
        <color rgb="FF9ED8BC"/>
      </left>
      <right style="thin">
        <color rgb="FF9ED8BC"/>
      </right>
      <top style="thin">
        <color rgb="FF9ED8BC"/>
      </top>
      <bottom style="thin">
        <color rgb="FF9ED8BC"/>
      </bottom>
    </border>
    <border>
      <left style="thin">
        <color rgb="FF75C79F"/>
      </left>
      <right style="thin">
        <color rgb="FF75C79F"/>
      </right>
      <top style="thin">
        <color rgb="FF75C79F"/>
      </top>
      <bottom style="thin">
        <color rgb="FF75C79F"/>
      </bottom>
    </border>
    <border>
      <left style="thin">
        <color rgb="FF83CDA8"/>
      </left>
      <right style="thin">
        <color rgb="FF83CDA8"/>
      </right>
      <top style="thin">
        <color rgb="FF83CDA8"/>
      </top>
      <bottom style="thin">
        <color rgb="FF83CDA8"/>
      </bottom>
    </border>
    <border>
      <left style="thin">
        <color rgb="FFD0ECDE"/>
      </left>
      <right style="thin">
        <color rgb="FFD0ECDE"/>
      </right>
      <top style="thin">
        <color rgb="FFD0ECDE"/>
      </top>
      <bottom style="thin">
        <color rgb="FFD0ECDE"/>
      </bottom>
    </border>
    <border>
      <left style="thin">
        <color rgb="FF8BD0AE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A1D9BE"/>
      </left>
      <right style="thin">
        <color rgb="FFA1D9BE"/>
      </right>
      <top style="thin">
        <color rgb="FFA1D9BE"/>
      </top>
      <bottom style="thin">
        <color rgb="FFA1D9BE"/>
      </bottom>
    </border>
    <border>
      <left style="thin">
        <color rgb="FF91D3B3"/>
      </left>
      <right style="thin">
        <color rgb="FF91D3B3"/>
      </right>
      <top style="thin">
        <color rgb="FF91D3B3"/>
      </top>
      <bottom style="thin">
        <color rgb="FF91D3B3"/>
      </bottom>
    </border>
    <border>
      <left style="thin">
        <color rgb="FF81CCA8"/>
      </left>
      <right style="thin">
        <color rgb="FF81CCA8"/>
      </right>
      <top style="thin">
        <color rgb="FF81CCA8"/>
      </top>
      <bottom style="thin">
        <color rgb="FF81CCA8"/>
      </bottom>
    </border>
    <border>
      <left style="thin">
        <color rgb="FFC8E9D9"/>
      </left>
      <right style="thin">
        <color rgb="FFC8E9D9"/>
      </right>
      <top style="thin">
        <color rgb="FFC8E9D9"/>
      </top>
      <bottom style="thin">
        <color rgb="FFC8E9D9"/>
      </bottom>
    </border>
    <border>
      <left style="thin">
        <color rgb="FF76C89F"/>
      </left>
      <right style="thin">
        <color rgb="FF76C89F"/>
      </right>
      <top style="thin">
        <color rgb="FF76C89F"/>
      </top>
      <bottom style="thin">
        <color rgb="FF76C89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90D2B2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A0D9BD"/>
      </left>
      <right style="thin">
        <color rgb="FFA0D9BD"/>
      </right>
      <top style="thin">
        <color rgb="FFA0D9BD"/>
      </top>
      <bottom style="thin">
        <color rgb="FFA0D9BD"/>
      </bottom>
    </border>
    <border>
      <left style="thin">
        <color rgb="FF5EBE8F"/>
      </left>
      <right style="thin">
        <color rgb="FF5EBE8F"/>
      </right>
      <top style="thin">
        <color rgb="FF5EBE8F"/>
      </top>
      <bottom style="thin">
        <color rgb="FF5EBE8F"/>
      </bottom>
    </border>
    <border>
      <left style="thin">
        <color rgb="FF83CDA9"/>
      </left>
      <right style="thin">
        <color rgb="FF83CDA9"/>
      </right>
      <top style="thin">
        <color rgb="FF83CDA9"/>
      </top>
      <bottom style="thin">
        <color rgb="FF83CDA9"/>
      </bottom>
    </border>
    <border>
      <left style="thin">
        <color rgb="FFD4EEE1"/>
      </left>
      <right style="thin">
        <color rgb="FFD4EEE1"/>
      </right>
      <top style="thin">
        <color rgb="FFD4EEE1"/>
      </top>
      <bottom style="thin">
        <color rgb="FFD4EEE1"/>
      </bottom>
    </border>
    <border>
      <left style="thin">
        <color rgb="FFC5E8D7"/>
      </left>
      <right style="thin">
        <color rgb="FFC5E8D7"/>
      </right>
      <top style="thin">
        <color rgb="FFC5E8D7"/>
      </top>
      <bottom style="thin">
        <color rgb="FFC5E8D7"/>
      </bottom>
    </border>
    <border>
      <left style="thin">
        <color rgb="FFF6CECA"/>
      </left>
      <right style="thin">
        <color rgb="FF284E3F"/>
      </right>
      <top style="thin">
        <color rgb="FFF6CECA"/>
      </top>
      <bottom style="thin">
        <color rgb="FFF6CECA"/>
      </bottom>
    </border>
    <border>
      <left style="thin">
        <color rgb="FF95D5B6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81CCA7"/>
      </left>
      <right style="thin">
        <color rgb="FF81CCA7"/>
      </right>
      <top style="thin">
        <color rgb="FF81CCA7"/>
      </top>
      <bottom style="thin">
        <color rgb="FF81CCA7"/>
      </bottom>
    </border>
    <border>
      <left style="thin">
        <color rgb="FFF9E0DE"/>
      </left>
      <right style="thin">
        <color rgb="FF284E3F"/>
      </right>
      <top style="thin">
        <color rgb="FFF9E0DE"/>
      </top>
      <bottom style="thin">
        <color rgb="FFF9E0DE"/>
      </bottom>
    </border>
    <border>
      <left style="thin">
        <color rgb="FF7BCAA3"/>
      </left>
      <right style="thin">
        <color rgb="FF7BCAA3"/>
      </right>
      <top style="thin">
        <color rgb="FF7BCAA3"/>
      </top>
      <bottom style="thin">
        <color rgb="FF7BCAA3"/>
      </bottom>
    </border>
    <border>
      <left style="thin">
        <color rgb="FFCCEBDB"/>
      </left>
      <right style="thin">
        <color rgb="FFCCEBDB"/>
      </right>
      <top style="thin">
        <color rgb="FFCCEBDB"/>
      </top>
      <bottom style="thin">
        <color rgb="FFCCEBDB"/>
      </bottom>
    </border>
    <border>
      <left style="thin">
        <color rgb="FF80CCA7"/>
      </left>
      <right style="thin">
        <color rgb="FF80CCA7"/>
      </right>
      <top style="thin">
        <color rgb="FF80CCA7"/>
      </top>
      <bottom style="thin">
        <color rgb="FF80CCA7"/>
      </bottom>
    </border>
    <border>
      <left style="thin">
        <color rgb="FFBDE4D1"/>
      </left>
      <right style="thin">
        <color rgb="FFBDE4D1"/>
      </right>
      <top style="thin">
        <color rgb="FFBDE4D1"/>
      </top>
      <bottom style="thin">
        <color rgb="FFBDE4D1"/>
      </bottom>
    </border>
    <border>
      <left style="thin">
        <color rgb="FF9AD6B9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8DD1B0"/>
      </left>
      <right style="thin">
        <color rgb="FF8DD1B0"/>
      </right>
      <top style="thin">
        <color rgb="FF8DD1B0"/>
      </top>
      <bottom style="thin">
        <color rgb="FF8DD1B0"/>
      </bottom>
    </border>
    <border>
      <left style="thin">
        <color rgb="FFFAE5E3"/>
      </left>
      <right style="thin">
        <color rgb="FF284E3F"/>
      </right>
      <top style="thin">
        <color rgb="FFFAE5E3"/>
      </top>
      <bottom style="thin">
        <color rgb="FFFAE5E3"/>
      </bottom>
    </border>
    <border>
      <left style="thin">
        <color rgb="FFF7FCF9"/>
      </left>
      <right style="thin">
        <color rgb="FFF7FCF9"/>
      </right>
      <top style="thin">
        <color rgb="FFF7FCF9"/>
      </top>
      <bottom style="thin">
        <color rgb="FFF7FCF9"/>
      </bottom>
    </border>
    <border>
      <left style="thin">
        <color rgb="FF68C296"/>
      </left>
      <right style="thin">
        <color rgb="FF68C296"/>
      </right>
      <top style="thin">
        <color rgb="FF68C296"/>
      </top>
      <bottom style="thin">
        <color rgb="FF68C296"/>
      </bottom>
    </border>
    <border>
      <left style="thin">
        <color rgb="FF85CEAA"/>
      </left>
      <right style="thin">
        <color rgb="FF85CEAA"/>
      </right>
      <top style="thin">
        <color rgb="FF85CEAA"/>
      </top>
      <bottom style="thin">
        <color rgb="FF85CEAA"/>
      </bottom>
    </border>
    <border>
      <left style="thin">
        <color rgb="FFABDDC5"/>
      </left>
      <right style="thin">
        <color rgb="FFABDDC5"/>
      </right>
      <top style="thin">
        <color rgb="FFABDDC5"/>
      </top>
      <bottom style="thin">
        <color rgb="FFABDDC5"/>
      </bottom>
    </border>
    <border>
      <left style="thin">
        <color rgb="FFA5DBC0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9FD8BC"/>
      </left>
      <right style="thin">
        <color rgb="FF9FD8BC"/>
      </right>
      <top style="thin">
        <color rgb="FF9FD8BC"/>
      </top>
      <bottom style="thin">
        <color rgb="FF9FD8BC"/>
      </bottom>
    </border>
    <border>
      <left style="thin">
        <color rgb="FF7FCBA6"/>
      </left>
      <right style="thin">
        <color rgb="FF7FCBA6"/>
      </right>
      <top style="thin">
        <color rgb="FF7FCBA6"/>
      </top>
      <bottom style="thin">
        <color rgb="FF7FCBA6"/>
      </bottom>
    </border>
    <border>
      <left style="thin">
        <color rgb="FFECF7F2"/>
      </left>
      <right style="thin">
        <color rgb="FFECF7F2"/>
      </right>
      <top style="thin">
        <color rgb="FFECF7F2"/>
      </top>
      <bottom style="thin">
        <color rgb="FFECF7F2"/>
      </bottom>
    </border>
    <border>
      <left style="thin">
        <color rgb="FFEFAAA4"/>
      </left>
      <right style="thin">
        <color rgb="FF284E3F"/>
      </right>
      <top style="thin">
        <color rgb="FFEFAAA4"/>
      </top>
      <bottom style="thin">
        <color rgb="FFEFAAA4"/>
      </bottom>
    </border>
    <border>
      <left style="thin">
        <color rgb="FF99D6B8"/>
      </left>
      <right style="thin">
        <color rgb="FF99D6B8"/>
      </right>
      <top style="thin">
        <color rgb="FF99D6B8"/>
      </top>
      <bottom style="thin">
        <color rgb="FF99D6B8"/>
      </bottom>
    </border>
    <border>
      <left style="thin">
        <color rgb="FFB0DFC8"/>
      </left>
      <right style="thin">
        <color rgb="FFB0DFC8"/>
      </right>
      <top style="thin">
        <color rgb="FFB0DFC8"/>
      </top>
      <bottom style="thin">
        <color rgb="FFB0DFC8"/>
      </bottom>
    </border>
    <border>
      <left style="thin">
        <color rgb="FFAEDEC6"/>
      </left>
      <right style="thin">
        <color rgb="FFAEDEC6"/>
      </right>
      <top style="thin">
        <color rgb="FFAEDEC6"/>
      </top>
      <bottom style="thin">
        <color rgb="FFAEDEC6"/>
      </bottom>
    </border>
    <border>
      <left style="thin">
        <color rgb="FFD2EDE0"/>
      </left>
      <right style="thin">
        <color rgb="FFD2EDE0"/>
      </right>
      <top style="thin">
        <color rgb="FFD2EDE0"/>
      </top>
      <bottom style="thin">
        <color rgb="FFD2EDE0"/>
      </bottom>
    </border>
    <border>
      <left style="thin">
        <color rgb="FFAADDC4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C9E9D9"/>
      </left>
      <right style="thin">
        <color rgb="FFC9E9D9"/>
      </right>
      <top style="thin">
        <color rgb="FFC9E9D9"/>
      </top>
      <bottom style="thin">
        <color rgb="FFC9E9D9"/>
      </bottom>
    </border>
    <border>
      <left style="thin">
        <color rgb="FF8DD1AF"/>
      </left>
      <right style="thin">
        <color rgb="FF8DD1AF"/>
      </right>
      <top style="thin">
        <color rgb="FF8DD1AF"/>
      </top>
      <bottom style="thin">
        <color rgb="FF8DD1AF"/>
      </bottom>
    </border>
    <border>
      <left style="thin">
        <color rgb="FFE2F4EB"/>
      </left>
      <right style="thin">
        <color rgb="FFE2F4EB"/>
      </right>
      <top style="thin">
        <color rgb="FFE2F4EB"/>
      </top>
      <bottom style="thin">
        <color rgb="FFE2F4EB"/>
      </bottom>
    </border>
    <border>
      <left style="thin">
        <color rgb="FF97D5B7"/>
      </left>
      <right style="thin">
        <color rgb="FF97D5B7"/>
      </right>
      <top style="thin">
        <color rgb="FF97D5B7"/>
      </top>
      <bottom style="thin">
        <color rgb="FF97D5B7"/>
      </bottom>
    </border>
    <border>
      <left style="thin">
        <color rgb="FFF8DBD8"/>
      </left>
      <right style="thin">
        <color rgb="FF284E3F"/>
      </right>
      <top style="thin">
        <color rgb="FFF8DBD8"/>
      </top>
      <bottom style="thin">
        <color rgb="FFF8DBD8"/>
      </bottom>
    </border>
    <border>
      <left style="thin">
        <color rgb="FFACDEC5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D0ECDE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9BD7BA"/>
      </left>
      <right style="thin">
        <color rgb="FF9BD7BA"/>
      </right>
      <top style="thin">
        <color rgb="FF9BD7BA"/>
      </top>
      <bottom style="thin">
        <color rgb="FF9BD7BA"/>
      </bottom>
    </border>
    <border>
      <left style="thin">
        <color rgb="FFF2BBB6"/>
      </left>
      <right style="thin">
        <color rgb="FF284E3F"/>
      </right>
      <top style="thin">
        <color rgb="FFF2BBB6"/>
      </top>
      <bottom style="thin">
        <color rgb="FFF2BBB6"/>
      </bottom>
    </border>
    <border>
      <left style="thin">
        <color rgb="FF70C59C"/>
      </left>
      <right style="thin">
        <color rgb="FF70C59C"/>
      </right>
      <top style="thin">
        <color rgb="FF70C59C"/>
      </top>
      <bottom style="thin">
        <color rgb="FF70C59C"/>
      </bottom>
    </border>
    <border>
      <left style="thin">
        <color rgb="FFD9F0E5"/>
      </left>
      <right style="thin">
        <color rgb="FFD9F0E5"/>
      </right>
      <top style="thin">
        <color rgb="FFD9F0E5"/>
      </top>
      <bottom style="thin">
        <color rgb="FFD9F0E5"/>
      </bottom>
    </border>
    <border>
      <left style="thin">
        <color rgb="FFE1F3EA"/>
      </left>
      <right style="thin">
        <color rgb="FFE1F3EA"/>
      </right>
      <top style="thin">
        <color rgb="FFE1F3EA"/>
      </top>
      <bottom style="thin">
        <color rgb="FFE1F3EA"/>
      </bottom>
    </border>
    <border>
      <left style="thin">
        <color rgb="FF98D6B7"/>
      </left>
      <right style="thin">
        <color rgb="FF98D6B7"/>
      </right>
      <top style="thin">
        <color rgb="FF98D6B7"/>
      </top>
      <bottom style="thin">
        <color rgb="FF98D6B7"/>
      </bottom>
    </border>
    <border>
      <left style="thin">
        <color rgb="FFB9E3CE"/>
      </left>
      <right style="thin">
        <color rgb="FFB9E3CE"/>
      </right>
      <top style="thin">
        <color rgb="FFB9E3CE"/>
      </top>
      <bottom style="thin">
        <color rgb="FFB9E3CE"/>
      </bottom>
    </border>
    <border>
      <left style="thin">
        <color rgb="FFD1EDDF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AEDFC7"/>
      </left>
      <right style="thin">
        <color rgb="FFAEDFC7"/>
      </right>
      <top style="thin">
        <color rgb="FFAEDFC7"/>
      </top>
      <bottom style="thin">
        <color rgb="FFAEDFC7"/>
      </bottom>
    </border>
    <border>
      <left style="thin">
        <color rgb="FFF7D1CE"/>
      </left>
      <right style="thin">
        <color rgb="FF284E3F"/>
      </right>
      <top style="thin">
        <color rgb="FFF7D1CE"/>
      </top>
      <bottom style="thin">
        <color rgb="FFF7D1CE"/>
      </bottom>
    </border>
    <border>
      <left style="thin">
        <color rgb="FFC0E6D3"/>
      </left>
      <right style="thin">
        <color rgb="FFC0E6D3"/>
      </right>
      <top style="thin">
        <color rgb="FFC0E6D3"/>
      </top>
      <bottom style="thin">
        <color rgb="FFC0E6D3"/>
      </bottom>
    </border>
    <border>
      <left style="thin">
        <color rgb="FFA9DDC3"/>
      </left>
      <right style="thin">
        <color rgb="FFA9DDC3"/>
      </right>
      <top style="thin">
        <color rgb="FFA9DDC3"/>
      </top>
      <bottom style="thin">
        <color rgb="FFA9DDC3"/>
      </bottom>
    </border>
    <border>
      <left style="thin">
        <color rgb="FF9CD7BA"/>
      </left>
      <right style="thin">
        <color rgb="FF9CD7BA"/>
      </right>
      <top style="thin">
        <color rgb="FF9CD7BA"/>
      </top>
      <bottom style="thin">
        <color rgb="FF9CD7BA"/>
      </bottom>
    </border>
    <border>
      <left style="thin">
        <color rgb="FFBBE4D0"/>
      </left>
      <right style="thin">
        <color rgb="FFBBE4D0"/>
      </right>
      <top style="thin">
        <color rgb="FFBBE4D0"/>
      </top>
      <bottom style="thin">
        <color rgb="FFBBE4D0"/>
      </bottom>
    </border>
    <border>
      <left style="thin">
        <color rgb="FFE2F3EB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64C193"/>
      </left>
      <right style="thin">
        <color rgb="FF64C193"/>
      </right>
      <top style="thin">
        <color rgb="FF64C193"/>
      </top>
      <bottom style="thin">
        <color rgb="FF64C193"/>
      </bottom>
    </border>
    <border>
      <left style="thin">
        <color rgb="FFDFF2E9"/>
      </left>
      <right style="thin">
        <color rgb="FFDFF2E9"/>
      </right>
      <top style="thin">
        <color rgb="FFDFF2E9"/>
      </top>
      <bottom style="thin">
        <color rgb="FFDFF2E9"/>
      </bottom>
    </border>
    <border>
      <left style="thin">
        <color rgb="FFF3FBF7"/>
      </left>
      <right style="thin">
        <color rgb="FFF3FBF7"/>
      </right>
      <top style="thin">
        <color rgb="FFF3FBF7"/>
      </top>
      <bottom style="thin">
        <color rgb="FFF3FBF7"/>
      </bottom>
    </border>
    <border>
      <left style="thin">
        <color rgb="FFE8837A"/>
      </left>
      <right style="thin">
        <color rgb="FF284E3F"/>
      </right>
      <top style="thin">
        <color rgb="FFE8837A"/>
      </top>
      <bottom style="thin">
        <color rgb="FFE8837A"/>
      </bottom>
    </border>
    <border>
      <left style="thin">
        <color rgb="FFD5EEE2"/>
      </left>
      <right style="thin">
        <color rgb="FFD5EEE2"/>
      </right>
      <top style="thin">
        <color rgb="FFD5EEE2"/>
      </top>
      <bottom style="thin">
        <color rgb="FFD5EEE2"/>
      </bottom>
    </border>
    <border>
      <left style="thin">
        <color rgb="FFADDEC6"/>
      </left>
      <right style="thin">
        <color rgb="FFADDEC6"/>
      </right>
      <top style="thin">
        <color rgb="FFADDEC6"/>
      </top>
      <bottom style="thin">
        <color rgb="FFADDEC6"/>
      </bottom>
    </border>
    <border>
      <left style="thin">
        <color rgb="FFDAF0E5"/>
      </left>
      <right style="thin">
        <color rgb="FFDAF0E5"/>
      </right>
      <top style="thin">
        <color rgb="FFDAF0E5"/>
      </top>
      <bottom style="thin">
        <color rgb="FFDAF0E5"/>
      </bottom>
    </border>
    <border>
      <left style="thin">
        <color rgb="FFEEF9F3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D6EFE3"/>
      </left>
      <right style="thin">
        <color rgb="FFD6EFE3"/>
      </right>
      <top style="thin">
        <color rgb="FFD6EFE3"/>
      </top>
      <bottom style="thin">
        <color rgb="FFD6EFE3"/>
      </bottom>
    </border>
    <border>
      <left style="thin">
        <color rgb="FFFAE4E2"/>
      </left>
      <right style="thin">
        <color rgb="FF284E3F"/>
      </right>
      <top style="thin">
        <color rgb="FFFAE4E2"/>
      </top>
      <bottom style="thin">
        <color rgb="FFFAE4E2"/>
      </bottom>
    </border>
    <border>
      <left style="thin">
        <color rgb="FFF3FBF7"/>
      </left>
      <right style="thin">
        <color rgb="FFF3FBF7"/>
      </right>
      <top style="thin">
        <color rgb="FF000000"/>
      </top>
      <bottom style="thin">
        <color rgb="FF000000"/>
      </bottom>
    </border>
    <border>
      <left style="thin">
        <color rgb="FFEFF9F4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C1E6D4"/>
      </left>
      <right style="thin">
        <color rgb="FFC1E6D4"/>
      </right>
      <top style="thin">
        <color rgb="FFC1E6D4"/>
      </top>
      <bottom style="thin">
        <color rgb="FFC1E6D4"/>
      </bottom>
    </border>
    <border>
      <left style="thin">
        <color rgb="FFCFECDE"/>
      </left>
      <right style="thin">
        <color rgb="FFCFECDE"/>
      </right>
      <top style="thin">
        <color rgb="FFCFECDE"/>
      </top>
      <bottom style="thin">
        <color rgb="FFCFECDE"/>
      </bottom>
    </border>
    <border>
      <left style="thin">
        <color rgb="FF87CFAB"/>
      </left>
      <right style="thin">
        <color rgb="FF87CFAB"/>
      </right>
      <top style="thin">
        <color rgb="FF87CFAB"/>
      </top>
      <bottom style="thin">
        <color rgb="FF87CFAB"/>
      </bottom>
    </border>
    <border>
      <left style="thin">
        <color rgb="FFECF8F2"/>
      </left>
      <right style="thin">
        <color rgb="FFECF8F2"/>
      </right>
      <top style="thin">
        <color rgb="FFECF8F2"/>
      </top>
      <bottom style="thin">
        <color rgb="FFECF8F2"/>
      </bottom>
    </border>
    <border>
      <left style="thin">
        <color rgb="FFFEFFFE"/>
      </left>
      <right style="thin">
        <color rgb="FFFEFFFE"/>
      </right>
      <top style="thin">
        <color rgb="FFFEFFFE"/>
      </top>
      <bottom style="thin">
        <color rgb="FFFEFFFE"/>
      </bottom>
    </border>
    <border>
      <left style="thin">
        <color rgb="FFF7D2CF"/>
      </left>
      <right style="thin">
        <color rgb="FF284E3F"/>
      </right>
      <top style="thin">
        <color rgb="FFF7D2CF"/>
      </top>
      <bottom style="thin">
        <color rgb="FFF7D2C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C1E6D4"/>
      </left>
      <right style="thin">
        <color rgb="FFC1E6D4"/>
      </right>
      <top style="thin">
        <color rgb="FFC1E6D4"/>
      </top>
      <bottom style="thin">
        <color rgb="FF284E3F"/>
      </bottom>
    </border>
    <border>
      <left style="thin">
        <color rgb="FFCFECDE"/>
      </left>
      <right style="thin">
        <color rgb="FFCFECDE"/>
      </right>
      <top style="thin">
        <color rgb="FFCFECDE"/>
      </top>
      <bottom style="thin">
        <color rgb="FF284E3F"/>
      </bottom>
    </border>
    <border>
      <left style="thin">
        <color rgb="FF87CFAB"/>
      </left>
      <right style="thin">
        <color rgb="FF87CFAB"/>
      </right>
      <top style="thin">
        <color rgb="FF87CFAB"/>
      </top>
      <bottom style="thin">
        <color rgb="FF284E3F"/>
      </bottom>
    </border>
    <border>
      <left style="thin">
        <color rgb="FFECF8F2"/>
      </left>
      <right style="thin">
        <color rgb="FFECF8F2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D5EEE2"/>
      </left>
      <right style="thin">
        <color rgb="FFD5EEE2"/>
      </right>
      <top style="thin">
        <color rgb="FFD5EEE2"/>
      </top>
      <bottom style="thin">
        <color rgb="FF284E3F"/>
      </bottom>
    </border>
    <border>
      <left style="thin">
        <color rgb="FFA9DDC3"/>
      </left>
      <right style="thin">
        <color rgb="FFA9DDC3"/>
      </right>
      <top style="thin">
        <color rgb="FFA9DDC3"/>
      </top>
      <bottom style="thin">
        <color rgb="FF284E3F"/>
      </bottom>
    </border>
    <border>
      <left style="thin">
        <color rgb="FFADDEC6"/>
      </left>
      <right style="thin">
        <color rgb="FFADDEC6"/>
      </right>
      <top style="thin">
        <color rgb="FFADDEC6"/>
      </top>
      <bottom style="thin">
        <color rgb="FF284E3F"/>
      </bottom>
    </border>
    <border>
      <left style="thin">
        <color rgb="FFDAF0E5"/>
      </left>
      <right style="thin">
        <color rgb="FFDAF0E5"/>
      </right>
      <top style="thin">
        <color rgb="FFDAF0E5"/>
      </top>
      <bottom style="thin">
        <color rgb="FF284E3F"/>
      </bottom>
    </border>
    <border>
      <left style="thin">
        <color rgb="FFFBEAE9"/>
      </left>
      <right style="thin">
        <color rgb="FF284E3F"/>
      </right>
      <top style="thin">
        <color rgb="FFFBEAE9"/>
      </top>
      <bottom style="thin">
        <color rgb="FF284E3F"/>
      </bottom>
    </border>
    <border>
      <left style="thin">
        <color rgb="FF284E3F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A8DCC3"/>
      </left>
      <right style="thin">
        <color rgb="FFA8DCC3"/>
      </right>
      <top style="thin">
        <color rgb="FFA8DCC3"/>
      </top>
      <bottom style="thin">
        <color rgb="FFA8DCC3"/>
      </bottom>
    </border>
    <border>
      <left style="thin">
        <color rgb="FF6AC397"/>
      </left>
      <right style="thin">
        <color rgb="FF6AC397"/>
      </right>
      <top style="thin">
        <color rgb="FF6AC397"/>
      </top>
      <bottom style="thin">
        <color rgb="FF6AC397"/>
      </bottom>
    </border>
    <border>
      <left style="thin">
        <color rgb="FF86CEAB"/>
      </left>
      <right style="thin">
        <color rgb="FF86CEAB"/>
      </right>
      <top style="thin">
        <color rgb="FF86CEAB"/>
      </top>
      <bottom style="thin">
        <color rgb="FF86CEAB"/>
      </bottom>
    </border>
    <border>
      <left style="thin">
        <color rgb="FFF9DBD9"/>
      </left>
      <right style="thin">
        <color rgb="FF284E3F"/>
      </right>
      <top style="thin">
        <color rgb="FFF9DBD9"/>
      </top>
      <bottom style="thin">
        <color rgb="FFF9DBD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76C8A0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8CD1AF"/>
      </left>
      <right style="thin">
        <color rgb="FF8CD1AF"/>
      </right>
      <top style="thin">
        <color rgb="FF8CD1AF"/>
      </top>
      <bottom style="thin">
        <color rgb="FF8CD1AF"/>
      </bottom>
    </border>
    <border>
      <left style="thin">
        <color rgb="FFBAE3CF"/>
      </left>
      <right style="thin">
        <color rgb="FFBAE3CF"/>
      </right>
      <top style="thin">
        <color rgb="FFBAE3CF"/>
      </top>
      <bottom style="thin">
        <color rgb="FFBAE3CF"/>
      </bottom>
    </border>
    <border>
      <left style="thin">
        <color rgb="FF76C8A0"/>
      </left>
      <right style="thin">
        <color rgb="FF76C8A0"/>
      </right>
      <top style="thin">
        <color rgb="FF76C8A0"/>
      </top>
      <bottom style="thin">
        <color rgb="FF76C8A0"/>
      </bottom>
    </border>
    <border>
      <left style="thin">
        <color rgb="FF65C194"/>
      </left>
      <right style="thin">
        <color rgb="FF65C194"/>
      </right>
      <top style="thin">
        <color rgb="FF65C194"/>
      </top>
      <bottom style="thin">
        <color rgb="FF65C194"/>
      </bottom>
    </border>
    <border>
      <left style="thin">
        <color rgb="FFFBEAE9"/>
      </left>
      <right style="thin">
        <color rgb="FF284E3F"/>
      </right>
      <top style="thin">
        <color rgb="FFFBEAE9"/>
      </top>
      <bottom style="thin">
        <color rgb="FFFBEAE9"/>
      </bottom>
    </border>
    <border>
      <left style="thin">
        <color rgb="FF7ECBA5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B2E0C9"/>
      </left>
      <right style="thin">
        <color rgb="FFB2E0C9"/>
      </right>
      <top style="thin">
        <color rgb="FFB2E0C9"/>
      </top>
      <bottom style="thin">
        <color rgb="FFB2E0C9"/>
      </bottom>
    </border>
    <border>
      <left style="thin">
        <color rgb="FFA2DABF"/>
      </left>
      <right style="thin">
        <color rgb="FFA2DABF"/>
      </right>
      <top style="thin">
        <color rgb="FFA2DABF"/>
      </top>
      <bottom style="thin">
        <color rgb="FFA2DABF"/>
      </bottom>
    </border>
    <border>
      <left style="thin">
        <color rgb="FF6FC59B"/>
      </left>
      <right style="thin">
        <color rgb="FF6FC59B"/>
      </right>
      <top style="thin">
        <color rgb="FF6FC59B"/>
      </top>
      <bottom style="thin">
        <color rgb="FF6FC59B"/>
      </bottom>
    </border>
    <border>
      <left style="thin">
        <color rgb="FF6EC59A"/>
      </left>
      <right style="thin">
        <color rgb="FF6EC59A"/>
      </right>
      <top style="thin">
        <color rgb="FF6EC59A"/>
      </top>
      <bottom style="thin">
        <color rgb="FF6EC59A"/>
      </bottom>
    </border>
    <border>
      <left style="thin">
        <color rgb="FFFCEFEE"/>
      </left>
      <right style="thin">
        <color rgb="FF284E3F"/>
      </right>
      <top style="thin">
        <color rgb="FFFCEFEE"/>
      </top>
      <bottom style="thin">
        <color rgb="FFFCEFEE"/>
      </bottom>
    </border>
    <border>
      <left style="thin">
        <color rgb="FF86CEAB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82CDA8"/>
      </left>
      <right style="thin">
        <color rgb="FF82CDA8"/>
      </right>
      <top style="thin">
        <color rgb="FF82CDA8"/>
      </top>
      <bottom style="thin">
        <color rgb="FF82CDA8"/>
      </bottom>
    </border>
    <border>
      <left style="thin">
        <color rgb="FF78C9A1"/>
      </left>
      <right style="thin">
        <color rgb="FF78C9A1"/>
      </right>
      <top style="thin">
        <color rgb="FF78C9A1"/>
      </top>
      <bottom style="thin">
        <color rgb="FF78C9A1"/>
      </bottom>
    </border>
    <border>
      <left style="thin">
        <color rgb="FF74C79F"/>
      </left>
      <right style="thin">
        <color rgb="FF74C79F"/>
      </right>
      <top style="thin">
        <color rgb="FF74C79F"/>
      </top>
      <bottom style="thin">
        <color rgb="FF74C79F"/>
      </bottom>
    </border>
    <border>
      <left style="thin">
        <color rgb="FFF3BFBB"/>
      </left>
      <right style="thin">
        <color rgb="FF284E3F"/>
      </right>
      <top style="thin">
        <color rgb="FFF3BFBB"/>
      </top>
      <bottom style="thin">
        <color rgb="FFF3BFBB"/>
      </bottom>
    </border>
    <border>
      <left style="thin">
        <color rgb="FF93D4B4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6BC398"/>
      </left>
      <right style="thin">
        <color rgb="FF6BC398"/>
      </right>
      <top style="thin">
        <color rgb="FF6BC398"/>
      </top>
      <bottom style="thin">
        <color rgb="FF6BC398"/>
      </bottom>
    </border>
    <border>
      <left style="thin">
        <color rgb="FF95D4B5"/>
      </left>
      <right style="thin">
        <color rgb="FF95D4B5"/>
      </right>
      <top style="thin">
        <color rgb="FF95D4B5"/>
      </top>
      <bottom style="thin">
        <color rgb="FF95D4B5"/>
      </bottom>
    </border>
    <border>
      <left style="thin">
        <color rgb="FFEB978F"/>
      </left>
      <right style="thin">
        <color rgb="FF284E3F"/>
      </right>
      <top style="thin">
        <color rgb="FFEB978F"/>
      </top>
      <bottom style="thin">
        <color rgb="FFEB978F"/>
      </bottom>
    </border>
    <border>
      <left style="thin">
        <color rgb="FFA8DCC3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A4DAC0"/>
      </left>
      <right style="thin">
        <color rgb="FFA4DAC0"/>
      </right>
      <top style="thin">
        <color rgb="FFA4DAC0"/>
      </top>
      <bottom style="thin">
        <color rgb="FFA4DAC0"/>
      </bottom>
    </border>
    <border>
      <left style="thin">
        <color rgb="FF69C397"/>
      </left>
      <right style="thin">
        <color rgb="FF69C397"/>
      </right>
      <top style="thin">
        <color rgb="FF69C397"/>
      </top>
      <bottom style="thin">
        <color rgb="FF69C397"/>
      </bottom>
    </border>
    <border>
      <left style="thin">
        <color rgb="FF94D4B5"/>
      </left>
      <right style="thin">
        <color rgb="FF94D4B5"/>
      </right>
      <top style="thin">
        <color rgb="FF94D4B5"/>
      </top>
      <bottom style="thin">
        <color rgb="FF94D4B5"/>
      </bottom>
    </border>
    <border>
      <left style="thin">
        <color rgb="FFF5CAC6"/>
      </left>
      <right style="thin">
        <color rgb="FF284E3F"/>
      </right>
      <top style="thin">
        <color rgb="FFF5CAC6"/>
      </top>
      <bottom style="thin">
        <color rgb="FFF5CAC6"/>
      </bottom>
    </border>
    <border>
      <left style="thin">
        <color rgb="FFB6E2CC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ACDEC6"/>
      </left>
      <right style="thin">
        <color rgb="FFACDEC6"/>
      </right>
      <top style="thin">
        <color rgb="FFACDEC6"/>
      </top>
      <bottom style="thin">
        <color rgb="FFACDEC6"/>
      </bottom>
    </border>
    <border>
      <left style="thin">
        <color rgb="FFB8E3CE"/>
      </left>
      <right style="thin">
        <color rgb="FFB8E3CE"/>
      </right>
      <top style="thin">
        <color rgb="FFB8E3CE"/>
      </top>
      <bottom style="thin">
        <color rgb="FFB8E3CE"/>
      </bottom>
    </border>
    <border>
      <left style="thin">
        <color rgb="FFC2E7D5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74C79E"/>
      </left>
      <right style="thin">
        <color rgb="FF74C79E"/>
      </right>
      <top style="thin">
        <color rgb="FF74C79E"/>
      </top>
      <bottom style="thin">
        <color rgb="FF74C79E"/>
      </bottom>
    </border>
    <border>
      <left style="thin">
        <color rgb="FF9BD7B9"/>
      </left>
      <right style="thin">
        <color rgb="FF9BD7B9"/>
      </right>
      <top style="thin">
        <color rgb="FF9BD7B9"/>
      </top>
      <bottom style="thin">
        <color rgb="FF9BD7B9"/>
      </bottom>
    </border>
    <border>
      <left style="thin">
        <color rgb="FF87CFAC"/>
      </left>
      <right style="thin">
        <color rgb="FF87CFAC"/>
      </right>
      <top style="thin">
        <color rgb="FF87CFAC"/>
      </top>
      <bottom style="thin">
        <color rgb="FF87CFAC"/>
      </bottom>
    </border>
    <border>
      <left style="thin">
        <color rgb="FFA4DBC0"/>
      </left>
      <right style="thin">
        <color rgb="FFA4DBC0"/>
      </right>
      <top style="thin">
        <color rgb="FFA4DBC0"/>
      </top>
      <bottom style="thin">
        <color rgb="FFA4DBC0"/>
      </bottom>
    </border>
    <border>
      <left style="thin">
        <color rgb="FFF7D4D1"/>
      </left>
      <right style="thin">
        <color rgb="FF284E3F"/>
      </right>
      <top style="thin">
        <color rgb="FFF7D4D1"/>
      </top>
      <bottom style="thin">
        <color rgb="FFF7D4D1"/>
      </bottom>
    </border>
    <border>
      <left style="thin">
        <color rgb="FFC4E7D6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63C092"/>
      </left>
      <right style="thin">
        <color rgb="FF63C092"/>
      </right>
      <top style="thin">
        <color rgb="FF63C092"/>
      </top>
      <bottom style="thin">
        <color rgb="FF63C092"/>
      </bottom>
    </border>
    <border>
      <left style="thin">
        <color rgb="FFCAEADA"/>
      </left>
      <right style="thin">
        <color rgb="FFCAEADA"/>
      </right>
      <top style="thin">
        <color rgb="FFCAEADA"/>
      </top>
      <bottom style="thin">
        <color rgb="FFCAEADA"/>
      </bottom>
    </border>
    <border>
      <left style="thin">
        <color rgb="FFD3EEE1"/>
      </left>
      <right style="thin">
        <color rgb="FFD3EEE1"/>
      </right>
      <top style="thin">
        <color rgb="FFD3EEE1"/>
      </top>
      <bottom style="thin">
        <color rgb="FFD3EEE1"/>
      </bottom>
    </border>
    <border>
      <left style="thin">
        <color rgb="FFA8DCC2"/>
      </left>
      <right style="thin">
        <color rgb="FFA8DCC2"/>
      </right>
      <top style="thin">
        <color rgb="FFA8DCC2"/>
      </top>
      <bottom style="thin">
        <color rgb="FFA8DCC2"/>
      </bottom>
    </border>
    <border>
      <left style="thin">
        <color rgb="FFF4C5C2"/>
      </left>
      <right style="thin">
        <color rgb="FF284E3F"/>
      </right>
      <top style="thin">
        <color rgb="FFF4C5C2"/>
      </top>
      <bottom style="thin">
        <color rgb="FFF4C5C2"/>
      </bottom>
    </border>
    <border>
      <left style="thin">
        <color rgb="FFCCEBDB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DDF2E8"/>
      </left>
      <right style="thin">
        <color rgb="FFDDF2E8"/>
      </right>
      <top style="thin">
        <color rgb="FFDDF2E8"/>
      </top>
      <bottom style="thin">
        <color rgb="FFDDF2E8"/>
      </bottom>
    </border>
    <border>
      <left style="thin">
        <color rgb="FFC4E7D6"/>
      </left>
      <right style="thin">
        <color rgb="FFC4E7D6"/>
      </right>
      <top style="thin">
        <color rgb="FFC4E7D6"/>
      </top>
      <bottom style="thin">
        <color rgb="FFC4E7D6"/>
      </bottom>
    </border>
    <border>
      <left style="thin">
        <color rgb="FFAFDFC8"/>
      </left>
      <right style="thin">
        <color rgb="FFAFDFC8"/>
      </right>
      <top style="thin">
        <color rgb="FFAFDFC8"/>
      </top>
      <bottom style="thin">
        <color rgb="FFAFDFC8"/>
      </bottom>
    </border>
    <border>
      <left style="thin">
        <color rgb="FFEFF9F4"/>
      </left>
      <right style="thin">
        <color rgb="FFEFF9F4"/>
      </right>
      <top style="thin">
        <color rgb="FFEFF9F4"/>
      </top>
      <bottom style="thin">
        <color rgb="FFEFF9F4"/>
      </bottom>
    </border>
    <border>
      <left style="thin">
        <color rgb="FF6EC49A"/>
      </left>
      <right style="thin">
        <color rgb="FF6EC49A"/>
      </right>
      <top style="thin">
        <color rgb="FF6EC49A"/>
      </top>
      <bottom style="thin">
        <color rgb="FF6EC49A"/>
      </bottom>
    </border>
    <border>
      <left style="thin">
        <color rgb="FFB1E0C9"/>
      </left>
      <right style="thin">
        <color rgb="FFB1E0C9"/>
      </right>
      <top style="thin">
        <color rgb="FFB1E0C9"/>
      </top>
      <bottom style="thin">
        <color rgb="FFB1E0C9"/>
      </bottom>
    </border>
    <border>
      <left style="thin">
        <color rgb="FFD3EDE0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D3EDE0"/>
      </left>
      <right style="thin">
        <color rgb="FFD3EDE0"/>
      </right>
      <top style="thin">
        <color rgb="FFD3EDE0"/>
      </top>
      <bottom style="thin">
        <color rgb="FFD3EDE0"/>
      </bottom>
    </border>
    <border>
      <left style="thin">
        <color rgb="FFDBF1E6"/>
      </left>
      <right style="thin">
        <color rgb="FFDBF1E6"/>
      </right>
      <top style="thin">
        <color rgb="FFDBF1E6"/>
      </top>
      <bottom style="thin">
        <color rgb="FFDBF1E6"/>
      </bottom>
    </border>
    <border>
      <left style="thin">
        <color rgb="FFF0AEA8"/>
      </left>
      <right style="thin">
        <color rgb="FF284E3F"/>
      </right>
      <top style="thin">
        <color rgb="FFF0AEA8"/>
      </top>
      <bottom style="thin">
        <color rgb="FFF0AEA8"/>
      </bottom>
    </border>
    <border>
      <left style="thin">
        <color rgb="FFDFF3E9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84CEAA"/>
      </left>
      <right style="thin">
        <color rgb="FF84CEAA"/>
      </right>
      <top style="thin">
        <color rgb="FF84CEAA"/>
      </top>
      <bottom style="thin">
        <color rgb="FF84CEAA"/>
      </bottom>
    </border>
    <border>
      <left style="thin">
        <color rgb="FFF1FAF5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DDF1E7"/>
      </left>
      <right style="thin">
        <color rgb="FFDDF1E7"/>
      </right>
      <top style="thin">
        <color rgb="FFDDF1E7"/>
      </top>
      <bottom style="thin">
        <color rgb="FFDDF1E7"/>
      </bottom>
    </border>
    <border>
      <left style="thin">
        <color rgb="FFFCFEFD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70C59B"/>
      </left>
      <right style="thin">
        <color rgb="FF70C59B"/>
      </right>
      <top style="thin">
        <color rgb="FF70C59B"/>
      </top>
      <bottom style="thin">
        <color rgb="FF70C59B"/>
      </bottom>
    </border>
    <border>
      <left style="thin">
        <color rgb="FFF2FAF6"/>
      </left>
      <right style="thin">
        <color rgb="FFF2FAF6"/>
      </right>
      <top style="thin">
        <color rgb="FFF2FAF6"/>
      </top>
      <bottom style="thin">
        <color rgb="FFF2FAF6"/>
      </bottom>
    </border>
    <border>
      <left style="thin">
        <color rgb="FFF2B8B3"/>
      </left>
      <right style="thin">
        <color rgb="FF284E3F"/>
      </right>
      <top style="thin">
        <color rgb="FFF2B8B3"/>
      </top>
      <bottom style="thin">
        <color rgb="FFF2B8B3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E0F3E9"/>
      </left>
      <right style="thin">
        <color rgb="FFE0F3E9"/>
      </right>
      <top style="thin">
        <color rgb="FFE0F3E9"/>
      </top>
      <bottom style="thin">
        <color rgb="FF284E3F"/>
      </bottom>
    </border>
    <border>
      <left style="thin">
        <color rgb="FFBAE4CF"/>
      </left>
      <right style="thin">
        <color rgb="FFBAE4CF"/>
      </right>
      <top style="thin">
        <color rgb="FFBAE4CF"/>
      </top>
      <bottom style="thin">
        <color rgb="FF284E3F"/>
      </bottom>
    </border>
    <border>
      <left style="thin">
        <color rgb="FFABDDC5"/>
      </left>
      <right style="thin">
        <color rgb="FFABDDC5"/>
      </right>
      <top style="thin">
        <color rgb="FFABDDC5"/>
      </top>
      <bottom style="thin">
        <color rgb="FF284E3F"/>
      </bottom>
    </border>
    <border>
      <left style="thin">
        <color rgb="FF90D2B2"/>
      </left>
      <right style="thin">
        <color rgb="FF90D2B2"/>
      </right>
      <top style="thin">
        <color rgb="FF90D2B2"/>
      </top>
      <bottom style="thin">
        <color rgb="FF284E3F"/>
      </bottom>
    </border>
    <border>
      <left style="thin">
        <color rgb="FFF5CAC6"/>
      </left>
      <right style="thin">
        <color rgb="FF284E3F"/>
      </right>
      <top style="thin">
        <color rgb="FFF5CAC6"/>
      </top>
      <bottom style="thin">
        <color rgb="FF284E3F"/>
      </bottom>
    </border>
  </borders>
  <cellStyleXfs count="1">
    <xf borderId="0" fillId="0" fontId="0" numFmtId="0" applyAlignment="1" applyFont="1"/>
  </cellStyleXfs>
  <cellXfs count="5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5" fillId="0" fontId="5" numFmtId="3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vertical="center"/>
    </xf>
    <xf borderId="1" fillId="4" fontId="5" numFmtId="164" xfId="0" applyAlignment="1" applyBorder="1" applyFill="1" applyFont="1" applyNumberForma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0" fillId="0" fontId="3" numFmtId="1" xfId="0" applyAlignment="1" applyFont="1" applyNumberForma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3" fillId="5" fontId="3" numFmtId="165" xfId="0" applyAlignment="1" applyBorder="1" applyFill="1" applyFont="1" applyNumberFormat="1">
      <alignment horizontal="center" readingOrder="0" shrinkToFit="0" vertical="center" wrapText="1"/>
    </xf>
    <xf borderId="0" fillId="5" fontId="3" numFmtId="165" xfId="0" applyAlignment="1" applyFont="1" applyNumberFormat="1">
      <alignment horizontal="center" readingOrder="0" shrinkToFit="0" vertical="center" wrapText="1"/>
    </xf>
    <xf borderId="4" fillId="0" fontId="3" numFmtId="10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readingOrder="0"/>
    </xf>
    <xf borderId="0" fillId="0" fontId="3" numFmtId="2" xfId="0" applyAlignment="1" applyFont="1" applyNumberFormat="1">
      <alignment horizontal="center" readingOrder="0" vertical="center"/>
    </xf>
    <xf borderId="1" fillId="4" fontId="5" numFmtId="3" xfId="0" applyAlignment="1" applyBorder="1" applyFont="1" applyNumberFormat="1">
      <alignment horizontal="center" readingOrder="0" vertical="center"/>
    </xf>
    <xf borderId="0" fillId="6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0" fontId="4" numFmtId="0" xfId="0" applyFont="1"/>
    <xf borderId="0" fillId="6" fontId="4" numFmtId="0" xfId="0" applyFont="1"/>
    <xf borderId="0" fillId="8" fontId="4" numFmtId="0" xfId="0" applyFont="1"/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0" fillId="0" fontId="4" numFmtId="1" xfId="0" applyAlignment="1" applyFont="1" applyNumberFormat="1">
      <alignment readingOrder="0"/>
    </xf>
    <xf borderId="0" fillId="0" fontId="3" numFmtId="3" xfId="0" applyFont="1" applyNumberFormat="1"/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6" fontId="3" numFmtId="1" xfId="0" applyAlignment="1" applyFont="1" applyNumberFormat="1">
      <alignment readingOrder="0"/>
    </xf>
    <xf borderId="0" fillId="9" fontId="3" numFmtId="1" xfId="0" applyAlignment="1" applyFill="1" applyFont="1" applyNumberFormat="1">
      <alignment readingOrder="0"/>
    </xf>
    <xf borderId="0" fillId="9" fontId="3" numFmtId="1" xfId="0" applyFont="1" applyNumberFormat="1"/>
    <xf borderId="0" fillId="10" fontId="3" numFmtId="0" xfId="0" applyAlignment="1" applyFill="1" applyFont="1">
      <alignment readingOrder="0"/>
    </xf>
    <xf borderId="0" fillId="6" fontId="3" numFmtId="1" xfId="0" applyFont="1" applyNumberFormat="1"/>
    <xf borderId="0" fillId="0" fontId="3" numFmtId="1" xfId="0" applyFont="1" applyNumberFormat="1"/>
    <xf borderId="0" fillId="0" fontId="3" numFmtId="3" xfId="0" applyAlignment="1" applyFont="1" applyNumberFormat="1">
      <alignment readingOrder="0"/>
    </xf>
    <xf borderId="0" fillId="7" fontId="3" numFmtId="3" xfId="0" applyFont="1" applyNumberFormat="1"/>
    <xf borderId="0" fillId="7" fontId="3" numFmtId="0" xfId="0" applyFont="1"/>
    <xf borderId="0" fillId="11" fontId="3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10" fontId="4" numFmtId="0" xfId="0" applyAlignment="1" applyFont="1">
      <alignment readingOrder="0"/>
    </xf>
    <xf borderId="0" fillId="10" fontId="4" numFmtId="3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11" fontId="4" numFmtId="0" xfId="0" applyAlignment="1" applyFont="1">
      <alignment readingOrder="0"/>
    </xf>
    <xf borderId="0" fillId="10" fontId="3" numFmtId="0" xfId="0" applyFont="1"/>
    <xf borderId="0" fillId="11" fontId="3" numFmtId="0" xfId="0" applyFont="1"/>
    <xf borderId="0" fillId="5" fontId="3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" xfId="0" applyAlignment="1" applyFont="1" applyNumberFormat="1">
      <alignment horizontal="center" readingOrder="0" shrinkToFit="0" vertical="center" wrapText="1"/>
    </xf>
    <xf borderId="0" fillId="12" fontId="3" numFmtId="1" xfId="0" applyAlignment="1" applyFill="1" applyFont="1" applyNumberFormat="1">
      <alignment horizontal="center" readingOrder="0" shrinkToFit="0" vertical="center" wrapText="1"/>
    </xf>
    <xf borderId="0" fillId="12" fontId="3" numFmtId="0" xfId="0" applyAlignment="1" applyFont="1">
      <alignment horizontal="center" readingOrder="0" shrinkToFit="0" vertical="center" wrapText="1"/>
    </xf>
    <xf borderId="1" fillId="4" fontId="5" numFmtId="164" xfId="0" applyAlignment="1" applyBorder="1" applyFont="1" applyNumberFormat="1">
      <alignment horizontal="center" vertical="center"/>
    </xf>
    <xf borderId="5" fillId="4" fontId="5" numFmtId="164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13" fontId="3" numFmtId="1" xfId="0" applyAlignment="1" applyFill="1" applyFont="1" applyNumberForma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2" fillId="7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10" fontId="9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10" fontId="9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14" fontId="3" numFmtId="0" xfId="0" applyAlignment="1" applyBorder="1" applyFill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4" xfId="0" applyAlignment="1" applyFont="1" applyNumberFormat="1">
      <alignment readingOrder="0"/>
    </xf>
    <xf borderId="4" fillId="0" fontId="3" numFmtId="0" xfId="0" applyAlignment="1" applyBorder="1" applyFont="1">
      <alignment horizontal="center" readingOrder="0" shrinkToFit="0" vertical="center" wrapText="1"/>
    </xf>
    <xf borderId="0" fillId="15" fontId="3" numFmtId="0" xfId="0" applyAlignment="1" applyFill="1" applyFont="1">
      <alignment horizontal="center" readingOrder="0" shrinkToFit="0" vertical="center" wrapText="1"/>
    </xf>
    <xf borderId="0" fillId="15" fontId="3" numFmtId="1" xfId="0" applyAlignment="1" applyFont="1" applyNumberFormat="1">
      <alignment horizontal="center" readingOrder="0" shrinkToFit="0" vertical="center" wrapText="1"/>
    </xf>
    <xf borderId="4" fillId="0" fontId="3" numFmtId="1" xfId="0" applyAlignment="1" applyBorder="1" applyFont="1" applyNumberFormat="1">
      <alignment horizontal="center" readingOrder="0" vertical="center"/>
    </xf>
    <xf borderId="0" fillId="16" fontId="3" numFmtId="0" xfId="0" applyAlignment="1" applyFill="1" applyFont="1">
      <alignment horizontal="center" vertical="center"/>
    </xf>
    <xf borderId="0" fillId="16" fontId="3" numFmtId="1" xfId="0" applyAlignment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16" fontId="3" numFmtId="0" xfId="0" applyAlignment="1" applyFont="1">
      <alignment horizontal="center" readingOrder="0" vertical="center"/>
    </xf>
    <xf borderId="0" fillId="16" fontId="3" numFmtId="1" xfId="0" applyAlignment="1" applyFont="1" applyNumberFormat="1">
      <alignment horizontal="center" vertical="center"/>
    </xf>
    <xf borderId="1" fillId="7" fontId="5" numFmtId="3" xfId="0" applyAlignment="1" applyBorder="1" applyFont="1" applyNumberFormat="1">
      <alignment horizontal="center" vertical="center"/>
    </xf>
    <xf borderId="0" fillId="0" fontId="12" numFmtId="1" xfId="0" applyAlignment="1" applyFont="1" applyNumberFormat="1">
      <alignment horizontal="center" readingOrder="0" vertical="center"/>
    </xf>
    <xf borderId="0" fillId="0" fontId="3" numFmtId="9" xfId="0" applyFont="1" applyNumberFormat="1"/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9" fontId="3" numFmtId="0" xfId="0" applyAlignment="1" applyFont="1">
      <alignment readingOrder="0"/>
    </xf>
    <xf borderId="0" fillId="0" fontId="3" numFmtId="10" xfId="0" applyFont="1" applyNumberFormat="1"/>
    <xf borderId="0" fillId="0" fontId="4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0" fillId="7" fontId="3" numFmtId="10" xfId="0" applyFont="1" applyNumberFormat="1"/>
    <xf borderId="0" fillId="0" fontId="4" numFmtId="0" xfId="0" applyAlignment="1" applyFont="1">
      <alignment horizontal="center" readingOrder="0"/>
    </xf>
    <xf borderId="0" fillId="0" fontId="3" numFmtId="166" xfId="0" applyFont="1" applyNumberFormat="1"/>
    <xf borderId="0" fillId="14" fontId="3" numFmtId="0" xfId="0" applyAlignment="1" applyFont="1">
      <alignment readingOrder="0"/>
    </xf>
    <xf borderId="7" fillId="17" fontId="14" numFmtId="0" xfId="0" applyAlignment="1" applyBorder="1" applyFill="1" applyFont="1">
      <alignment horizontal="right" readingOrder="0" shrinkToFit="0" vertical="bottom" wrapText="0"/>
    </xf>
    <xf borderId="0" fillId="0" fontId="3" numFmtId="4" xfId="0" applyFont="1" applyNumberFormat="1"/>
    <xf borderId="7" fillId="18" fontId="14" numFmtId="0" xfId="0" applyAlignment="1" applyBorder="1" applyFill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0" fillId="10" fontId="3" numFmtId="167" xfId="0" applyAlignment="1" applyFont="1" applyNumberFormat="1">
      <alignment readingOrder="0"/>
    </xf>
    <xf borderId="0" fillId="19" fontId="4" numFmtId="0" xfId="0" applyAlignment="1" applyFill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168" xfId="0" applyFont="1" applyNumberFormat="1"/>
    <xf borderId="0" fillId="0" fontId="4" numFmtId="4" xfId="0" applyFont="1" applyNumberFormat="1"/>
    <xf borderId="0" fillId="0" fontId="3" numFmtId="168" xfId="0" applyAlignment="1" applyFont="1" applyNumberFormat="1">
      <alignment readingOrder="0"/>
    </xf>
    <xf borderId="8" fillId="0" fontId="5" numFmtId="4" xfId="0" applyAlignment="1" applyBorder="1" applyFont="1" applyNumberFormat="1">
      <alignment readingOrder="0" shrinkToFit="0" wrapText="1"/>
    </xf>
    <xf borderId="0" fillId="0" fontId="3" numFmtId="49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9" xfId="0" applyAlignment="1" applyBorder="1" applyFont="1" applyNumberFormat="1">
      <alignment horizontal="center" readingOrder="0" shrinkToFit="0" vertical="center" wrapText="1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4" numFmtId="2" xfId="0" applyAlignment="1" applyFont="1" applyNumberFormat="1">
      <alignment horizontal="center"/>
    </xf>
    <xf borderId="0" fillId="0" fontId="4" numFmtId="0" xfId="0" applyAlignment="1" applyFont="1">
      <alignment horizontal="center" readingOrder="0" vertical="center"/>
    </xf>
    <xf borderId="0" fillId="14" fontId="3" numFmtId="0" xfId="0" applyFont="1"/>
    <xf borderId="0" fillId="14" fontId="3" numFmtId="0" xfId="0" applyFont="1"/>
    <xf borderId="0" fillId="0" fontId="3" numFmtId="49" xfId="0" applyFont="1" applyNumberFormat="1"/>
    <xf borderId="1" fillId="0" fontId="3" numFmtId="0" xfId="0" applyAlignment="1" applyBorder="1" applyFont="1">
      <alignment horizontal="center" shrinkToFit="0" vertical="center" wrapText="1"/>
    </xf>
    <xf borderId="9" fillId="20" fontId="4" numFmtId="0" xfId="0" applyAlignment="1" applyBorder="1" applyFill="1" applyFont="1">
      <alignment horizontal="center" readingOrder="0" shrinkToFit="0" vertical="center" wrapText="1"/>
    </xf>
    <xf borderId="1" fillId="0" fontId="17" numFmtId="0" xfId="0" applyBorder="1" applyFont="1"/>
    <xf borderId="9" fillId="21" fontId="18" numFmtId="0" xfId="0" applyAlignment="1" applyBorder="1" applyFill="1" applyFont="1">
      <alignment horizontal="center" readingOrder="0" shrinkToFit="0" vertical="center" wrapText="1"/>
    </xf>
    <xf borderId="2" fillId="0" fontId="17" numFmtId="0" xfId="0" applyBorder="1" applyFont="1"/>
    <xf borderId="0" fillId="0" fontId="3" numFmtId="0" xfId="0" applyAlignment="1" applyFont="1">
      <alignment horizontal="center" shrinkToFit="0" vertical="center" wrapText="1"/>
    </xf>
    <xf borderId="9" fillId="14" fontId="4" numFmtId="0" xfId="0" applyAlignment="1" applyBorder="1" applyFont="1">
      <alignment horizontal="center" readingOrder="0" shrinkToFit="0" vertical="center" wrapText="1"/>
    </xf>
    <xf borderId="1" fillId="14" fontId="4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readingOrder="0" shrinkToFit="0" vertical="center" wrapText="1"/>
    </xf>
    <xf borderId="9" fillId="0" fontId="3" numFmtId="1" xfId="0" applyAlignment="1" applyBorder="1" applyFont="1" applyNumberForma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shrinkToFit="0" vertical="center" wrapText="1"/>
    </xf>
    <xf borderId="1" fillId="0" fontId="3" numFmtId="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19" numFmtId="0" xfId="0" applyAlignment="1" applyFont="1">
      <alignment readingOrder="0"/>
    </xf>
    <xf borderId="0" fillId="0" fontId="20" numFmtId="0" xfId="0" applyFont="1"/>
    <xf borderId="9" fillId="0" fontId="3" numFmtId="1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20" numFmtId="0" xfId="0" applyAlignment="1" applyFont="1">
      <alignment readingOrder="0"/>
    </xf>
    <xf borderId="9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15" fontId="4" numFmtId="0" xfId="0" applyAlignment="1" applyFont="1">
      <alignment horizontal="center" readingOrder="0" shrinkToFit="0" vertical="center" wrapText="1"/>
    </xf>
    <xf borderId="0" fillId="14" fontId="3" numFmtId="0" xfId="0" applyAlignment="1" applyFont="1">
      <alignment horizontal="center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0" fillId="15" fontId="4" numFmtId="0" xfId="0" applyAlignment="1" applyFont="1">
      <alignment horizontal="center" readingOrder="0" vertical="center"/>
    </xf>
    <xf borderId="0" fillId="0" fontId="3" numFmtId="9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 shrinkToFit="0" vertical="center" wrapText="1"/>
    </xf>
    <xf borderId="0" fillId="9" fontId="3" numFmtId="0" xfId="0" applyFont="1"/>
    <xf borderId="0" fillId="0" fontId="3" numFmtId="3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17" numFmtId="0" xfId="0" applyBorder="1" applyFont="1"/>
    <xf borderId="9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9" fillId="6" fontId="3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9" fillId="9" fontId="3" numFmtId="0" xfId="0" applyAlignment="1" applyBorder="1" applyFont="1">
      <alignment horizontal="center" readingOrder="0" shrinkToFit="0" vertical="center" wrapText="1"/>
    </xf>
    <xf borderId="1" fillId="22" fontId="22" numFmtId="0" xfId="0" applyAlignment="1" applyBorder="1" applyFill="1" applyFont="1">
      <alignment horizontal="center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9" fillId="10" fontId="3" numFmtId="0" xfId="0" applyAlignment="1" applyBorder="1" applyFont="1">
      <alignment horizontal="center" readingOrder="0" shrinkToFit="0" vertical="center" wrapText="1"/>
    </xf>
    <xf borderId="2" fillId="9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10" fillId="22" fontId="22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10" fillId="9" fontId="3" numFmtId="0" xfId="0" applyAlignment="1" applyBorder="1" applyFont="1">
      <alignment horizontal="center" readingOrder="0" vertical="center"/>
    </xf>
    <xf borderId="5" fillId="9" fontId="3" numFmtId="0" xfId="0" applyAlignment="1" applyBorder="1" applyFont="1">
      <alignment horizontal="center" readingOrder="0" vertical="center"/>
    </xf>
    <xf borderId="9" fillId="22" fontId="22" numFmtId="0" xfId="0" applyAlignment="1" applyBorder="1" applyFon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0" fillId="0" fontId="23" numFmtId="1" xfId="0" applyAlignment="1" applyFont="1" applyNumberFormat="1">
      <alignment horizontal="center" vertical="center"/>
    </xf>
    <xf borderId="0" fillId="0" fontId="23" numFmtId="0" xfId="0" applyFont="1"/>
    <xf borderId="0" fillId="0" fontId="24" numFmtId="0" xfId="0" applyAlignment="1" applyFont="1">
      <alignment readingOrder="0"/>
    </xf>
    <xf borderId="0" fillId="0" fontId="13" numFmtId="1" xfId="0" applyAlignment="1" applyFont="1" applyNumberFormat="1">
      <alignment horizontal="center" readingOrder="0" shrinkToFit="0" vertical="center" wrapText="1"/>
    </xf>
    <xf borderId="1" fillId="0" fontId="25" numFmtId="1" xfId="0" applyAlignment="1" applyBorder="1" applyFont="1" applyNumberFormat="1">
      <alignment horizontal="center" readingOrder="0" shrinkToFit="0" vertical="center" wrapText="1"/>
    </xf>
    <xf borderId="1" fillId="0" fontId="26" numFmtId="1" xfId="0" applyAlignment="1" applyBorder="1" applyFont="1" applyNumberFormat="1">
      <alignment horizontal="center" readingOrder="0" vertical="center"/>
    </xf>
    <xf borderId="0" fillId="0" fontId="23" numFmtId="1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7" fontId="4" numFmtId="1" xfId="0" applyAlignment="1" applyFont="1" applyNumberFormat="1">
      <alignment horizontal="center" readingOrder="0" shrinkToFit="0" vertical="center" wrapText="1"/>
    </xf>
    <xf borderId="0" fillId="8" fontId="3" numFmtId="0" xfId="0" applyAlignment="1" applyFont="1">
      <alignment readingOrder="0" shrinkToFit="0" wrapText="1"/>
    </xf>
    <xf borderId="0" fillId="0" fontId="4" numFmtId="1" xfId="0" applyAlignment="1" applyFont="1" applyNumberFormat="1">
      <alignment horizontal="center" readingOrder="0" shrinkToFit="0" vertical="center" wrapText="1"/>
    </xf>
    <xf borderId="1" fillId="0" fontId="26" numFmtId="1" xfId="0" applyAlignment="1" applyBorder="1" applyFont="1" applyNumberFormat="1">
      <alignment horizontal="center" readingOrder="0" shrinkToFit="0" vertical="center" wrapText="1"/>
    </xf>
    <xf borderId="1" fillId="0" fontId="26" numFmtId="9" xfId="0" applyAlignment="1" applyBorder="1" applyFont="1" applyNumberFormat="1">
      <alignment horizontal="center" readingOrder="0" shrinkToFit="0" vertical="center" wrapText="1"/>
    </xf>
    <xf borderId="0" fillId="0" fontId="4" numFmtId="9" xfId="0" applyAlignment="1" applyFont="1" applyNumberFormat="1">
      <alignment horizontal="center" readingOrder="0" shrinkToFit="0" vertical="center" wrapText="1"/>
    </xf>
    <xf quotePrefix="1" borderId="0" fillId="21" fontId="18" numFmtId="0" xfId="0" applyAlignment="1" applyFont="1">
      <alignment horizontal="center" readingOrder="0" shrinkToFit="0" vertical="center" wrapText="1"/>
    </xf>
    <xf borderId="0" fillId="21" fontId="18" numFmtId="0" xfId="0" applyAlignment="1" applyFont="1">
      <alignment horizontal="center" readingOrder="0" shrinkToFit="0" vertical="center" wrapText="1"/>
    </xf>
    <xf quotePrefix="1" borderId="0" fillId="0" fontId="3" numFmtId="0" xfId="0" applyAlignment="1" applyFont="1">
      <alignment readingOrder="0" shrinkToFit="0" wrapText="1"/>
    </xf>
    <xf quotePrefix="1" borderId="0" fillId="8" fontId="4" numFmtId="0" xfId="0" applyAlignment="1" applyFont="1">
      <alignment horizontal="center" readingOrder="0" shrinkToFit="0" vertical="center" wrapText="1"/>
    </xf>
    <xf quotePrefix="1" borderId="0" fillId="0" fontId="4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readingOrder="0" shrinkToFit="0" wrapText="1"/>
    </xf>
    <xf borderId="0" fillId="0" fontId="18" numFmtId="0" xfId="0" applyAlignment="1" applyFont="1">
      <alignment horizontal="center" readingOrder="0" shrinkToFit="0" vertical="center" wrapText="1"/>
    </xf>
    <xf borderId="0" fillId="8" fontId="4" numFmtId="1" xfId="0" applyAlignment="1" applyFont="1" applyNumberFormat="1">
      <alignment horizontal="center" readingOrder="0" shrinkToFit="0" vertical="center" wrapText="1"/>
    </xf>
    <xf borderId="1" fillId="0" fontId="14" numFmtId="9" xfId="0" applyAlignment="1" applyBorder="1" applyFont="1" applyNumberFormat="1">
      <alignment horizontal="center" readingOrder="0" shrinkToFit="0" vertical="center" wrapText="0"/>
    </xf>
    <xf quotePrefix="1" borderId="0" fillId="0" fontId="3" numFmtId="0" xfId="0" applyAlignment="1" applyFont="1">
      <alignment horizontal="center" readingOrder="0" shrinkToFit="0" vertical="center" wrapText="1"/>
    </xf>
    <xf borderId="0" fillId="7" fontId="3" numFmtId="1" xfId="0" applyAlignment="1" applyFont="1" applyNumberFormat="1">
      <alignment horizontal="center" readingOrder="0" shrinkToFit="0" vertical="center" wrapText="1"/>
    </xf>
    <xf borderId="0" fillId="23" fontId="22" numFmtId="1" xfId="0" applyAlignment="1" applyFill="1" applyFont="1" applyNumberFormat="1">
      <alignment horizontal="center" readingOrder="0" shrinkToFit="0" vertical="center" wrapText="1"/>
    </xf>
    <xf quotePrefix="1" borderId="0" fillId="24" fontId="22" numFmtId="0" xfId="0" applyAlignment="1" applyFill="1" applyFont="1">
      <alignment readingOrder="0" shrinkToFit="0" wrapText="1"/>
    </xf>
    <xf borderId="0" fillId="8" fontId="3" numFmtId="1" xfId="0" applyAlignment="1" applyFont="1" applyNumberFormat="1">
      <alignment horizontal="center" readingOrder="0" shrinkToFit="0" vertical="center" wrapText="1"/>
    </xf>
    <xf borderId="0" fillId="24" fontId="22" numFmtId="1" xfId="0" applyAlignment="1" applyFont="1" applyNumberFormat="1">
      <alignment horizontal="center" readingOrder="0" shrinkToFit="0" vertical="center" wrapText="1"/>
    </xf>
    <xf borderId="1" fillId="0" fontId="25" numFmtId="9" xfId="0" applyAlignment="1" applyBorder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horizontal="center" readingOrder="0" vertical="center"/>
    </xf>
    <xf borderId="0" fillId="0" fontId="4" numFmtId="166" xfId="0" applyFont="1" applyNumberFormat="1"/>
    <xf borderId="0" fillId="0" fontId="1" numFmtId="166" xfId="0" applyAlignment="1" applyFont="1" applyNumberFormat="1">
      <alignment horizontal="right" vertical="bottom"/>
    </xf>
    <xf borderId="0" fillId="6" fontId="4" numFmtId="166" xfId="0" applyFont="1" applyNumberFormat="1"/>
    <xf borderId="0" fillId="8" fontId="4" numFmtId="166" xfId="0" applyFont="1" applyNumberFormat="1"/>
    <xf borderId="1" fillId="0" fontId="26" numFmtId="166" xfId="0" applyAlignment="1" applyBorder="1" applyFont="1" applyNumberFormat="1">
      <alignment horizontal="center" readingOrder="0" vertical="center"/>
    </xf>
    <xf borderId="1" fillId="0" fontId="26" numFmtId="9" xfId="0" applyAlignment="1" applyBorder="1" applyFont="1" applyNumberFormat="1">
      <alignment horizontal="center" readingOrder="0" vertical="center"/>
    </xf>
    <xf borderId="0" fillId="25" fontId="1" numFmtId="166" xfId="0" applyAlignment="1" applyFill="1" applyFont="1" applyNumberFormat="1">
      <alignment horizontal="right" vertical="bottom"/>
    </xf>
    <xf borderId="0" fillId="0" fontId="3" numFmtId="166" xfId="0" applyAlignment="1" applyFont="1" applyNumberFormat="1">
      <alignment horizontal="center" readingOrder="0" vertical="center"/>
    </xf>
    <xf borderId="0" fillId="0" fontId="4" numFmtId="166" xfId="0" applyAlignment="1" applyFont="1" applyNumberFormat="1">
      <alignment readingOrder="0"/>
    </xf>
    <xf borderId="11" fillId="0" fontId="3" numFmtId="1" xfId="0" applyAlignment="1" applyBorder="1" applyFont="1" applyNumberFormat="1">
      <alignment horizontal="center" readingOrder="0" vertical="center"/>
    </xf>
    <xf borderId="11" fillId="0" fontId="3" numFmtId="9" xfId="0" applyAlignment="1" applyBorder="1" applyFont="1" applyNumberFormat="1">
      <alignment horizontal="center" readingOrder="0" vertical="center"/>
    </xf>
    <xf borderId="0" fillId="9" fontId="3" numFmtId="0" xfId="0" applyAlignment="1" applyFont="1">
      <alignment horizontal="center" readingOrder="0" vertical="center"/>
    </xf>
    <xf borderId="0" fillId="6" fontId="3" numFmtId="1" xfId="0" applyAlignment="1" applyFont="1" applyNumberFormat="1">
      <alignment horizontal="center" readingOrder="0" vertical="center"/>
    </xf>
    <xf borderId="0" fillId="9" fontId="3" numFmtId="1" xfId="0" applyAlignment="1" applyFont="1" applyNumberFormat="1">
      <alignment horizontal="center" readingOrder="0" vertical="center"/>
    </xf>
    <xf borderId="0" fillId="9" fontId="3" numFmtId="166" xfId="0" applyAlignment="1" applyFont="1" applyNumberFormat="1">
      <alignment horizontal="center" readingOrder="0" vertical="center"/>
    </xf>
    <xf borderId="0" fillId="6" fontId="3" numFmtId="166" xfId="0" applyAlignment="1" applyFont="1" applyNumberFormat="1">
      <alignment horizontal="center" readingOrder="0" vertical="center"/>
    </xf>
    <xf borderId="0" fillId="10" fontId="3" numFmtId="1" xfId="0" applyAlignment="1" applyFont="1" applyNumberFormat="1">
      <alignment horizontal="center" readingOrder="0" vertical="center"/>
    </xf>
    <xf borderId="0" fillId="0" fontId="27" numFmtId="0" xfId="0" applyAlignment="1" applyFont="1">
      <alignment readingOrder="0"/>
    </xf>
    <xf borderId="0" fillId="0" fontId="8" numFmtId="1" xfId="0" applyAlignment="1" applyFont="1" applyNumberFormat="1">
      <alignment horizontal="left" readingOrder="0" vertical="center"/>
    </xf>
    <xf borderId="0" fillId="0" fontId="3" numFmtId="1" xfId="0" applyAlignment="1" applyFont="1" applyNumberFormat="1">
      <alignment horizontal="left" readingOrder="0" vertical="center"/>
    </xf>
    <xf borderId="0" fillId="0" fontId="3" numFmtId="1" xfId="0" applyAlignment="1" applyFont="1" applyNumberFormat="1">
      <alignment horizontal="left" vertical="center"/>
    </xf>
    <xf borderId="0" fillId="0" fontId="3" numFmtId="0" xfId="0" applyAlignment="1" applyFont="1">
      <alignment horizontal="left"/>
    </xf>
    <xf borderId="0" fillId="0" fontId="3" numFmtId="2" xfId="0" applyFont="1" applyNumberFormat="1"/>
    <xf borderId="0" fillId="7" fontId="4" numFmtId="0" xfId="0" applyAlignment="1" applyFont="1">
      <alignment readingOrder="0"/>
    </xf>
    <xf borderId="0" fillId="26" fontId="3" numFmtId="0" xfId="0" applyAlignment="1" applyFill="1" applyFont="1">
      <alignment readingOrder="0"/>
    </xf>
    <xf borderId="0" fillId="0" fontId="8" numFmtId="0" xfId="0" applyAlignment="1" applyFont="1">
      <alignment horizontal="center" readingOrder="0" vertical="center"/>
    </xf>
    <xf borderId="0" fillId="2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3" fillId="0" fontId="3" numFmtId="165" xfId="0" applyAlignment="1" applyBorder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8" numFmtId="0" xfId="0" applyAlignment="1" applyFont="1">
      <alignment readingOrder="0"/>
    </xf>
    <xf borderId="0" fillId="10" fontId="4" numFmtId="0" xfId="0" applyAlignment="1" applyFon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vertical="center"/>
    </xf>
    <xf borderId="12" fillId="0" fontId="4" numFmtId="0" xfId="0" applyAlignment="1" applyBorder="1" applyFont="1">
      <alignment horizontal="center" readingOrder="0" shrinkToFit="0" vertical="center" wrapText="0"/>
    </xf>
    <xf borderId="13" fillId="0" fontId="4" numFmtId="0" xfId="0" applyAlignment="1" applyBorder="1" applyFont="1">
      <alignment horizontal="center" readingOrder="0" shrinkToFit="0" vertical="center" wrapText="0"/>
    </xf>
    <xf borderId="14" fillId="0" fontId="4" numFmtId="0" xfId="0" applyAlignment="1" applyBorder="1" applyFont="1">
      <alignment horizontal="center" readingOrder="0" shrinkToFit="0" vertical="center" wrapText="0"/>
    </xf>
    <xf borderId="12" fillId="0" fontId="3" numFmtId="0" xfId="0" applyAlignment="1" applyBorder="1" applyFont="1">
      <alignment horizontal="left" readingOrder="0" shrinkToFit="0" vertical="center" wrapText="0"/>
    </xf>
    <xf borderId="13" fillId="0" fontId="3" numFmtId="0" xfId="0" applyAlignment="1" applyBorder="1" applyFont="1">
      <alignment horizontal="left" readingOrder="0" shrinkToFit="0" vertical="center" wrapText="0"/>
    </xf>
    <xf borderId="14" fillId="0" fontId="3" numFmtId="0" xfId="0" applyAlignment="1" applyBorder="1" applyFont="1">
      <alignment horizontal="left" readingOrder="0" shrinkToFit="0" vertical="center" wrapText="0"/>
    </xf>
    <xf borderId="15" fillId="0" fontId="4" numFmtId="0" xfId="0" applyAlignment="1" applyBorder="1" applyFont="1">
      <alignment horizontal="center" readingOrder="0" shrinkToFit="0" vertical="center" wrapText="0"/>
    </xf>
    <xf borderId="16" fillId="0" fontId="3" numFmtId="166" xfId="0" applyAlignment="1" applyBorder="1" applyFont="1" applyNumberFormat="1">
      <alignment horizontal="center" shrinkToFit="0" vertical="center" wrapText="0"/>
    </xf>
    <xf borderId="17" fillId="0" fontId="3" numFmtId="166" xfId="0" applyAlignment="1" applyBorder="1" applyFont="1" applyNumberFormat="1">
      <alignment horizontal="center" shrinkToFit="0" vertical="center" wrapText="0"/>
    </xf>
    <xf borderId="18" fillId="0" fontId="3" numFmtId="166" xfId="0" applyAlignment="1" applyBorder="1" applyFont="1" applyNumberFormat="1">
      <alignment horizontal="center" shrinkToFit="0" vertical="center" wrapText="0"/>
    </xf>
    <xf borderId="7" fillId="0" fontId="3" numFmtId="166" xfId="0" applyAlignment="1" applyBorder="1" applyFont="1" applyNumberFormat="1">
      <alignment horizontal="center" shrinkToFit="0" vertical="center" wrapText="0"/>
    </xf>
    <xf borderId="17" fillId="0" fontId="3" numFmtId="0" xfId="0" applyAlignment="1" applyBorder="1" applyFont="1">
      <alignment horizontal="center" readingOrder="0" shrinkToFit="0" vertical="center" wrapText="0"/>
    </xf>
    <xf borderId="19" fillId="0" fontId="3" numFmtId="166" xfId="0" applyAlignment="1" applyBorder="1" applyFont="1" applyNumberFormat="1">
      <alignment horizontal="center" shrinkToFit="0" vertical="center" wrapText="0"/>
    </xf>
    <xf borderId="20" fillId="7" fontId="3" numFmtId="0" xfId="0" applyAlignment="1" applyBorder="1" applyFont="1">
      <alignment readingOrder="0" shrinkToFit="0" vertical="center" wrapText="0"/>
    </xf>
    <xf borderId="21" fillId="0" fontId="3" numFmtId="0" xfId="0" applyAlignment="1" applyBorder="1" applyFont="1">
      <alignment shrinkToFit="0" vertical="center" wrapText="0"/>
    </xf>
    <xf borderId="22" fillId="0" fontId="3" numFmtId="0" xfId="0" applyAlignment="1" applyBorder="1" applyFont="1">
      <alignment shrinkToFit="0" vertical="center" wrapText="0"/>
    </xf>
    <xf borderId="17" fillId="0" fontId="3" numFmtId="0" xfId="0" applyAlignment="1" applyBorder="1" applyFont="1">
      <alignment shrinkToFit="0" vertical="center" wrapText="0"/>
    </xf>
    <xf borderId="23" fillId="0" fontId="3" numFmtId="0" xfId="0" applyAlignment="1" applyBorder="1" applyFont="1">
      <alignment shrinkToFit="0" vertical="center" wrapText="0"/>
    </xf>
    <xf borderId="24" fillId="0" fontId="3" numFmtId="0" xfId="0" applyAlignment="1" applyBorder="1" applyFont="1">
      <alignment shrinkToFit="0" vertical="center" wrapText="0"/>
    </xf>
    <xf borderId="25" fillId="0" fontId="3" numFmtId="2" xfId="0" applyAlignment="1" applyBorder="1" applyFont="1" applyNumberFormat="1">
      <alignment shrinkToFit="0" vertical="center" wrapText="0"/>
    </xf>
    <xf borderId="26" fillId="0" fontId="4" numFmtId="0" xfId="0" applyAlignment="1" applyBorder="1" applyFont="1">
      <alignment horizontal="center" readingOrder="0" shrinkToFit="0" vertical="center" wrapText="0"/>
    </xf>
    <xf borderId="21" fillId="0" fontId="3" numFmtId="166" xfId="0" applyAlignment="1" applyBorder="1" applyFont="1" applyNumberFormat="1">
      <alignment horizontal="center" shrinkToFit="0" vertical="center" wrapText="0"/>
    </xf>
    <xf borderId="22" fillId="0" fontId="3" numFmtId="166" xfId="0" applyAlignment="1" applyBorder="1" applyFont="1" applyNumberFormat="1">
      <alignment horizontal="center" shrinkToFit="0" vertical="center" wrapText="0"/>
    </xf>
    <xf borderId="23" fillId="0" fontId="3" numFmtId="166" xfId="0" applyAlignment="1" applyBorder="1" applyFont="1" applyNumberFormat="1">
      <alignment horizontal="center" shrinkToFit="0" vertical="center" wrapText="0"/>
    </xf>
    <xf borderId="24" fillId="0" fontId="3" numFmtId="166" xfId="0" applyAlignment="1" applyBorder="1" applyFont="1" applyNumberFormat="1">
      <alignment horizontal="center" shrinkToFit="0" vertical="center" wrapText="0"/>
    </xf>
    <xf borderId="27" fillId="0" fontId="3" numFmtId="166" xfId="0" applyAlignment="1" applyBorder="1" applyFont="1" applyNumberFormat="1">
      <alignment horizontal="center" shrinkToFit="0" vertical="center" wrapText="0"/>
    </xf>
    <xf borderId="16" fillId="0" fontId="3" numFmtId="0" xfId="0" applyAlignment="1" applyBorder="1" applyFont="1">
      <alignment shrinkToFit="0" vertical="center" wrapText="0"/>
    </xf>
    <xf borderId="18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28" fillId="0" fontId="3" numFmtId="2" xfId="0" applyAlignment="1" applyBorder="1" applyFont="1" applyNumberFormat="1">
      <alignment shrinkToFit="0" vertical="center" wrapText="0"/>
    </xf>
    <xf borderId="0" fillId="0" fontId="3" numFmtId="9" xfId="0" applyAlignment="1" applyFont="1" applyNumberFormat="1">
      <alignment horizontal="center" vertical="center"/>
    </xf>
    <xf borderId="29" fillId="0" fontId="3" numFmtId="166" xfId="0" applyAlignment="1" applyBorder="1" applyFont="1" applyNumberFormat="1">
      <alignment horizontal="center" shrinkToFit="0" vertical="center" wrapText="0"/>
    </xf>
    <xf borderId="30" fillId="0" fontId="3" numFmtId="166" xfId="0" applyAlignment="1" applyBorder="1" applyFont="1" applyNumberFormat="1">
      <alignment horizontal="center" shrinkToFit="0" vertical="center" wrapText="0"/>
    </xf>
    <xf borderId="31" fillId="0" fontId="3" numFmtId="166" xfId="0" applyAlignment="1" applyBorder="1" applyFont="1" applyNumberFormat="1">
      <alignment horizontal="center" shrinkToFit="0" vertical="center" wrapText="0"/>
    </xf>
    <xf borderId="32" fillId="0" fontId="3" numFmtId="166" xfId="0" applyAlignment="1" applyBorder="1" applyFont="1" applyNumberFormat="1">
      <alignment horizontal="center" shrinkToFit="0" vertical="center" wrapText="0"/>
    </xf>
    <xf borderId="33" fillId="0" fontId="3" numFmtId="166" xfId="0" applyAlignment="1" applyBorder="1" applyFont="1" applyNumberFormat="1">
      <alignment horizontal="center" shrinkToFit="0" vertical="center" wrapText="0"/>
    </xf>
    <xf borderId="34" fillId="0" fontId="3" numFmtId="166" xfId="0" applyAlignment="1" applyBorder="1" applyFont="1" applyNumberFormat="1">
      <alignment horizontal="center" shrinkToFit="0" vertical="center" wrapText="0"/>
    </xf>
    <xf borderId="29" fillId="0" fontId="3" numFmtId="0" xfId="0" applyAlignment="1" applyBorder="1" applyFont="1">
      <alignment shrinkToFit="0" vertical="center" wrapText="0"/>
    </xf>
    <xf borderId="30" fillId="0" fontId="3" numFmtId="0" xfId="0" applyAlignment="1" applyBorder="1" applyFont="1">
      <alignment shrinkToFit="0" vertical="center" wrapText="0"/>
    </xf>
    <xf borderId="31" fillId="0" fontId="3" numFmtId="0" xfId="0" applyAlignment="1" applyBorder="1" applyFont="1">
      <alignment shrinkToFit="0" vertical="center" wrapText="0"/>
    </xf>
    <xf borderId="32" fillId="0" fontId="3" numFmtId="0" xfId="0" applyAlignment="1" applyBorder="1" applyFont="1">
      <alignment shrinkToFit="0" vertical="center" wrapText="0"/>
    </xf>
    <xf borderId="33" fillId="0" fontId="3" numFmtId="0" xfId="0" applyAlignment="1" applyBorder="1" applyFont="1">
      <alignment shrinkToFit="0" vertical="center" wrapText="0"/>
    </xf>
    <xf borderId="35" fillId="0" fontId="3" numFmtId="0" xfId="0" applyAlignment="1" applyBorder="1" applyFont="1">
      <alignment shrinkToFit="0" vertical="center" wrapText="0"/>
    </xf>
    <xf borderId="36" fillId="0" fontId="3" numFmtId="2" xfId="0" applyAlignment="1" applyBorder="1" applyFont="1" applyNumberFormat="1">
      <alignment shrinkToFit="0" vertical="center" wrapText="0"/>
    </xf>
    <xf borderId="37" fillId="0" fontId="3" numFmtId="166" xfId="0" applyAlignment="1" applyBorder="1" applyFont="1" applyNumberFormat="1">
      <alignment horizontal="center" shrinkToFit="0" vertical="center" wrapText="0"/>
    </xf>
    <xf borderId="38" fillId="0" fontId="3" numFmtId="166" xfId="0" applyAlignment="1" applyBorder="1" applyFont="1" applyNumberFormat="1">
      <alignment horizontal="center" shrinkToFit="0" vertical="center" wrapText="0"/>
    </xf>
    <xf borderId="39" fillId="0" fontId="3" numFmtId="166" xfId="0" applyAlignment="1" applyBorder="1" applyFont="1" applyNumberFormat="1">
      <alignment horizontal="center" shrinkToFit="0" vertical="center" wrapText="0"/>
    </xf>
    <xf borderId="40" fillId="0" fontId="3" numFmtId="166" xfId="0" applyAlignment="1" applyBorder="1" applyFont="1" applyNumberFormat="1">
      <alignment horizontal="center" shrinkToFit="0" vertical="center" wrapText="0"/>
    </xf>
    <xf borderId="41" fillId="0" fontId="3" numFmtId="166" xfId="0" applyAlignment="1" applyBorder="1" applyFont="1" applyNumberFormat="1">
      <alignment horizontal="center" shrinkToFit="0" vertical="center" wrapText="0"/>
    </xf>
    <xf borderId="42" fillId="0" fontId="3" numFmtId="166" xfId="0" applyAlignment="1" applyBorder="1" applyFont="1" applyNumberFormat="1">
      <alignment horizontal="center" shrinkToFit="0" vertical="center" wrapText="0"/>
    </xf>
    <xf borderId="43" fillId="0" fontId="3" numFmtId="0" xfId="0" applyAlignment="1" applyBorder="1" applyFont="1">
      <alignment readingOrder="0" shrinkToFit="0" vertical="center" wrapText="0"/>
    </xf>
    <xf borderId="44" fillId="0" fontId="3" numFmtId="0" xfId="0" applyAlignment="1" applyBorder="1" applyFont="1">
      <alignment shrinkToFit="0" vertical="center" wrapText="0"/>
    </xf>
    <xf borderId="38" fillId="0" fontId="3" numFmtId="0" xfId="0" applyAlignment="1" applyBorder="1" applyFont="1">
      <alignment shrinkToFit="0" vertical="center" wrapText="0"/>
    </xf>
    <xf borderId="45" fillId="0" fontId="3" numFmtId="0" xfId="0" applyAlignment="1" applyBorder="1" applyFont="1">
      <alignment shrinkToFit="0" vertical="center" wrapText="0"/>
    </xf>
    <xf borderId="46" fillId="0" fontId="3" numFmtId="0" xfId="0" applyAlignment="1" applyBorder="1" applyFont="1">
      <alignment shrinkToFit="0" vertical="center" wrapText="0"/>
    </xf>
    <xf borderId="47" fillId="0" fontId="3" numFmtId="0" xfId="0" applyAlignment="1" applyBorder="1" applyFont="1">
      <alignment shrinkToFit="0" vertical="center" wrapText="0"/>
    </xf>
    <xf borderId="48" fillId="0" fontId="3" numFmtId="0" xfId="0" applyAlignment="1" applyBorder="1" applyFont="1">
      <alignment shrinkToFit="0" vertical="center" wrapText="0"/>
    </xf>
    <xf borderId="49" fillId="0" fontId="3" numFmtId="2" xfId="0" applyAlignment="1" applyBorder="1" applyFont="1" applyNumberFormat="1">
      <alignment shrinkToFit="0" vertical="center" wrapText="0"/>
    </xf>
    <xf borderId="44" fillId="0" fontId="3" numFmtId="166" xfId="0" applyAlignment="1" applyBorder="1" applyFont="1" applyNumberFormat="1">
      <alignment horizontal="center" shrinkToFit="0" vertical="center" wrapText="0"/>
    </xf>
    <xf borderId="45" fillId="0" fontId="3" numFmtId="166" xfId="0" applyAlignment="1" applyBorder="1" applyFont="1" applyNumberFormat="1">
      <alignment horizontal="center" shrinkToFit="0" vertical="center" wrapText="0"/>
    </xf>
    <xf borderId="46" fillId="0" fontId="3" numFmtId="166" xfId="0" applyAlignment="1" applyBorder="1" applyFont="1" applyNumberFormat="1">
      <alignment horizontal="center" shrinkToFit="0" vertical="center" wrapText="0"/>
    </xf>
    <xf borderId="47" fillId="0" fontId="3" numFmtId="166" xfId="0" applyAlignment="1" applyBorder="1" applyFont="1" applyNumberFormat="1">
      <alignment horizontal="center" shrinkToFit="0" vertical="center" wrapText="0"/>
    </xf>
    <xf borderId="50" fillId="0" fontId="3" numFmtId="166" xfId="0" applyAlignment="1" applyBorder="1" applyFont="1" applyNumberFormat="1">
      <alignment horizontal="center" shrinkToFit="0" vertical="center" wrapText="0"/>
    </xf>
    <xf borderId="51" fillId="0" fontId="3" numFmtId="0" xfId="0" applyAlignment="1" applyBorder="1" applyFont="1">
      <alignment readingOrder="0" shrinkToFit="0" vertical="center" wrapText="0"/>
    </xf>
    <xf borderId="52" fillId="0" fontId="3" numFmtId="0" xfId="0" applyAlignment="1" applyBorder="1" applyFont="1">
      <alignment shrinkToFit="0" vertical="center" wrapText="0"/>
    </xf>
    <xf borderId="53" fillId="0" fontId="3" numFmtId="0" xfId="0" applyAlignment="1" applyBorder="1" applyFont="1">
      <alignment shrinkToFit="0" vertical="center" wrapText="0"/>
    </xf>
    <xf borderId="54" fillId="0" fontId="3" numFmtId="0" xfId="0" applyAlignment="1" applyBorder="1" applyFont="1">
      <alignment shrinkToFit="0" vertical="center" wrapText="0"/>
    </xf>
    <xf borderId="55" fillId="0" fontId="3" numFmtId="0" xfId="0" applyAlignment="1" applyBorder="1" applyFont="1">
      <alignment shrinkToFit="0" vertical="center" wrapText="0"/>
    </xf>
    <xf borderId="56" fillId="0" fontId="3" numFmtId="0" xfId="0" applyAlignment="1" applyBorder="1" applyFont="1">
      <alignment shrinkToFit="0" vertical="center" wrapText="0"/>
    </xf>
    <xf borderId="57" fillId="0" fontId="3" numFmtId="2" xfId="0" applyAlignment="1" applyBorder="1" applyFont="1" applyNumberFormat="1">
      <alignment shrinkToFit="0" vertical="center" wrapText="0"/>
    </xf>
    <xf borderId="52" fillId="0" fontId="3" numFmtId="166" xfId="0" applyAlignment="1" applyBorder="1" applyFont="1" applyNumberFormat="1">
      <alignment horizontal="center" shrinkToFit="0" vertical="center" wrapText="0"/>
    </xf>
    <xf borderId="53" fillId="0" fontId="3" numFmtId="166" xfId="0" applyAlignment="1" applyBorder="1" applyFont="1" applyNumberFormat="1">
      <alignment horizontal="center" shrinkToFit="0" vertical="center" wrapText="0"/>
    </xf>
    <xf borderId="54" fillId="0" fontId="3" numFmtId="166" xfId="0" applyAlignment="1" applyBorder="1" applyFont="1" applyNumberFormat="1">
      <alignment horizontal="center" shrinkToFit="0" vertical="center" wrapText="0"/>
    </xf>
    <xf borderId="55" fillId="0" fontId="3" numFmtId="166" xfId="0" applyAlignment="1" applyBorder="1" applyFont="1" applyNumberFormat="1">
      <alignment horizontal="center" shrinkToFit="0" vertical="center" wrapText="0"/>
    </xf>
    <xf borderId="56" fillId="0" fontId="3" numFmtId="166" xfId="0" applyAlignment="1" applyBorder="1" applyFont="1" applyNumberFormat="1">
      <alignment horizontal="center" shrinkToFit="0" vertical="center" wrapText="0"/>
    </xf>
    <xf borderId="58" fillId="0" fontId="3" numFmtId="166" xfId="0" applyAlignment="1" applyBorder="1" applyFont="1" applyNumberFormat="1">
      <alignment horizontal="center" shrinkToFit="0" vertical="center" wrapText="0"/>
    </xf>
    <xf borderId="43" fillId="0" fontId="8" numFmtId="0" xfId="0" applyAlignment="1" applyBorder="1" applyFont="1">
      <alignment readingOrder="0" shrinkToFit="0" vertical="center" wrapText="0"/>
    </xf>
    <xf borderId="37" fillId="0" fontId="3" numFmtId="0" xfId="0" applyAlignment="1" applyBorder="1" applyFont="1">
      <alignment shrinkToFit="0" vertical="center" wrapText="0"/>
    </xf>
    <xf borderId="39" fillId="0" fontId="3" numFmtId="0" xfId="0" applyAlignment="1" applyBorder="1" applyFont="1">
      <alignment shrinkToFit="0" vertical="center" wrapText="0"/>
    </xf>
    <xf borderId="40" fillId="0" fontId="3" numFmtId="0" xfId="0" applyAlignment="1" applyBorder="1" applyFont="1">
      <alignment shrinkToFit="0" vertical="center" wrapText="0"/>
    </xf>
    <xf borderId="41" fillId="0" fontId="3" numFmtId="0" xfId="0" applyAlignment="1" applyBorder="1" applyFont="1">
      <alignment shrinkToFit="0" vertical="center" wrapText="0"/>
    </xf>
    <xf borderId="59" fillId="0" fontId="3" numFmtId="0" xfId="0" applyAlignment="1" applyBorder="1" applyFont="1">
      <alignment shrinkToFit="0" vertical="center" wrapText="0"/>
    </xf>
    <xf borderId="60" fillId="0" fontId="3" numFmtId="2" xfId="0" applyAlignment="1" applyBorder="1" applyFont="1" applyNumberFormat="1">
      <alignment shrinkToFit="0" vertical="center" wrapText="0"/>
    </xf>
    <xf borderId="61" fillId="0" fontId="3" numFmtId="166" xfId="0" applyAlignment="1" applyBorder="1" applyFont="1" applyNumberFormat="1">
      <alignment horizontal="center" shrinkToFit="0" vertical="center" wrapText="0"/>
    </xf>
    <xf borderId="62" fillId="0" fontId="3" numFmtId="166" xfId="0" applyAlignment="1" applyBorder="1" applyFont="1" applyNumberFormat="1">
      <alignment horizontal="center" shrinkToFit="0" vertical="center" wrapText="0"/>
    </xf>
    <xf borderId="63" fillId="0" fontId="3" numFmtId="166" xfId="0" applyAlignment="1" applyBorder="1" applyFont="1" applyNumberFormat="1">
      <alignment horizontal="center" shrinkToFit="0" vertical="center" wrapText="0"/>
    </xf>
    <xf borderId="64" fillId="0" fontId="3" numFmtId="166" xfId="0" applyAlignment="1" applyBorder="1" applyFont="1" applyNumberFormat="1">
      <alignment horizontal="center" shrinkToFit="0" vertical="center" wrapText="0"/>
    </xf>
    <xf borderId="23" fillId="0" fontId="3" numFmtId="0" xfId="0" applyAlignment="1" applyBorder="1" applyFont="1">
      <alignment horizontal="center" readingOrder="0" shrinkToFit="0" vertical="center" wrapText="0"/>
    </xf>
    <xf borderId="65" fillId="0" fontId="3" numFmtId="166" xfId="0" applyAlignment="1" applyBorder="1" applyFont="1" applyNumberFormat="1">
      <alignment horizontal="center" shrinkToFit="0" vertical="center" wrapText="0"/>
    </xf>
    <xf borderId="61" fillId="0" fontId="3" numFmtId="0" xfId="0" applyAlignment="1" applyBorder="1" applyFont="1">
      <alignment shrinkToFit="0" vertical="center" wrapText="0"/>
    </xf>
    <xf borderId="62" fillId="0" fontId="3" numFmtId="0" xfId="0" applyAlignment="1" applyBorder="1" applyFont="1">
      <alignment shrinkToFit="0" vertical="center" wrapText="0"/>
    </xf>
    <xf borderId="63" fillId="0" fontId="3" numFmtId="0" xfId="0" applyAlignment="1" applyBorder="1" applyFont="1">
      <alignment shrinkToFit="0" vertical="center" wrapText="0"/>
    </xf>
    <xf borderId="64" fillId="0" fontId="3" numFmtId="0" xfId="0" applyAlignment="1" applyBorder="1" applyFont="1">
      <alignment shrinkToFit="0" vertical="center" wrapText="0"/>
    </xf>
    <xf borderId="66" fillId="0" fontId="3" numFmtId="0" xfId="0" applyAlignment="1" applyBorder="1" applyFont="1">
      <alignment shrinkToFit="0" vertical="center" wrapText="0"/>
    </xf>
    <xf borderId="67" fillId="0" fontId="3" numFmtId="2" xfId="0" applyAlignment="1" applyBorder="1" applyFont="1" applyNumberFormat="1">
      <alignment shrinkToFit="0" vertical="center" wrapText="0"/>
    </xf>
    <xf borderId="68" fillId="0" fontId="3" numFmtId="166" xfId="0" applyAlignment="1" applyBorder="1" applyFont="1" applyNumberFormat="1">
      <alignment horizontal="center" shrinkToFit="0" vertical="center" wrapText="0"/>
    </xf>
    <xf borderId="69" fillId="0" fontId="3" numFmtId="166" xfId="0" applyAlignment="1" applyBorder="1" applyFont="1" applyNumberFormat="1">
      <alignment horizontal="center" shrinkToFit="0" vertical="center" wrapText="0"/>
    </xf>
    <xf borderId="70" fillId="0" fontId="3" numFmtId="166" xfId="0" applyAlignment="1" applyBorder="1" applyFont="1" applyNumberFormat="1">
      <alignment horizontal="center" shrinkToFit="0" vertical="center" wrapText="0"/>
    </xf>
    <xf borderId="71" fillId="0" fontId="3" numFmtId="166" xfId="0" applyAlignment="1" applyBorder="1" applyFont="1" applyNumberFormat="1">
      <alignment horizontal="center" shrinkToFit="0" vertical="center" wrapText="0"/>
    </xf>
    <xf borderId="72" fillId="0" fontId="3" numFmtId="166" xfId="0" applyAlignment="1" applyBorder="1" applyFont="1" applyNumberFormat="1">
      <alignment horizontal="center" shrinkToFit="0" vertical="center" wrapText="0"/>
    </xf>
    <xf borderId="73" fillId="0" fontId="3" numFmtId="0" xfId="0" applyAlignment="1" applyBorder="1" applyFont="1">
      <alignment shrinkToFit="0" vertical="center" wrapText="0"/>
    </xf>
    <xf borderId="74" fillId="0" fontId="3" numFmtId="0" xfId="0" applyAlignment="1" applyBorder="1" applyFont="1">
      <alignment shrinkToFit="0" vertical="center" wrapText="0"/>
    </xf>
    <xf borderId="75" fillId="0" fontId="3" numFmtId="0" xfId="0" applyAlignment="1" applyBorder="1" applyFont="1">
      <alignment shrinkToFit="0" vertical="center" wrapText="0"/>
    </xf>
    <xf borderId="76" fillId="0" fontId="3" numFmtId="2" xfId="0" applyAlignment="1" applyBorder="1" applyFont="1" applyNumberFormat="1">
      <alignment shrinkToFit="0" vertical="center" wrapText="0"/>
    </xf>
    <xf borderId="77" fillId="0" fontId="3" numFmtId="166" xfId="0" applyAlignment="1" applyBorder="1" applyFont="1" applyNumberFormat="1">
      <alignment horizontal="center" shrinkToFit="0" vertical="center" wrapText="0"/>
    </xf>
    <xf borderId="78" fillId="0" fontId="3" numFmtId="166" xfId="0" applyAlignment="1" applyBorder="1" applyFont="1" applyNumberFormat="1">
      <alignment horizontal="center" shrinkToFit="0" vertical="center" wrapText="0"/>
    </xf>
    <xf borderId="66" fillId="0" fontId="3" numFmtId="166" xfId="0" applyAlignment="1" applyBorder="1" applyFont="1" applyNumberFormat="1">
      <alignment horizontal="center" shrinkToFit="0" vertical="center" wrapText="0"/>
    </xf>
    <xf borderId="79" fillId="0" fontId="3" numFmtId="166" xfId="0" applyAlignment="1" applyBorder="1" applyFont="1" applyNumberFormat="1">
      <alignment horizontal="center" shrinkToFit="0" vertical="center" wrapText="0"/>
    </xf>
    <xf borderId="80" fillId="0" fontId="3" numFmtId="166" xfId="0" applyAlignment="1" applyBorder="1" applyFont="1" applyNumberFormat="1">
      <alignment horizontal="center" shrinkToFit="0" vertical="center" wrapText="0"/>
    </xf>
    <xf borderId="81" fillId="0" fontId="3" numFmtId="166" xfId="0" applyAlignment="1" applyBorder="1" applyFont="1" applyNumberFormat="1">
      <alignment horizontal="center" shrinkToFit="0" vertical="center" wrapText="0"/>
    </xf>
    <xf borderId="82" fillId="0" fontId="3" numFmtId="0" xfId="0" applyAlignment="1" applyBorder="1" applyFont="1">
      <alignment shrinkToFit="0" vertical="center" wrapText="0"/>
    </xf>
    <xf borderId="83" fillId="0" fontId="3" numFmtId="0" xfId="0" applyAlignment="1" applyBorder="1" applyFont="1">
      <alignment shrinkToFit="0" vertical="center" wrapText="0"/>
    </xf>
    <xf borderId="84" fillId="0" fontId="3" numFmtId="0" xfId="0" applyAlignment="1" applyBorder="1" applyFont="1">
      <alignment shrinkToFit="0" vertical="center" wrapText="0"/>
    </xf>
    <xf borderId="85" fillId="0" fontId="3" numFmtId="0" xfId="0" applyAlignment="1" applyBorder="1" applyFont="1">
      <alignment shrinkToFit="0" vertical="center" wrapText="0"/>
    </xf>
    <xf borderId="86" fillId="0" fontId="3" numFmtId="2" xfId="0" applyAlignment="1" applyBorder="1" applyFont="1" applyNumberFormat="1">
      <alignment shrinkToFit="0" vertical="center" wrapText="0"/>
    </xf>
    <xf borderId="82" fillId="0" fontId="3" numFmtId="166" xfId="0" applyAlignment="1" applyBorder="1" applyFont="1" applyNumberFormat="1">
      <alignment horizontal="center" shrinkToFit="0" vertical="center" wrapText="0"/>
    </xf>
    <xf borderId="83" fillId="0" fontId="3" numFmtId="166" xfId="0" applyAlignment="1" applyBorder="1" applyFont="1" applyNumberFormat="1">
      <alignment horizontal="center" shrinkToFit="0" vertical="center" wrapText="0"/>
    </xf>
    <xf borderId="84" fillId="0" fontId="3" numFmtId="166" xfId="0" applyAlignment="1" applyBorder="1" applyFont="1" applyNumberFormat="1">
      <alignment horizontal="center" shrinkToFit="0" vertical="center" wrapText="0"/>
    </xf>
    <xf borderId="87" fillId="0" fontId="3" numFmtId="166" xfId="0" applyAlignment="1" applyBorder="1" applyFont="1" applyNumberFormat="1">
      <alignment horizontal="center" shrinkToFit="0" vertical="center" wrapText="0"/>
    </xf>
    <xf borderId="43" fillId="0" fontId="3" numFmtId="0" xfId="0" applyAlignment="1" applyBorder="1" applyFont="1">
      <alignment horizontal="left" readingOrder="0" shrinkToFit="0" vertical="center" wrapText="0"/>
    </xf>
    <xf borderId="77" fillId="0" fontId="3" numFmtId="0" xfId="0" applyAlignment="1" applyBorder="1" applyFont="1">
      <alignment horizontal="left" shrinkToFit="0" vertical="center" wrapText="0"/>
    </xf>
    <xf borderId="78" fillId="0" fontId="3" numFmtId="0" xfId="0" applyAlignment="1" applyBorder="1" applyFont="1">
      <alignment horizontal="left" shrinkToFit="0" vertical="center" wrapText="0"/>
    </xf>
    <xf borderId="66" fillId="0" fontId="3" numFmtId="0" xfId="0" applyAlignment="1" applyBorder="1" applyFont="1">
      <alignment horizontal="left" shrinkToFit="0" vertical="center" wrapText="0"/>
    </xf>
    <xf borderId="79" fillId="0" fontId="3" numFmtId="0" xfId="0" applyAlignment="1" applyBorder="1" applyFont="1">
      <alignment horizontal="left" shrinkToFit="0" vertical="center" wrapText="0"/>
    </xf>
    <xf borderId="80" fillId="0" fontId="3" numFmtId="0" xfId="0" applyAlignment="1" applyBorder="1" applyFont="1">
      <alignment horizontal="left" shrinkToFit="0" vertical="center" wrapText="0"/>
    </xf>
    <xf borderId="73" fillId="0" fontId="3" numFmtId="166" xfId="0" applyAlignment="1" applyBorder="1" applyFont="1" applyNumberFormat="1">
      <alignment horizontal="center" shrinkToFit="0" vertical="center" wrapText="0"/>
    </xf>
    <xf borderId="74" fillId="0" fontId="3" numFmtId="166" xfId="0" applyAlignment="1" applyBorder="1" applyFont="1" applyNumberFormat="1">
      <alignment horizontal="center" shrinkToFit="0" vertical="center" wrapText="0"/>
    </xf>
    <xf borderId="75" fillId="0" fontId="3" numFmtId="166" xfId="0" applyAlignment="1" applyBorder="1" applyFont="1" applyNumberFormat="1">
      <alignment horizontal="center" shrinkToFit="0" vertical="center" wrapText="0"/>
    </xf>
    <xf borderId="88" fillId="0" fontId="3" numFmtId="166" xfId="0" applyAlignment="1" applyBorder="1" applyFont="1" applyNumberFormat="1">
      <alignment horizontal="center" shrinkToFit="0" vertical="center" wrapText="0"/>
    </xf>
    <xf borderId="51" fillId="0" fontId="8" numFmtId="0" xfId="0" applyAlignment="1" applyBorder="1" applyFont="1">
      <alignment readingOrder="0" shrinkToFit="0" vertical="center" wrapText="0"/>
    </xf>
    <xf borderId="68" fillId="0" fontId="3" numFmtId="0" xfId="0" applyAlignment="1" applyBorder="1" applyFont="1">
      <alignment shrinkToFit="0" vertical="center" wrapText="0"/>
    </xf>
    <xf borderId="69" fillId="0" fontId="3" numFmtId="0" xfId="0" applyAlignment="1" applyBorder="1" applyFont="1">
      <alignment shrinkToFit="0" vertical="center" wrapText="0"/>
    </xf>
    <xf borderId="70" fillId="0" fontId="3" numFmtId="0" xfId="0" applyAlignment="1" applyBorder="1" applyFont="1">
      <alignment shrinkToFit="0" vertical="center" wrapText="0"/>
    </xf>
    <xf borderId="71" fillId="0" fontId="3" numFmtId="0" xfId="0" applyAlignment="1" applyBorder="1" applyFont="1">
      <alignment shrinkToFit="0" vertical="center" wrapText="0"/>
    </xf>
    <xf borderId="89" fillId="0" fontId="3" numFmtId="0" xfId="0" applyAlignment="1" applyBorder="1" applyFont="1">
      <alignment shrinkToFit="0" vertical="center" wrapText="0"/>
    </xf>
    <xf borderId="90" fillId="0" fontId="3" numFmtId="2" xfId="0" applyAlignment="1" applyBorder="1" applyFont="1" applyNumberFormat="1">
      <alignment shrinkToFit="0" vertical="center" wrapText="0"/>
    </xf>
    <xf borderId="91" fillId="0" fontId="3" numFmtId="166" xfId="0" applyAlignment="1" applyBorder="1" applyFont="1" applyNumberFormat="1">
      <alignment horizontal="center" shrinkToFit="0" vertical="center" wrapText="0"/>
    </xf>
    <xf borderId="92" fillId="0" fontId="3" numFmtId="166" xfId="0" applyAlignment="1" applyBorder="1" applyFont="1" applyNumberFormat="1">
      <alignment horizontal="center" shrinkToFit="0" vertical="center" wrapText="0"/>
    </xf>
    <xf borderId="93" fillId="0" fontId="3" numFmtId="166" xfId="0" applyAlignment="1" applyBorder="1" applyFont="1" applyNumberFormat="1">
      <alignment horizontal="center" shrinkToFit="0" vertical="center" wrapText="0"/>
    </xf>
    <xf borderId="94" fillId="0" fontId="3" numFmtId="166" xfId="0" applyAlignment="1" applyBorder="1" applyFont="1" applyNumberFormat="1">
      <alignment horizontal="center" shrinkToFit="0" vertical="center" wrapText="0"/>
    </xf>
    <xf borderId="95" fillId="0" fontId="3" numFmtId="166" xfId="0" applyAlignment="1" applyBorder="1" applyFont="1" applyNumberFormat="1">
      <alignment horizontal="center" shrinkToFit="0" vertical="center" wrapText="0"/>
    </xf>
    <xf borderId="96" fillId="0" fontId="3" numFmtId="166" xfId="0" applyAlignment="1" applyBorder="1" applyFont="1" applyNumberFormat="1">
      <alignment horizontal="center" shrinkToFit="0" vertical="center" wrapText="0"/>
    </xf>
    <xf borderId="91" fillId="0" fontId="3" numFmtId="0" xfId="0" applyAlignment="1" applyBorder="1" applyFont="1">
      <alignment shrinkToFit="0" vertical="center" wrapText="0"/>
    </xf>
    <xf borderId="92" fillId="0" fontId="3" numFmtId="0" xfId="0" applyAlignment="1" applyBorder="1" applyFont="1">
      <alignment shrinkToFit="0" vertical="center" wrapText="0"/>
    </xf>
    <xf borderId="93" fillId="0" fontId="3" numFmtId="0" xfId="0" applyAlignment="1" applyBorder="1" applyFont="1">
      <alignment shrinkToFit="0" vertical="center" wrapText="0"/>
    </xf>
    <xf borderId="94" fillId="0" fontId="3" numFmtId="0" xfId="0" applyAlignment="1" applyBorder="1" applyFont="1">
      <alignment shrinkToFit="0" vertical="center" wrapText="0"/>
    </xf>
    <xf borderId="95" fillId="0" fontId="3" numFmtId="0" xfId="0" applyAlignment="1" applyBorder="1" applyFont="1">
      <alignment shrinkToFit="0" vertical="center" wrapText="0"/>
    </xf>
    <xf borderId="97" fillId="0" fontId="3" numFmtId="0" xfId="0" applyAlignment="1" applyBorder="1" applyFont="1">
      <alignment shrinkToFit="0" vertical="center" wrapText="0"/>
    </xf>
    <xf borderId="98" fillId="0" fontId="3" numFmtId="2" xfId="0" applyAlignment="1" applyBorder="1" applyFont="1" applyNumberFormat="1">
      <alignment shrinkToFit="0" vertical="center" wrapText="0"/>
    </xf>
    <xf borderId="99" fillId="0" fontId="3" numFmtId="166" xfId="0" applyAlignment="1" applyBorder="1" applyFont="1" applyNumberFormat="1">
      <alignment horizontal="center" shrinkToFit="0" vertical="center" wrapText="0"/>
    </xf>
    <xf borderId="100" fillId="0" fontId="3" numFmtId="166" xfId="0" applyAlignment="1" applyBorder="1" applyFont="1" applyNumberFormat="1">
      <alignment horizontal="center" shrinkToFit="0" vertical="center" wrapText="0"/>
    </xf>
    <xf borderId="101" fillId="0" fontId="3" numFmtId="166" xfId="0" applyAlignment="1" applyBorder="1" applyFont="1" applyNumberFormat="1">
      <alignment horizontal="center" shrinkToFit="0" vertical="center" wrapText="0"/>
    </xf>
    <xf borderId="102" fillId="0" fontId="3" numFmtId="166" xfId="0" applyAlignment="1" applyBorder="1" applyFont="1" applyNumberFormat="1">
      <alignment horizontal="center" shrinkToFit="0" vertical="center" wrapText="0"/>
    </xf>
    <xf borderId="103" fillId="0" fontId="3" numFmtId="166" xfId="0" applyAlignment="1" applyBorder="1" applyFont="1" applyNumberFormat="1">
      <alignment horizontal="center" shrinkToFit="0" vertical="center" wrapText="0"/>
    </xf>
    <xf borderId="104" fillId="0" fontId="3" numFmtId="0" xfId="0" applyAlignment="1" applyBorder="1" applyFont="1">
      <alignment shrinkToFit="0" vertical="center" wrapText="0"/>
    </xf>
    <xf borderId="105" fillId="0" fontId="3" numFmtId="0" xfId="0" applyAlignment="1" applyBorder="1" applyFont="1">
      <alignment shrinkToFit="0" vertical="center" wrapText="0"/>
    </xf>
    <xf borderId="106" fillId="0" fontId="3" numFmtId="0" xfId="0" applyAlignment="1" applyBorder="1" applyFont="1">
      <alignment shrinkToFit="0" vertical="center" wrapText="0"/>
    </xf>
    <xf borderId="107" fillId="0" fontId="3" numFmtId="2" xfId="0" applyAlignment="1" applyBorder="1" applyFont="1" applyNumberFormat="1">
      <alignment shrinkToFit="0" vertical="center" wrapText="0"/>
    </xf>
    <xf borderId="26" fillId="0" fontId="27" numFmtId="0" xfId="0" applyAlignment="1" applyBorder="1" applyFont="1">
      <alignment horizontal="center" readingOrder="0" shrinkToFit="0" vertical="center" wrapText="0"/>
    </xf>
    <xf borderId="108" fillId="0" fontId="3" numFmtId="166" xfId="0" applyAlignment="1" applyBorder="1" applyFont="1" applyNumberFormat="1">
      <alignment horizontal="center" shrinkToFit="0" vertical="center" wrapText="0"/>
    </xf>
    <xf borderId="109" fillId="0" fontId="3" numFmtId="166" xfId="0" applyAlignment="1" applyBorder="1" applyFont="1" applyNumberFormat="1">
      <alignment horizontal="center" shrinkToFit="0" vertical="center" wrapText="0"/>
    </xf>
    <xf borderId="110" fillId="0" fontId="3" numFmtId="166" xfId="0" applyAlignment="1" applyBorder="1" applyFont="1" applyNumberFormat="1">
      <alignment horizontal="center" shrinkToFit="0" vertical="center" wrapText="0"/>
    </xf>
    <xf borderId="111" fillId="0" fontId="3" numFmtId="166" xfId="0" applyAlignment="1" applyBorder="1" applyFont="1" applyNumberFormat="1">
      <alignment horizontal="center" shrinkToFit="0" vertical="center" wrapText="0"/>
    </xf>
    <xf borderId="99" fillId="0" fontId="3" numFmtId="0" xfId="0" applyAlignment="1" applyBorder="1" applyFont="1">
      <alignment shrinkToFit="0" vertical="center" wrapText="0"/>
    </xf>
    <xf borderId="100" fillId="0" fontId="3" numFmtId="0" xfId="0" applyAlignment="1" applyBorder="1" applyFont="1">
      <alignment shrinkToFit="0" vertical="center" wrapText="0"/>
    </xf>
    <xf borderId="101" fillId="0" fontId="3" numFmtId="0" xfId="0" applyAlignment="1" applyBorder="1" applyFont="1">
      <alignment shrinkToFit="0" vertical="center" wrapText="0"/>
    </xf>
    <xf borderId="102" fillId="0" fontId="3" numFmtId="0" xfId="0" applyAlignment="1" applyBorder="1" applyFont="1">
      <alignment shrinkToFit="0" vertical="center" wrapText="0"/>
    </xf>
    <xf borderId="112" fillId="0" fontId="3" numFmtId="0" xfId="0" applyAlignment="1" applyBorder="1" applyFont="1">
      <alignment shrinkToFit="0" vertical="center" wrapText="0"/>
    </xf>
    <xf borderId="113" fillId="0" fontId="3" numFmtId="2" xfId="0" applyAlignment="1" applyBorder="1" applyFont="1" applyNumberFormat="1">
      <alignment shrinkToFit="0" vertical="center" wrapText="0"/>
    </xf>
    <xf borderId="15" fillId="0" fontId="27" numFmtId="0" xfId="0" applyAlignment="1" applyBorder="1" applyFont="1">
      <alignment horizontal="center" readingOrder="0" shrinkToFit="0" vertical="center" wrapText="0"/>
    </xf>
    <xf borderId="104" fillId="0" fontId="3" numFmtId="166" xfId="0" applyAlignment="1" applyBorder="1" applyFont="1" applyNumberFormat="1">
      <alignment horizontal="center" shrinkToFit="0" vertical="center" wrapText="0"/>
    </xf>
    <xf borderId="105" fillId="0" fontId="3" numFmtId="166" xfId="0" applyAlignment="1" applyBorder="1" applyFont="1" applyNumberFormat="1">
      <alignment horizontal="center" shrinkToFit="0" vertical="center" wrapText="0"/>
    </xf>
    <xf borderId="114" fillId="0" fontId="3" numFmtId="166" xfId="0" applyAlignment="1" applyBorder="1" applyFont="1" applyNumberFormat="1">
      <alignment horizontal="center" shrinkToFit="0" vertical="center" wrapText="0"/>
    </xf>
    <xf borderId="115" fillId="0" fontId="3" numFmtId="166" xfId="0" applyAlignment="1" applyBorder="1" applyFont="1" applyNumberFormat="1">
      <alignment horizontal="center" shrinkToFit="0" vertical="center" wrapText="0"/>
    </xf>
    <xf borderId="116" fillId="0" fontId="3" numFmtId="0" xfId="0" applyAlignment="1" applyBorder="1" applyFont="1">
      <alignment shrinkToFit="0" vertical="center" wrapText="0"/>
    </xf>
    <xf borderId="117" fillId="0" fontId="3" numFmtId="0" xfId="0" applyAlignment="1" applyBorder="1" applyFont="1">
      <alignment shrinkToFit="0" vertical="center" wrapText="0"/>
    </xf>
    <xf borderId="118" fillId="0" fontId="3" numFmtId="0" xfId="0" applyAlignment="1" applyBorder="1" applyFont="1">
      <alignment shrinkToFit="0" vertical="center" wrapText="0"/>
    </xf>
    <xf borderId="119" fillId="0" fontId="3" numFmtId="0" xfId="0" applyAlignment="1" applyBorder="1" applyFont="1">
      <alignment shrinkToFit="0" vertical="center" wrapText="0"/>
    </xf>
    <xf borderId="120" fillId="0" fontId="3" numFmtId="0" xfId="0" applyAlignment="1" applyBorder="1" applyFont="1">
      <alignment shrinkToFit="0" vertical="center" wrapText="0"/>
    </xf>
    <xf borderId="121" fillId="0" fontId="3" numFmtId="2" xfId="0" applyAlignment="1" applyBorder="1" applyFont="1" applyNumberFormat="1">
      <alignment shrinkToFit="0" vertical="center" wrapText="0"/>
    </xf>
    <xf borderId="122" fillId="0" fontId="3" numFmtId="166" xfId="0" applyAlignment="1" applyBorder="1" applyFont="1" applyNumberFormat="1">
      <alignment horizontal="center" shrinkToFit="0" vertical="center" wrapText="0"/>
    </xf>
    <xf borderId="123" fillId="0" fontId="3" numFmtId="166" xfId="0" applyAlignment="1" applyBorder="1" applyFont="1" applyNumberFormat="1">
      <alignment horizontal="center" shrinkToFit="0" vertical="center" wrapText="0"/>
    </xf>
    <xf borderId="124" fillId="0" fontId="3" numFmtId="166" xfId="0" applyAlignment="1" applyBorder="1" applyFont="1" applyNumberFormat="1">
      <alignment horizontal="center" shrinkToFit="0" vertical="center" wrapText="0"/>
    </xf>
    <xf borderId="125" fillId="0" fontId="3" numFmtId="166" xfId="0" applyAlignment="1" applyBorder="1" applyFont="1" applyNumberFormat="1">
      <alignment horizontal="center" shrinkToFit="0" vertical="center" wrapText="0"/>
    </xf>
    <xf borderId="126" fillId="0" fontId="3" numFmtId="166" xfId="0" applyAlignment="1" applyBorder="1" applyFont="1" applyNumberFormat="1">
      <alignment horizontal="center" shrinkToFit="0" vertical="center" wrapText="0"/>
    </xf>
    <xf borderId="127" fillId="0" fontId="3" numFmtId="166" xfId="0" applyAlignment="1" applyBorder="1" applyFont="1" applyNumberFormat="1">
      <alignment horizontal="center" shrinkToFit="0" vertical="center" wrapText="0"/>
    </xf>
    <xf borderId="128" fillId="0" fontId="8" numFmtId="0" xfId="0" applyAlignment="1" applyBorder="1" applyFont="1">
      <alignment readingOrder="0" shrinkToFit="0" vertical="center" wrapText="0"/>
    </xf>
    <xf borderId="129" fillId="0" fontId="3" numFmtId="0" xfId="0" applyAlignment="1" applyBorder="1" applyFont="1">
      <alignment shrinkToFit="0" vertical="center" wrapText="0"/>
    </xf>
    <xf borderId="122" fillId="0" fontId="3" numFmtId="0" xfId="0" applyAlignment="1" applyBorder="1" applyFont="1">
      <alignment shrinkToFit="0" vertical="center" wrapText="0"/>
    </xf>
    <xf borderId="130" fillId="0" fontId="3" numFmtId="0" xfId="0" applyAlignment="1" applyBorder="1" applyFont="1">
      <alignment shrinkToFit="0" vertical="center" wrapText="0"/>
    </xf>
    <xf borderId="131" fillId="0" fontId="3" numFmtId="0" xfId="0" applyAlignment="1" applyBorder="1" applyFont="1">
      <alignment shrinkToFit="0" vertical="center" wrapText="0"/>
    </xf>
    <xf borderId="132" fillId="0" fontId="3" numFmtId="0" xfId="0" applyAlignment="1" applyBorder="1" applyFont="1">
      <alignment shrinkToFit="0" vertical="center" wrapText="0"/>
    </xf>
    <xf borderId="133" fillId="0" fontId="3" numFmtId="2" xfId="0" applyAlignment="1" applyBorder="1" applyFont="1" applyNumberFormat="1">
      <alignment shrinkToFit="0" vertical="center" wrapText="0"/>
    </xf>
    <xf borderId="51" fillId="0" fontId="4" numFmtId="0" xfId="0" applyAlignment="1" applyBorder="1" applyFont="1">
      <alignment horizontal="center" readingOrder="0" shrinkToFit="0" vertical="center" wrapText="1"/>
    </xf>
    <xf borderId="7" fillId="0" fontId="3" numFmtId="166" xfId="0" applyAlignment="1" applyBorder="1" applyFont="1" applyNumberFormat="1">
      <alignment shrinkToFit="0" vertical="center" wrapText="0"/>
    </xf>
    <xf borderId="134" fillId="8" fontId="29" numFmtId="0" xfId="0" applyAlignment="1" applyBorder="1" applyFont="1">
      <alignment readingOrder="0" shrinkToFit="0" vertical="center" wrapText="0"/>
    </xf>
    <xf borderId="135" fillId="0" fontId="3" numFmtId="0" xfId="0" applyAlignment="1" applyBorder="1" applyFont="1">
      <alignment shrinkToFit="0" vertical="center" wrapText="0"/>
    </xf>
    <xf borderId="136" fillId="0" fontId="3" numFmtId="0" xfId="0" applyAlignment="1" applyBorder="1" applyFont="1">
      <alignment shrinkToFit="0" vertical="center" wrapText="0"/>
    </xf>
    <xf borderId="137" fillId="0" fontId="3" numFmtId="0" xfId="0" applyAlignment="1" applyBorder="1" applyFont="1">
      <alignment shrinkToFit="0" vertical="center" wrapText="0"/>
    </xf>
    <xf borderId="138" fillId="0" fontId="3" numFmtId="2" xfId="0" applyAlignment="1" applyBorder="1" applyFont="1" applyNumberFormat="1">
      <alignment shrinkToFit="0" vertical="center" wrapText="0"/>
    </xf>
    <xf borderId="0" fillId="0" fontId="3" numFmtId="0" xfId="0" applyFont="1"/>
    <xf borderId="43" fillId="0" fontId="4" numFmtId="0" xfId="0" applyAlignment="1" applyBorder="1" applyFont="1">
      <alignment horizontal="center" readingOrder="0" shrinkToFit="0" vertical="center" wrapText="1"/>
    </xf>
    <xf borderId="139" fillId="0" fontId="3" numFmtId="166" xfId="0" applyAlignment="1" applyBorder="1" applyFont="1" applyNumberFormat="1">
      <alignment shrinkToFit="0" vertical="center" wrapText="0"/>
    </xf>
    <xf borderId="140" fillId="0" fontId="3" numFmtId="166" xfId="0" applyAlignment="1" applyBorder="1" applyFont="1" applyNumberFormat="1">
      <alignment horizontal="center" shrinkToFit="0" vertical="center" wrapText="0"/>
    </xf>
    <xf borderId="43" fillId="0" fontId="29" numFmtId="0" xfId="0" applyAlignment="1" applyBorder="1" applyFont="1">
      <alignment readingOrder="0" shrinkToFit="0" vertical="center" wrapText="0"/>
    </xf>
    <xf borderId="141" fillId="0" fontId="3" numFmtId="0" xfId="0" applyAlignment="1" applyBorder="1" applyFont="1">
      <alignment shrinkToFit="0" vertical="center" wrapText="0"/>
    </xf>
    <xf borderId="142" fillId="0" fontId="3" numFmtId="0" xfId="0" applyAlignment="1" applyBorder="1" applyFont="1">
      <alignment shrinkToFit="0" vertical="center" wrapText="0"/>
    </xf>
    <xf borderId="143" fillId="0" fontId="3" numFmtId="0" xfId="0" applyAlignment="1" applyBorder="1" applyFont="1">
      <alignment shrinkToFit="0" vertical="center" wrapText="0"/>
    </xf>
    <xf borderId="144" fillId="0" fontId="3" numFmtId="0" xfId="0" applyAlignment="1" applyBorder="1" applyFont="1">
      <alignment shrinkToFit="0" vertical="center" wrapText="0"/>
    </xf>
    <xf borderId="145" fillId="0" fontId="3" numFmtId="2" xfId="0" applyAlignment="1" applyBorder="1" applyFont="1" applyNumberFormat="1">
      <alignment shrinkToFit="0" vertical="center" wrapText="0"/>
    </xf>
    <xf borderId="146" fillId="0" fontId="3" numFmtId="166" xfId="0" applyAlignment="1" applyBorder="1" applyFont="1" applyNumberFormat="1">
      <alignment horizontal="center" shrinkToFit="0" vertical="center" wrapText="0"/>
    </xf>
    <xf borderId="147" fillId="0" fontId="3" numFmtId="0" xfId="0" applyAlignment="1" applyBorder="1" applyFont="1">
      <alignment shrinkToFit="0" vertical="center" wrapText="0"/>
    </xf>
    <xf borderId="148" fillId="0" fontId="3" numFmtId="0" xfId="0" applyAlignment="1" applyBorder="1" applyFont="1">
      <alignment shrinkToFit="0" vertical="center" wrapText="0"/>
    </xf>
    <xf borderId="149" fillId="0" fontId="3" numFmtId="0" xfId="0" applyAlignment="1" applyBorder="1" applyFont="1">
      <alignment shrinkToFit="0" vertical="center" wrapText="0"/>
    </xf>
    <xf borderId="150" fillId="0" fontId="3" numFmtId="0" xfId="0" applyAlignment="1" applyBorder="1" applyFont="1">
      <alignment shrinkToFit="0" vertical="center" wrapText="0"/>
    </xf>
    <xf borderId="151" fillId="0" fontId="3" numFmtId="2" xfId="0" applyAlignment="1" applyBorder="1" applyFont="1" applyNumberFormat="1">
      <alignment shrinkToFit="0" vertical="center" wrapText="0"/>
    </xf>
    <xf borderId="152" fillId="0" fontId="3" numFmtId="166" xfId="0" applyAlignment="1" applyBorder="1" applyFont="1" applyNumberFormat="1">
      <alignment horizontal="center" shrinkToFit="0" vertical="center" wrapText="0"/>
    </xf>
    <xf borderId="153" fillId="0" fontId="3" numFmtId="0" xfId="0" applyAlignment="1" applyBorder="1" applyFont="1">
      <alignment shrinkToFit="0" vertical="center" wrapText="0"/>
    </xf>
    <xf borderId="154" fillId="0" fontId="3" numFmtId="0" xfId="0" applyAlignment="1" applyBorder="1" applyFont="1">
      <alignment shrinkToFit="0" vertical="center" wrapText="0"/>
    </xf>
    <xf borderId="155" fillId="0" fontId="3" numFmtId="0" xfId="0" applyAlignment="1" applyBorder="1" applyFont="1">
      <alignment shrinkToFit="0" vertical="center" wrapText="0"/>
    </xf>
    <xf borderId="156" fillId="0" fontId="3" numFmtId="2" xfId="0" applyAlignment="1" applyBorder="1" applyFont="1" applyNumberFormat="1">
      <alignment shrinkToFit="0" vertical="center" wrapText="0"/>
    </xf>
    <xf borderId="157" fillId="0" fontId="3" numFmtId="166" xfId="0" applyAlignment="1" applyBorder="1" applyFont="1" applyNumberFormat="1">
      <alignment horizontal="center" shrinkToFit="0" vertical="center" wrapText="0"/>
    </xf>
    <xf borderId="158" fillId="0" fontId="3" numFmtId="0" xfId="0" applyAlignment="1" applyBorder="1" applyFont="1">
      <alignment shrinkToFit="0" vertical="center" wrapText="0"/>
    </xf>
    <xf borderId="159" fillId="0" fontId="3" numFmtId="0" xfId="0" applyAlignment="1" applyBorder="1" applyFont="1">
      <alignment shrinkToFit="0" vertical="center" wrapText="0"/>
    </xf>
    <xf borderId="160" fillId="0" fontId="3" numFmtId="2" xfId="0" applyAlignment="1" applyBorder="1" applyFont="1" applyNumberFormat="1">
      <alignment shrinkToFit="0" vertical="center" wrapText="0"/>
    </xf>
    <xf borderId="161" fillId="0" fontId="3" numFmtId="166" xfId="0" applyAlignment="1" applyBorder="1" applyFont="1" applyNumberFormat="1">
      <alignment horizontal="center" shrinkToFit="0" vertical="center" wrapText="0"/>
    </xf>
    <xf borderId="162" fillId="0" fontId="3" numFmtId="0" xfId="0" applyAlignment="1" applyBorder="1" applyFont="1">
      <alignment shrinkToFit="0" vertical="center" wrapText="0"/>
    </xf>
    <xf borderId="163" fillId="0" fontId="3" numFmtId="0" xfId="0" applyAlignment="1" applyBorder="1" applyFont="1">
      <alignment shrinkToFit="0" vertical="center" wrapText="0"/>
    </xf>
    <xf borderId="164" fillId="0" fontId="3" numFmtId="0" xfId="0" applyAlignment="1" applyBorder="1" applyFont="1">
      <alignment shrinkToFit="0" vertical="center" wrapText="0"/>
    </xf>
    <xf borderId="165" fillId="0" fontId="3" numFmtId="2" xfId="0" applyAlignment="1" applyBorder="1" applyFont="1" applyNumberFormat="1">
      <alignment shrinkToFit="0" vertical="center" wrapText="0"/>
    </xf>
    <xf borderId="166" fillId="0" fontId="3" numFmtId="166" xfId="0" applyAlignment="1" applyBorder="1" applyFont="1" applyNumberFormat="1">
      <alignment horizontal="center" shrinkToFit="0" vertical="center" wrapText="0"/>
    </xf>
    <xf borderId="51" fillId="0" fontId="29" numFmtId="0" xfId="0" applyAlignment="1" applyBorder="1" applyFont="1">
      <alignment readingOrder="0" shrinkToFit="0" vertical="center" wrapText="0"/>
    </xf>
    <xf borderId="167" fillId="0" fontId="3" numFmtId="0" xfId="0" applyAlignment="1" applyBorder="1" applyFont="1">
      <alignment shrinkToFit="0" vertical="center" wrapText="0"/>
    </xf>
    <xf borderId="168" fillId="0" fontId="3" numFmtId="0" xfId="0" applyAlignment="1" applyBorder="1" applyFont="1">
      <alignment shrinkToFit="0" vertical="center" wrapText="0"/>
    </xf>
    <xf borderId="169" fillId="0" fontId="3" numFmtId="166" xfId="0" applyAlignment="1" applyBorder="1" applyFont="1" applyNumberFormat="1">
      <alignment horizontal="center" shrinkToFit="0" vertical="center" wrapText="0"/>
    </xf>
    <xf borderId="170" fillId="0" fontId="3" numFmtId="0" xfId="0" applyAlignment="1" applyBorder="1" applyFont="1">
      <alignment shrinkToFit="0" vertical="center" wrapText="0"/>
    </xf>
    <xf borderId="171" fillId="0" fontId="3" numFmtId="0" xfId="0" applyAlignment="1" applyBorder="1" applyFont="1">
      <alignment shrinkToFit="0" vertical="center" wrapText="0"/>
    </xf>
    <xf borderId="108" fillId="0" fontId="3" numFmtId="0" xfId="0" applyAlignment="1" applyBorder="1" applyFont="1">
      <alignment shrinkToFit="0" vertical="center" wrapText="0"/>
    </xf>
    <xf borderId="172" fillId="0" fontId="3" numFmtId="0" xfId="0" applyAlignment="1" applyBorder="1" applyFont="1">
      <alignment shrinkToFit="0" vertical="center" wrapText="0"/>
    </xf>
    <xf borderId="173" fillId="0" fontId="3" numFmtId="0" xfId="0" applyAlignment="1" applyBorder="1" applyFont="1">
      <alignment shrinkToFit="0" vertical="center" wrapText="0"/>
    </xf>
    <xf borderId="174" fillId="0" fontId="3" numFmtId="2" xfId="0" applyAlignment="1" applyBorder="1" applyFont="1" applyNumberFormat="1">
      <alignment shrinkToFit="0" vertical="center" wrapText="0"/>
    </xf>
    <xf borderId="175" fillId="0" fontId="3" numFmtId="166" xfId="0" applyAlignment="1" applyBorder="1" applyFont="1" applyNumberFormat="1">
      <alignment horizontal="center" shrinkToFit="0" vertical="center" wrapText="0"/>
    </xf>
    <xf borderId="176" fillId="0" fontId="3" numFmtId="0" xfId="0" applyAlignment="1" applyBorder="1" applyFont="1">
      <alignment shrinkToFit="0" vertical="center" wrapText="0"/>
    </xf>
    <xf borderId="177" fillId="0" fontId="3" numFmtId="0" xfId="0" applyAlignment="1" applyBorder="1" applyFont="1">
      <alignment shrinkToFit="0" vertical="center" wrapText="0"/>
    </xf>
    <xf borderId="178" fillId="0" fontId="3" numFmtId="0" xfId="0" applyAlignment="1" applyBorder="1" applyFont="1">
      <alignment shrinkToFit="0" vertical="center" wrapText="0"/>
    </xf>
    <xf borderId="179" fillId="0" fontId="3" numFmtId="0" xfId="0" applyAlignment="1" applyBorder="1" applyFont="1">
      <alignment shrinkToFit="0" vertical="center" wrapText="0"/>
    </xf>
    <xf borderId="180" fillId="0" fontId="3" numFmtId="2" xfId="0" applyAlignment="1" applyBorder="1" applyFont="1" applyNumberFormat="1">
      <alignment shrinkToFit="0" vertical="center" wrapText="0"/>
    </xf>
    <xf borderId="0" fillId="0" fontId="3" numFmtId="0" xfId="0" applyAlignment="1" applyFont="1">
      <alignment horizontal="left" readingOrder="0"/>
    </xf>
    <xf borderId="181" fillId="0" fontId="3" numFmtId="166" xfId="0" applyAlignment="1" applyBorder="1" applyFont="1" applyNumberFormat="1">
      <alignment horizontal="center" shrinkToFit="0" vertical="center" wrapText="0"/>
    </xf>
    <xf borderId="182" fillId="0" fontId="3" numFmtId="0" xfId="0" applyAlignment="1" applyBorder="1" applyFont="1">
      <alignment shrinkToFit="0" vertical="center" wrapText="0"/>
    </xf>
    <xf borderId="183" fillId="0" fontId="3" numFmtId="0" xfId="0" applyAlignment="1" applyBorder="1" applyFont="1">
      <alignment shrinkToFit="0" vertical="center" wrapText="0"/>
    </xf>
    <xf borderId="184" fillId="0" fontId="3" numFmtId="0" xfId="0" applyAlignment="1" applyBorder="1" applyFont="1">
      <alignment shrinkToFit="0" vertical="center" wrapText="0"/>
    </xf>
    <xf borderId="185" fillId="0" fontId="3" numFmtId="0" xfId="0" applyAlignment="1" applyBorder="1" applyFont="1">
      <alignment shrinkToFit="0" vertical="center" wrapText="0"/>
    </xf>
    <xf borderId="186" fillId="0" fontId="3" numFmtId="0" xfId="0" applyAlignment="1" applyBorder="1" applyFont="1">
      <alignment shrinkToFit="0" vertical="center" wrapText="0"/>
    </xf>
    <xf borderId="187" fillId="0" fontId="3" numFmtId="0" xfId="0" applyAlignment="1" applyBorder="1" applyFont="1">
      <alignment shrinkToFit="0" vertical="center" wrapText="0"/>
    </xf>
    <xf borderId="139" fillId="0" fontId="3" numFmtId="166" xfId="0" applyAlignment="1" applyBorder="1" applyFont="1" applyNumberFormat="1">
      <alignment horizontal="center" shrinkToFit="0" vertical="center" wrapText="0"/>
    </xf>
    <xf borderId="188" fillId="0" fontId="3" numFmtId="166" xfId="0" applyAlignment="1" applyBorder="1" applyFont="1" applyNumberFormat="1">
      <alignment horizontal="center" shrinkToFit="0" vertical="center" wrapText="0"/>
    </xf>
    <xf borderId="189" fillId="0" fontId="3" numFmtId="0" xfId="0" applyAlignment="1" applyBorder="1" applyFont="1">
      <alignment shrinkToFit="0" vertical="center" wrapText="0"/>
    </xf>
    <xf borderId="190" fillId="0" fontId="3" numFmtId="0" xfId="0" applyAlignment="1" applyBorder="1" applyFont="1">
      <alignment shrinkToFit="0" vertical="center" wrapText="0"/>
    </xf>
    <xf borderId="191" fillId="0" fontId="3" numFmtId="2" xfId="0" applyAlignment="1" applyBorder="1" applyFont="1" applyNumberFormat="1">
      <alignment shrinkToFit="0" vertical="center" wrapText="0"/>
    </xf>
    <xf borderId="192" fillId="0" fontId="3" numFmtId="166" xfId="0" applyAlignment="1" applyBorder="1" applyFont="1" applyNumberFormat="1">
      <alignment horizontal="center" shrinkToFit="0" vertical="center" wrapText="0"/>
    </xf>
    <xf borderId="193" fillId="0" fontId="3" numFmtId="0" xfId="0" applyAlignment="1" applyBorder="1" applyFont="1">
      <alignment shrinkToFit="0" vertical="center" wrapText="0"/>
    </xf>
    <xf borderId="194" fillId="0" fontId="3" numFmtId="166" xfId="0" applyAlignment="1" applyBorder="1" applyFont="1" applyNumberFormat="1">
      <alignment horizontal="center" shrinkToFit="0" vertical="center" wrapText="0"/>
    </xf>
    <xf borderId="195" fillId="0" fontId="3" numFmtId="0" xfId="0" applyAlignment="1" applyBorder="1" applyFont="1">
      <alignment shrinkToFit="0" vertical="center" wrapText="0"/>
    </xf>
    <xf borderId="196" fillId="0" fontId="3" numFmtId="166" xfId="0" applyAlignment="1" applyBorder="1" applyFont="1" applyNumberFormat="1">
      <alignment horizontal="center" shrinkToFit="0" vertical="center" wrapText="0"/>
    </xf>
    <xf borderId="51" fillId="0" fontId="29" numFmtId="0" xfId="0" applyAlignment="1" applyBorder="1" applyFont="1">
      <alignment horizontal="left" readingOrder="0" shrinkToFit="0" vertical="center" wrapText="0"/>
    </xf>
    <xf borderId="7" fillId="0" fontId="3" numFmtId="0" xfId="0" applyAlignment="1" applyBorder="1" applyFont="1">
      <alignment horizontal="left" shrinkToFit="0" vertical="center" wrapText="0"/>
    </xf>
    <xf borderId="82" fillId="0" fontId="3" numFmtId="0" xfId="0" applyAlignment="1" applyBorder="1" applyFont="1">
      <alignment horizontal="left" shrinkToFit="0" vertical="center" wrapText="0"/>
    </xf>
    <xf borderId="197" fillId="0" fontId="3" numFmtId="0" xfId="0" applyAlignment="1" applyBorder="1" applyFont="1">
      <alignment horizontal="left" shrinkToFit="0" vertical="center" wrapText="0"/>
    </xf>
    <xf borderId="102" fillId="0" fontId="3" numFmtId="0" xfId="0" applyAlignment="1" applyBorder="1" applyFont="1">
      <alignment horizontal="left" shrinkToFit="0" vertical="center" wrapText="0"/>
    </xf>
    <xf borderId="198" fillId="0" fontId="3" numFmtId="0" xfId="0" applyAlignment="1" applyBorder="1" applyFont="1">
      <alignment horizontal="left" shrinkToFit="0" vertical="center" wrapText="0"/>
    </xf>
    <xf borderId="199" fillId="0" fontId="3" numFmtId="2" xfId="0" applyAlignment="1" applyBorder="1" applyFont="1" applyNumberFormat="1">
      <alignment shrinkToFit="0" vertical="center" wrapText="0"/>
    </xf>
    <xf borderId="128" fillId="0" fontId="4" numFmtId="0" xfId="0" applyAlignment="1" applyBorder="1" applyFont="1">
      <alignment horizontal="center" readingOrder="0" shrinkToFit="0" vertical="center" wrapText="1"/>
    </xf>
    <xf borderId="200" fillId="0" fontId="3" numFmtId="166" xfId="0" applyAlignment="1" applyBorder="1" applyFont="1" applyNumberFormat="1">
      <alignment shrinkToFit="0" vertical="center" wrapText="0"/>
    </xf>
    <xf borderId="128" fillId="0" fontId="29" numFmtId="0" xfId="0" applyAlignment="1" applyBorder="1" applyFont="1">
      <alignment readingOrder="0" shrinkToFit="0" vertical="center" wrapText="0"/>
    </xf>
    <xf borderId="201" fillId="0" fontId="3" numFmtId="0" xfId="0" applyAlignment="1" applyBorder="1" applyFont="1">
      <alignment shrinkToFit="0" vertical="center" wrapText="0"/>
    </xf>
    <xf borderId="202" fillId="0" fontId="3" numFmtId="0" xfId="0" applyAlignment="1" applyBorder="1" applyFont="1">
      <alignment shrinkToFit="0" vertical="center" wrapText="0"/>
    </xf>
    <xf borderId="203" fillId="0" fontId="3" numFmtId="0" xfId="0" applyAlignment="1" applyBorder="1" applyFont="1">
      <alignment shrinkToFit="0" vertical="center" wrapText="0"/>
    </xf>
    <xf borderId="204" fillId="0" fontId="3" numFmtId="0" xfId="0" applyAlignment="1" applyBorder="1" applyFont="1">
      <alignment shrinkToFit="0" vertical="center" wrapText="0"/>
    </xf>
    <xf borderId="205" fillId="0" fontId="3" numFmtId="2" xfId="0" applyAlignment="1" applyBorder="1" applyFont="1" applyNumberFormat="1">
      <alignment shrinkToFit="0" vertical="center" wrapText="0"/>
    </xf>
    <xf borderId="0" fillId="0" fontId="30" numFmtId="0" xfId="0" applyAlignment="1" applyFont="1">
      <alignment readingOrder="0"/>
    </xf>
    <xf borderId="1" fillId="0" fontId="4" numFmtId="2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Metricas semana 35 - roi-style">
      <tableStyleElement dxfId="1" type="headerRow"/>
      <tableStyleElement dxfId="2" type="firstRowStripe"/>
      <tableStyleElement dxfId="3" type="secondRowStripe"/>
    </tableStyle>
    <tableStyle count="3" pivot="0" name="Metricas semana 35 - roi-style 2">
      <tableStyleElement dxfId="1" type="headerRow"/>
      <tableStyleElement dxfId="2" type="firstRowStripe"/>
      <tableStyleElement dxfId="3" type="secondRowStripe"/>
    </tableStyle>
    <tableStyle count="3" pivot="0" name="Metricas semana 35 - f1_score-style">
      <tableStyleElement dxfId="1" type="headerRow"/>
      <tableStyleElement dxfId="2" type="firstRowStripe"/>
      <tableStyleElement dxfId="3" type="secondRowStripe"/>
    </tableStyle>
    <tableStyle count="3" pivot="0" name="Metricas semana 35 - f1_score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8:G44" displayName="Table1" name="Table1" id="1">
  <tableColumns count="7">
    <tableColumn name="Metrics" id="1"/>
    <tableColumn name="eng" id="2"/>
    <tableColumn name="fra" id="3"/>
    <tableColumn name="ger" id="4"/>
    <tableColumn name="ita" id="5"/>
    <tableColumn name="spa" id="6"/>
    <tableColumn name="mean" id="7"/>
  </tableColumns>
  <tableStyleInfo name="Metricas semana 35 - roi-style" showColumnStripes="0" showFirstColumn="1" showLastColumn="1" showRowStripes="1"/>
</table>
</file>

<file path=xl/tables/table2.xml><?xml version="1.0" encoding="utf-8"?>
<table xmlns="http://schemas.openxmlformats.org/spreadsheetml/2006/main" ref="Q28:X44" displayName="Table2" name="Table2" id="2">
  <tableColumns count="8">
    <tableColumn name="Column 1" id="1"/>
    <tableColumn name="eng" id="2"/>
    <tableColumn name="fra" id="3"/>
    <tableColumn name="ger" id="4"/>
    <tableColumn name="ita" id="5"/>
    <tableColumn name="spa" id="6"/>
    <tableColumn name="mean" id="7"/>
    <tableColumn name="Var" id="8"/>
  </tableColumns>
  <tableStyleInfo name="Metricas semana 35 - roi-style 2" showColumnStripes="0" showFirstColumn="1" showLastColumn="1" showRowStripes="1"/>
</table>
</file>

<file path=xl/tables/table3.xml><?xml version="1.0" encoding="utf-8"?>
<table xmlns="http://schemas.openxmlformats.org/spreadsheetml/2006/main" ref="A28:G44" displayName="Table1_2" name="Table1_2" id="3">
  <tableColumns count="7">
    <tableColumn name="Metrics" id="1"/>
    <tableColumn name="eng" id="2"/>
    <tableColumn name="fra" id="3"/>
    <tableColumn name="ger" id="4"/>
    <tableColumn name="ita" id="5"/>
    <tableColumn name="spa" id="6"/>
    <tableColumn name="mean" id="7"/>
  </tableColumns>
  <tableStyleInfo name="Metricas semana 35 - f1_score-style" showColumnStripes="0" showFirstColumn="1" showLastColumn="1" showRowStripes="1"/>
</table>
</file>

<file path=xl/tables/table4.xml><?xml version="1.0" encoding="utf-8"?>
<table xmlns="http://schemas.openxmlformats.org/spreadsheetml/2006/main" ref="Q28:X44" displayName="Table2_2" name="Table2_2" id="4">
  <tableColumns count="8">
    <tableColumn name="Column 1" id="1"/>
    <tableColumn name="eng" id="2"/>
    <tableColumn name="fra" id="3"/>
    <tableColumn name="ger" id="4"/>
    <tableColumn name="ita" id="5"/>
    <tableColumn name="spa" id="6"/>
    <tableColumn name="mean" id="7"/>
    <tableColumn name="Var" id="8"/>
  </tableColumns>
  <tableStyleInfo name="Metricas semana 35 - f1_scor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nm.py/" TargetMode="External"/><Relationship Id="rId2" Type="http://schemas.openxmlformats.org/officeDocument/2006/relationships/hyperlink" Target="https://docs.google.com/document/d/1RYh11-iNPvYMbBBW4b5fkFB7vNGBbB933ULmrCTNJkE/edit?tab=t.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4.75"/>
    <col customWidth="1" min="5" max="5" width="18.88"/>
    <col customWidth="1" min="6" max="9" width="10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</row>
    <row r="2" ht="39.0" hidden="1" customHeight="1">
      <c r="A2" s="8">
        <v>6.0</v>
      </c>
      <c r="B2" s="9" t="s">
        <v>12</v>
      </c>
      <c r="C2" s="10">
        <v>45694.0</v>
      </c>
      <c r="D2" s="11">
        <v>1.0</v>
      </c>
      <c r="E2" s="12" t="s">
        <v>13</v>
      </c>
      <c r="F2" s="13"/>
      <c r="G2" s="13"/>
      <c r="H2" s="13"/>
      <c r="I2" s="13"/>
      <c r="J2" s="14"/>
      <c r="L2" s="15"/>
    </row>
    <row r="3" hidden="1">
      <c r="A3" s="16">
        <v>167.0</v>
      </c>
      <c r="B3" s="16" t="s">
        <v>14</v>
      </c>
      <c r="C3" s="10"/>
      <c r="D3" s="10"/>
      <c r="E3" s="10"/>
      <c r="F3" s="17"/>
      <c r="G3" s="17"/>
      <c r="H3" s="17"/>
      <c r="I3" s="17"/>
      <c r="J3" s="14"/>
      <c r="L3" s="15"/>
    </row>
    <row r="4">
      <c r="A4" s="18">
        <v>48.0</v>
      </c>
      <c r="B4" s="19" t="s">
        <v>15</v>
      </c>
      <c r="C4" s="10">
        <v>45784.0</v>
      </c>
      <c r="D4" s="12">
        <v>93.0</v>
      </c>
      <c r="E4" s="12" t="s">
        <v>16</v>
      </c>
      <c r="I4" s="20" t="str">
        <f t="shared" ref="I4:I8" si="1">AVERAGE(F4:H4)</f>
        <v>#DIV/0!</v>
      </c>
      <c r="J4" s="21"/>
      <c r="K4" s="22"/>
      <c r="L4" s="23" t="str">
        <f t="shared" ref="L4:L8" si="2">(K4-J4)/J4</f>
        <v>#DIV/0!</v>
      </c>
    </row>
    <row r="5">
      <c r="A5" s="16">
        <v>55.0</v>
      </c>
      <c r="B5" s="19" t="s">
        <v>17</v>
      </c>
      <c r="C5" s="10">
        <v>45784.0</v>
      </c>
      <c r="D5" s="12">
        <v>73.0</v>
      </c>
      <c r="E5" s="12" t="s">
        <v>18</v>
      </c>
      <c r="F5" s="24"/>
      <c r="G5" s="24"/>
      <c r="I5" s="25" t="str">
        <f t="shared" si="1"/>
        <v>#DIV/0!</v>
      </c>
      <c r="J5" s="21"/>
      <c r="K5" s="22"/>
      <c r="L5" s="23" t="str">
        <f t="shared" si="2"/>
        <v>#DIV/0!</v>
      </c>
    </row>
    <row r="6">
      <c r="A6" s="16">
        <v>59.0</v>
      </c>
      <c r="B6" s="16" t="s">
        <v>19</v>
      </c>
      <c r="C6" s="10">
        <v>45785.0</v>
      </c>
      <c r="D6" s="12">
        <v>16.0</v>
      </c>
      <c r="E6" s="12" t="s">
        <v>16</v>
      </c>
      <c r="I6" s="20" t="str">
        <f t="shared" si="1"/>
        <v>#DIV/0!</v>
      </c>
      <c r="J6" s="21"/>
      <c r="K6" s="22"/>
      <c r="L6" s="23" t="str">
        <f t="shared" si="2"/>
        <v>#DIV/0!</v>
      </c>
    </row>
    <row r="7">
      <c r="A7" s="16">
        <v>77.0</v>
      </c>
      <c r="B7" s="16" t="s">
        <v>20</v>
      </c>
      <c r="C7" s="10">
        <v>45785.0</v>
      </c>
      <c r="D7" s="12">
        <v>45.0</v>
      </c>
      <c r="E7" s="12" t="s">
        <v>16</v>
      </c>
      <c r="I7" s="20" t="str">
        <f t="shared" si="1"/>
        <v>#DIV/0!</v>
      </c>
      <c r="J7" s="21"/>
      <c r="K7" s="22"/>
      <c r="L7" s="23" t="str">
        <f t="shared" si="2"/>
        <v>#DIV/0!</v>
      </c>
    </row>
    <row r="8">
      <c r="A8" s="16">
        <v>148.0</v>
      </c>
      <c r="B8" s="16" t="s">
        <v>21</v>
      </c>
      <c r="C8" s="10">
        <v>45784.0</v>
      </c>
      <c r="D8" s="26">
        <v>67.0</v>
      </c>
      <c r="E8" s="12" t="s">
        <v>16</v>
      </c>
      <c r="G8" s="24"/>
      <c r="I8" s="20" t="str">
        <f t="shared" si="1"/>
        <v>#DIV/0!</v>
      </c>
      <c r="J8" s="21"/>
      <c r="K8" s="22"/>
      <c r="L8" s="23" t="str">
        <f t="shared" si="2"/>
        <v>#DIV/0!</v>
      </c>
    </row>
    <row r="9" ht="20.25" customHeight="1"/>
  </sheetData>
  <autoFilter ref="$A$1:$L$8"/>
  <conditionalFormatting sqref="I4:I8">
    <cfRule type="colorScale" priority="1">
      <colorScale>
        <cfvo type="min"/>
        <cfvo type="max"/>
        <color rgb="FFFFFFFF"/>
        <color rgb="FF57BB8A"/>
      </colorScale>
    </cfRule>
  </conditionalFormatting>
  <conditionalFormatting sqref="L4:L8">
    <cfRule type="colorScale" priority="2">
      <colorScale>
        <cfvo type="min"/>
        <cfvo type="formula" val="0.2"/>
        <color rgb="FFFFFFFF"/>
        <color rgb="FFE67C73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17"/>
      <c r="E3" s="17"/>
      <c r="F3" s="17"/>
      <c r="G3" s="17"/>
      <c r="P3" s="27" t="s">
        <v>22</v>
      </c>
      <c r="Q3" s="28" t="s">
        <v>23</v>
      </c>
      <c r="S3" s="29" t="s">
        <v>24</v>
      </c>
      <c r="T3" s="29" t="s">
        <v>25</v>
      </c>
      <c r="V3" s="28" t="s">
        <v>26</v>
      </c>
      <c r="W3" s="27" t="s">
        <v>27</v>
      </c>
      <c r="Y3" s="29" t="s">
        <v>28</v>
      </c>
      <c r="Z3" s="29" t="s">
        <v>29</v>
      </c>
      <c r="AB3" s="27" t="s">
        <v>30</v>
      </c>
      <c r="AC3" s="28" t="s">
        <v>31</v>
      </c>
      <c r="AE3" s="30" t="s">
        <v>32</v>
      </c>
      <c r="AF3" s="28" t="s">
        <v>33</v>
      </c>
      <c r="AG3" s="28"/>
      <c r="AH3" s="28" t="s">
        <v>34</v>
      </c>
      <c r="AI3" s="30" t="s">
        <v>35</v>
      </c>
      <c r="AJ3" s="28" t="s">
        <v>36</v>
      </c>
      <c r="AK3" s="28"/>
      <c r="AL3" s="28">
        <f t="shared" ref="AL3:AN3" si="1">MIN(AL6:AL1497)</f>
        <v>-0.44</v>
      </c>
      <c r="AM3" s="28">
        <f t="shared" si="1"/>
        <v>-0.49</v>
      </c>
      <c r="AN3" s="28">
        <f t="shared" si="1"/>
        <v>-0.48</v>
      </c>
      <c r="AO3" s="28"/>
    </row>
    <row r="4">
      <c r="K4" s="31">
        <f t="shared" ref="K4:M4" si="2">AVERAGE(K6:K65)</f>
        <v>44.30225</v>
      </c>
      <c r="L4" s="31">
        <f t="shared" si="2"/>
        <v>44.79516667</v>
      </c>
      <c r="M4" s="31">
        <f t="shared" si="2"/>
        <v>44.15583333</v>
      </c>
      <c r="O4" s="31">
        <f t="shared" ref="O4:Q4" si="3">AVERAGE(O6:O1497)</f>
        <v>45.01783333</v>
      </c>
      <c r="P4" s="32">
        <f t="shared" si="3"/>
        <v>43.77283333</v>
      </c>
      <c r="Q4" s="31">
        <f t="shared" si="3"/>
        <v>43.498</v>
      </c>
      <c r="S4" s="31">
        <f t="shared" ref="S4:T4" si="4">AVERAGE(S6:S1497)</f>
        <v>43.77283333</v>
      </c>
      <c r="T4" s="31">
        <f t="shared" si="4"/>
        <v>43.79166667</v>
      </c>
      <c r="V4" s="31">
        <f t="shared" ref="V4:W4" si="5">AVERAGE(V6:V1497)</f>
        <v>44.6275</v>
      </c>
      <c r="W4" s="32">
        <f t="shared" si="5"/>
        <v>44.9325</v>
      </c>
      <c r="Y4" s="31">
        <f t="shared" ref="Y4:Z4" si="6">AVERAGE(Y6:Y1497)</f>
        <v>44.61966667</v>
      </c>
      <c r="Z4" s="31">
        <f t="shared" si="6"/>
        <v>44.6275</v>
      </c>
      <c r="AB4" s="32">
        <f t="shared" ref="AB4:AC4" si="7">AVERAGE(AB6:AB1497)</f>
        <v>44.6275</v>
      </c>
      <c r="AC4" s="31">
        <f t="shared" si="7"/>
        <v>44.3825</v>
      </c>
      <c r="AE4" s="33">
        <f t="shared" ref="AE4:AF4" si="8">AVERAGE(AE6:AE1497)</f>
        <v>44.6275</v>
      </c>
      <c r="AF4" s="31">
        <f t="shared" si="8"/>
        <v>43.72216667</v>
      </c>
      <c r="AH4" s="31">
        <f t="shared" ref="AH4:AN4" si="9">AVERAGE(AH6:AH1497)</f>
        <v>43.2375</v>
      </c>
      <c r="AI4" s="33">
        <f t="shared" si="9"/>
        <v>44.6275</v>
      </c>
      <c r="AJ4" s="31">
        <f t="shared" si="9"/>
        <v>42.620625</v>
      </c>
      <c r="AK4" s="31">
        <f t="shared" si="9"/>
        <v>44.592</v>
      </c>
      <c r="AL4" s="31">
        <f t="shared" si="9"/>
        <v>-0.13164</v>
      </c>
      <c r="AM4" s="31">
        <f t="shared" si="9"/>
        <v>-0.1838</v>
      </c>
      <c r="AN4" s="31">
        <f t="shared" si="9"/>
        <v>-0.1339</v>
      </c>
      <c r="AO4" s="31"/>
    </row>
    <row r="5">
      <c r="K5" s="31"/>
      <c r="L5" s="31"/>
      <c r="M5" s="31"/>
      <c r="O5" s="31"/>
      <c r="P5" s="32">
        <f t="shared" ref="P5:Q5" si="10">STDEV(P6:P1497)</f>
        <v>3.902822139</v>
      </c>
      <c r="Q5" s="31">
        <f t="shared" si="10"/>
        <v>5.868031691</v>
      </c>
      <c r="S5" s="31">
        <f t="shared" ref="S5:T5" si="11">STDEV(S6:S1497)</f>
        <v>3.902822139</v>
      </c>
      <c r="T5" s="31">
        <f t="shared" si="11"/>
        <v>4.621097223</v>
      </c>
      <c r="V5" s="31">
        <f t="shared" ref="V5:W5" si="12">STDEV(V6:V1497)</f>
        <v>4.467249799</v>
      </c>
      <c r="W5" s="32">
        <f t="shared" si="12"/>
        <v>4.161248845</v>
      </c>
      <c r="Y5" s="31">
        <f t="shared" ref="Y5:Z5" si="13">STDEV(Y6:Y1497)</f>
        <v>3.637440414</v>
      </c>
      <c r="Z5" s="31">
        <f t="shared" si="13"/>
        <v>4.467249799</v>
      </c>
      <c r="AB5" s="32">
        <f t="shared" ref="AB5:AC5" si="14">STDEV(AB6:AB1497)</f>
        <v>4.467249799</v>
      </c>
      <c r="AC5" s="31">
        <f t="shared" si="14"/>
        <v>4.228008958</v>
      </c>
      <c r="AE5" s="33">
        <f t="shared" ref="AE5:AF5" si="15">STDEV(AE6:AE1497)</f>
        <v>4.467249799</v>
      </c>
      <c r="AF5" s="31">
        <f t="shared" si="15"/>
        <v>4.125498261</v>
      </c>
      <c r="AH5" s="31">
        <f t="shared" ref="AH5:AN5" si="16">STDEV(AH6:AH1497)</f>
        <v>4.691382155</v>
      </c>
      <c r="AI5" s="33">
        <f t="shared" si="16"/>
        <v>4.467249799</v>
      </c>
      <c r="AJ5" s="31">
        <f t="shared" si="16"/>
        <v>4.587338915</v>
      </c>
      <c r="AK5" s="31">
        <f t="shared" si="16"/>
        <v>3.803333164</v>
      </c>
      <c r="AL5" s="31">
        <f t="shared" si="16"/>
        <v>0.1167654862</v>
      </c>
      <c r="AM5" s="31">
        <f t="shared" si="16"/>
        <v>0.1221464678</v>
      </c>
      <c r="AN5" s="31">
        <f t="shared" si="16"/>
        <v>0.1410558669</v>
      </c>
      <c r="AO5" s="31"/>
    </row>
    <row r="6">
      <c r="B6" s="34" t="s">
        <v>37</v>
      </c>
      <c r="D6" s="24"/>
      <c r="E6" s="24"/>
      <c r="F6" s="24"/>
      <c r="K6" s="28">
        <v>46.3</v>
      </c>
      <c r="L6" s="28">
        <v>47.32</v>
      </c>
      <c r="M6" s="28">
        <v>41.97</v>
      </c>
      <c r="O6" s="28">
        <v>44.77</v>
      </c>
      <c r="P6" s="28">
        <v>41.54</v>
      </c>
      <c r="Q6" s="28">
        <v>45.9</v>
      </c>
      <c r="S6" s="28">
        <v>41.54</v>
      </c>
      <c r="T6" s="28">
        <v>46.52</v>
      </c>
      <c r="V6" s="28">
        <v>52.18</v>
      </c>
      <c r="W6" s="28">
        <v>50.26</v>
      </c>
      <c r="Y6" s="28">
        <v>48.88</v>
      </c>
      <c r="Z6" s="28">
        <v>52.18</v>
      </c>
      <c r="AB6" s="28">
        <v>52.18</v>
      </c>
      <c r="AC6" s="28">
        <v>38.91</v>
      </c>
      <c r="AE6" s="28">
        <v>52.18</v>
      </c>
      <c r="AF6" s="28">
        <v>45.9</v>
      </c>
      <c r="AH6" s="28">
        <v>50.53</v>
      </c>
      <c r="AI6" s="28">
        <v>52.18</v>
      </c>
      <c r="AJ6" s="28">
        <v>43.21</v>
      </c>
      <c r="AK6" s="28">
        <v>49.48</v>
      </c>
      <c r="AL6" s="28">
        <v>-0.01</v>
      </c>
      <c r="AM6" s="28">
        <v>-0.22</v>
      </c>
      <c r="AN6" s="28">
        <v>-0.29</v>
      </c>
      <c r="AO6" s="28"/>
    </row>
    <row r="7">
      <c r="K7" s="28">
        <v>44.17</v>
      </c>
      <c r="L7" s="28">
        <v>50.77</v>
      </c>
      <c r="M7" s="28">
        <v>48.95</v>
      </c>
      <c r="O7" s="28">
        <v>48.36</v>
      </c>
      <c r="P7" s="28">
        <v>47.94</v>
      </c>
      <c r="Q7" s="28">
        <v>47.21</v>
      </c>
      <c r="S7" s="28">
        <v>47.94</v>
      </c>
      <c r="T7" s="28">
        <v>48.48</v>
      </c>
      <c r="V7" s="28">
        <v>46.21</v>
      </c>
      <c r="W7" s="28">
        <v>38.91</v>
      </c>
      <c r="Y7" s="28">
        <v>40.75</v>
      </c>
      <c r="Z7" s="28">
        <v>46.21</v>
      </c>
      <c r="AB7" s="28">
        <v>46.21</v>
      </c>
      <c r="AC7" s="28">
        <v>49.48</v>
      </c>
      <c r="AE7" s="28">
        <v>46.21</v>
      </c>
      <c r="AF7" s="28">
        <v>50.32</v>
      </c>
      <c r="AH7" s="28">
        <v>50.55</v>
      </c>
      <c r="AI7" s="28">
        <v>46.21</v>
      </c>
      <c r="AJ7" s="28">
        <v>39.47</v>
      </c>
      <c r="AK7" s="28">
        <v>51.27</v>
      </c>
      <c r="AL7" s="28">
        <v>-0.23</v>
      </c>
      <c r="AM7" s="28">
        <v>-0.29</v>
      </c>
      <c r="AN7" s="28">
        <v>-0.31</v>
      </c>
      <c r="AO7" s="28"/>
    </row>
    <row r="8">
      <c r="B8" s="28" t="s">
        <v>38</v>
      </c>
      <c r="K8" s="28">
        <v>50.03</v>
      </c>
      <c r="L8" s="28">
        <v>45.63</v>
      </c>
      <c r="M8" s="28">
        <v>50.34</v>
      </c>
      <c r="O8" s="28">
        <v>45.11</v>
      </c>
      <c r="P8" s="28">
        <v>44.26</v>
      </c>
      <c r="Q8" s="28">
        <v>43.02</v>
      </c>
      <c r="S8" s="28">
        <v>44.26</v>
      </c>
      <c r="T8" s="28">
        <v>38.86</v>
      </c>
      <c r="V8" s="28">
        <v>41.95</v>
      </c>
      <c r="W8" s="28">
        <v>36.23</v>
      </c>
      <c r="Y8" s="28">
        <v>40.46</v>
      </c>
      <c r="Z8" s="28">
        <v>41.95</v>
      </c>
      <c r="AB8" s="28">
        <v>41.95</v>
      </c>
      <c r="AC8" s="28">
        <v>43.49</v>
      </c>
      <c r="AE8" s="28">
        <v>41.95</v>
      </c>
      <c r="AF8" s="28">
        <v>47.06</v>
      </c>
      <c r="AH8" s="28">
        <v>42.94</v>
      </c>
      <c r="AI8" s="28">
        <v>41.95</v>
      </c>
      <c r="AJ8" s="28">
        <v>39.76</v>
      </c>
      <c r="AK8" s="28">
        <v>43.86</v>
      </c>
      <c r="AL8" s="28">
        <v>0.01</v>
      </c>
      <c r="AM8" s="28">
        <v>-0.14</v>
      </c>
      <c r="AN8" s="28">
        <v>-0.05</v>
      </c>
      <c r="AO8" s="28"/>
    </row>
    <row r="9">
      <c r="K9" s="28">
        <v>41.2</v>
      </c>
      <c r="L9" s="28">
        <v>33.19</v>
      </c>
      <c r="M9" s="28">
        <v>40.49</v>
      </c>
      <c r="O9" s="28">
        <v>35.26</v>
      </c>
      <c r="P9" s="28">
        <v>44.53</v>
      </c>
      <c r="Q9" s="28">
        <v>41.6</v>
      </c>
      <c r="S9" s="28">
        <v>44.53</v>
      </c>
      <c r="T9" s="28">
        <v>43.53</v>
      </c>
      <c r="V9" s="28">
        <v>41.55</v>
      </c>
      <c r="W9" s="28">
        <v>47.64</v>
      </c>
      <c r="Y9" s="28">
        <v>41.84</v>
      </c>
      <c r="Z9" s="28">
        <v>41.55</v>
      </c>
      <c r="AB9" s="28">
        <v>41.55</v>
      </c>
      <c r="AC9" s="28">
        <v>43.54</v>
      </c>
      <c r="AE9" s="28">
        <v>41.55</v>
      </c>
      <c r="AF9" s="28">
        <v>48.6</v>
      </c>
      <c r="AH9" s="28">
        <v>35.2</v>
      </c>
      <c r="AI9" s="28">
        <v>41.55</v>
      </c>
      <c r="AJ9" s="28">
        <v>37.64</v>
      </c>
      <c r="AK9" s="28">
        <v>40.32</v>
      </c>
      <c r="AL9" s="28">
        <v>-0.1</v>
      </c>
      <c r="AM9" s="28">
        <v>-0.24</v>
      </c>
      <c r="AN9" s="28">
        <v>-0.12</v>
      </c>
      <c r="AO9" s="28"/>
    </row>
    <row r="10">
      <c r="B10" s="35" t="s">
        <v>39</v>
      </c>
      <c r="K10" s="28">
        <v>48.95</v>
      </c>
      <c r="L10" s="28">
        <v>38.84</v>
      </c>
      <c r="M10" s="28">
        <v>51.09</v>
      </c>
      <c r="O10" s="28">
        <v>36.58</v>
      </c>
      <c r="P10" s="28">
        <v>42.57</v>
      </c>
      <c r="Q10" s="28">
        <v>40.34</v>
      </c>
      <c r="S10" s="28">
        <v>42.57</v>
      </c>
      <c r="T10" s="28">
        <v>47.62</v>
      </c>
      <c r="V10" s="28">
        <v>40.5</v>
      </c>
      <c r="W10" s="28">
        <v>44.46</v>
      </c>
      <c r="Y10" s="28">
        <v>47.02</v>
      </c>
      <c r="Z10" s="28">
        <v>40.5</v>
      </c>
      <c r="AB10" s="28">
        <v>40.5</v>
      </c>
      <c r="AC10" s="28">
        <v>44.86</v>
      </c>
      <c r="AE10" s="28">
        <v>40.5</v>
      </c>
      <c r="AF10" s="28">
        <v>38.96</v>
      </c>
      <c r="AH10" s="28">
        <v>44.58</v>
      </c>
      <c r="AI10" s="28">
        <v>40.5</v>
      </c>
      <c r="AJ10" s="28">
        <v>35.49</v>
      </c>
      <c r="AK10" s="28">
        <v>45.23</v>
      </c>
      <c r="AL10" s="28">
        <v>0.08</v>
      </c>
      <c r="AM10" s="28">
        <v>-0.29</v>
      </c>
      <c r="AN10" s="28">
        <v>-0.14</v>
      </c>
      <c r="AO10" s="28"/>
    </row>
    <row r="11">
      <c r="B11" s="36" t="s">
        <v>40</v>
      </c>
      <c r="K11" s="28">
        <v>39.22</v>
      </c>
      <c r="L11" s="28">
        <v>40.89</v>
      </c>
      <c r="M11" s="28">
        <v>41.7</v>
      </c>
      <c r="O11" s="28">
        <v>44.71</v>
      </c>
      <c r="P11" s="28">
        <v>44.71</v>
      </c>
      <c r="Q11" s="28">
        <v>35.54</v>
      </c>
      <c r="S11" s="28">
        <v>44.71</v>
      </c>
      <c r="T11" s="28">
        <v>39.07</v>
      </c>
      <c r="V11" s="28">
        <v>44.71</v>
      </c>
      <c r="W11" s="28">
        <v>38.6</v>
      </c>
      <c r="Y11" s="28">
        <v>42.56</v>
      </c>
      <c r="Z11" s="28">
        <v>44.71</v>
      </c>
      <c r="AB11" s="28">
        <v>44.71</v>
      </c>
      <c r="AC11" s="28">
        <v>35.48</v>
      </c>
      <c r="AE11" s="28">
        <v>44.71</v>
      </c>
      <c r="AF11" s="28">
        <v>44.2</v>
      </c>
      <c r="AH11" s="28">
        <v>37.18</v>
      </c>
      <c r="AI11" s="28">
        <v>44.71</v>
      </c>
      <c r="AJ11" s="28">
        <v>42.28</v>
      </c>
      <c r="AK11" s="28">
        <v>50.55</v>
      </c>
      <c r="AL11" s="28">
        <v>-0.14</v>
      </c>
      <c r="AM11" s="28">
        <v>-0.07</v>
      </c>
      <c r="AN11" s="28">
        <v>-0.02</v>
      </c>
      <c r="AO11" s="28"/>
    </row>
    <row r="12">
      <c r="B12" s="28" t="s">
        <v>41</v>
      </c>
      <c r="K12" s="28">
        <v>48.11</v>
      </c>
      <c r="L12" s="28">
        <v>48.47</v>
      </c>
      <c r="M12" s="28">
        <v>51.19</v>
      </c>
      <c r="O12" s="28">
        <v>42.63</v>
      </c>
      <c r="P12" s="28">
        <v>39.69</v>
      </c>
      <c r="Q12" s="28">
        <v>40.64</v>
      </c>
      <c r="S12" s="28">
        <v>39.69</v>
      </c>
      <c r="T12" s="28">
        <v>38.23</v>
      </c>
      <c r="V12" s="28">
        <v>52.97</v>
      </c>
      <c r="W12" s="28">
        <v>51.9</v>
      </c>
      <c r="Y12" s="28">
        <v>42.06</v>
      </c>
      <c r="Z12" s="28">
        <v>52.97</v>
      </c>
      <c r="AB12" s="28">
        <v>52.97</v>
      </c>
      <c r="AC12" s="28">
        <v>41.54</v>
      </c>
      <c r="AE12" s="28">
        <v>52.97</v>
      </c>
      <c r="AF12" s="28">
        <v>37.93</v>
      </c>
      <c r="AH12" s="28">
        <v>41.41</v>
      </c>
      <c r="AI12" s="28">
        <v>52.97</v>
      </c>
      <c r="AJ12" s="28">
        <v>44.95</v>
      </c>
      <c r="AK12" s="28">
        <v>42.65</v>
      </c>
      <c r="AL12" s="28">
        <v>-0.01</v>
      </c>
      <c r="AM12" s="28">
        <v>0.01</v>
      </c>
      <c r="AN12" s="28">
        <v>-0.18</v>
      </c>
      <c r="AO12" s="28"/>
    </row>
    <row r="13">
      <c r="K13" s="28">
        <v>46.18</v>
      </c>
      <c r="L13" s="28">
        <v>46.41</v>
      </c>
      <c r="M13" s="28">
        <v>49.74</v>
      </c>
      <c r="O13" s="28">
        <v>44.64</v>
      </c>
      <c r="P13" s="28">
        <v>44.61</v>
      </c>
      <c r="Q13" s="28">
        <v>46.66</v>
      </c>
      <c r="S13" s="28">
        <v>44.61</v>
      </c>
      <c r="T13" s="28">
        <v>46.28</v>
      </c>
      <c r="V13" s="28">
        <v>42.97</v>
      </c>
      <c r="W13" s="28">
        <v>42.99</v>
      </c>
      <c r="Y13" s="28">
        <v>50.81</v>
      </c>
      <c r="Z13" s="28">
        <v>42.97</v>
      </c>
      <c r="AB13" s="28">
        <v>42.97</v>
      </c>
      <c r="AC13" s="28">
        <v>42.59</v>
      </c>
      <c r="AE13" s="28">
        <v>42.97</v>
      </c>
      <c r="AF13" s="28">
        <v>41.01</v>
      </c>
      <c r="AH13" s="28">
        <v>43.15</v>
      </c>
      <c r="AI13" s="28">
        <v>42.97</v>
      </c>
      <c r="AJ13" s="28">
        <v>41.32</v>
      </c>
      <c r="AK13" s="28">
        <v>40.84</v>
      </c>
      <c r="AL13" s="28">
        <v>-0.1</v>
      </c>
      <c r="AM13" s="28">
        <v>-0.34</v>
      </c>
      <c r="AN13" s="28">
        <v>-0.17</v>
      </c>
      <c r="AO13" s="28"/>
    </row>
    <row r="14">
      <c r="K14" s="28">
        <v>43.76</v>
      </c>
      <c r="L14" s="28">
        <v>54.18</v>
      </c>
      <c r="M14" s="28">
        <v>47.24</v>
      </c>
      <c r="O14" s="28">
        <v>45.41</v>
      </c>
      <c r="P14" s="28">
        <v>38.26</v>
      </c>
      <c r="Q14" s="28">
        <v>48.34</v>
      </c>
      <c r="S14" s="28">
        <v>38.26</v>
      </c>
      <c r="T14" s="28">
        <v>43.43</v>
      </c>
      <c r="V14" s="28">
        <v>41.21</v>
      </c>
      <c r="W14" s="28">
        <v>43.56</v>
      </c>
      <c r="Y14" s="28">
        <v>47.96</v>
      </c>
      <c r="Z14" s="28">
        <v>41.21</v>
      </c>
      <c r="AB14" s="28">
        <v>41.21</v>
      </c>
      <c r="AC14" s="28">
        <v>47.4</v>
      </c>
      <c r="AE14" s="28">
        <v>41.21</v>
      </c>
      <c r="AF14" s="28">
        <v>36.67</v>
      </c>
      <c r="AH14" s="28">
        <v>38.96</v>
      </c>
      <c r="AI14" s="28">
        <v>41.21</v>
      </c>
      <c r="AJ14" s="28">
        <v>43.85</v>
      </c>
      <c r="AK14" s="28">
        <v>45.28</v>
      </c>
      <c r="AL14" s="28">
        <v>-0.15</v>
      </c>
      <c r="AM14" s="28">
        <v>0.03</v>
      </c>
      <c r="AN14" s="28">
        <v>-0.22</v>
      </c>
      <c r="AO14" s="28"/>
    </row>
    <row r="15">
      <c r="K15" s="28">
        <v>51.04</v>
      </c>
      <c r="L15" s="28">
        <v>43.84</v>
      </c>
      <c r="M15" s="28">
        <v>37.72</v>
      </c>
      <c r="O15" s="28">
        <v>38.51</v>
      </c>
      <c r="P15" s="28">
        <v>42.44</v>
      </c>
      <c r="Q15" s="28">
        <v>41.93</v>
      </c>
      <c r="S15" s="28">
        <v>42.44</v>
      </c>
      <c r="T15" s="28">
        <v>42.44</v>
      </c>
      <c r="V15" s="28">
        <v>42.53</v>
      </c>
      <c r="W15" s="28">
        <v>48.78</v>
      </c>
      <c r="Y15" s="28">
        <v>45.13</v>
      </c>
      <c r="Z15" s="28">
        <v>42.53</v>
      </c>
      <c r="AB15" s="28">
        <v>42.53</v>
      </c>
      <c r="AC15" s="28">
        <v>40.33</v>
      </c>
      <c r="AE15" s="28">
        <v>42.53</v>
      </c>
      <c r="AF15" s="28">
        <v>48.11</v>
      </c>
      <c r="AH15" s="28">
        <v>47.34</v>
      </c>
      <c r="AI15" s="28">
        <v>42.53</v>
      </c>
      <c r="AJ15" s="28">
        <v>38.39</v>
      </c>
      <c r="AK15" s="28">
        <v>49.33</v>
      </c>
      <c r="AL15" s="28">
        <v>-0.04</v>
      </c>
      <c r="AM15" s="28">
        <v>-0.18</v>
      </c>
      <c r="AN15" s="28">
        <v>-0.41</v>
      </c>
      <c r="AO15" s="28"/>
    </row>
    <row r="16">
      <c r="K16" s="28">
        <v>41.89</v>
      </c>
      <c r="L16" s="28">
        <v>51.45</v>
      </c>
      <c r="M16" s="28">
        <v>42.86</v>
      </c>
      <c r="O16" s="28">
        <v>36.87</v>
      </c>
      <c r="P16" s="28">
        <v>51.0</v>
      </c>
      <c r="Q16" s="28">
        <v>36.67</v>
      </c>
      <c r="S16" s="28">
        <v>51.0</v>
      </c>
      <c r="T16" s="28">
        <v>40.75</v>
      </c>
      <c r="V16" s="28">
        <v>40.46</v>
      </c>
      <c r="W16" s="28">
        <v>46.51</v>
      </c>
      <c r="Y16" s="28">
        <v>43.78</v>
      </c>
      <c r="Z16" s="28">
        <v>40.46</v>
      </c>
      <c r="AB16" s="28">
        <v>40.46</v>
      </c>
      <c r="AC16" s="28">
        <v>49.78</v>
      </c>
      <c r="AE16" s="28">
        <v>40.46</v>
      </c>
      <c r="AF16" s="28">
        <v>44.48</v>
      </c>
      <c r="AH16" s="28">
        <v>47.89</v>
      </c>
      <c r="AI16" s="28">
        <v>40.46</v>
      </c>
      <c r="AJ16" s="28">
        <v>42.94</v>
      </c>
      <c r="AK16" s="28">
        <v>41.96</v>
      </c>
      <c r="AL16" s="28">
        <v>-0.2</v>
      </c>
      <c r="AM16" s="28">
        <v>0.0</v>
      </c>
      <c r="AN16" s="28">
        <v>0.18</v>
      </c>
      <c r="AO16" s="28"/>
    </row>
    <row r="17">
      <c r="K17" s="28">
        <v>41.45</v>
      </c>
      <c r="L17" s="28">
        <v>41.74</v>
      </c>
      <c r="M17" s="28">
        <v>44.33</v>
      </c>
      <c r="O17" s="28">
        <v>45.97</v>
      </c>
      <c r="P17" s="28">
        <v>45.97</v>
      </c>
      <c r="Q17" s="28">
        <v>35.91</v>
      </c>
      <c r="S17" s="28">
        <v>45.97</v>
      </c>
      <c r="T17" s="28">
        <v>45.02</v>
      </c>
      <c r="V17" s="28">
        <v>45.97</v>
      </c>
      <c r="W17" s="28">
        <v>42.09</v>
      </c>
      <c r="Y17" s="28">
        <v>39.08</v>
      </c>
      <c r="Z17" s="28">
        <v>45.97</v>
      </c>
      <c r="AB17" s="28">
        <v>45.97</v>
      </c>
      <c r="AC17" s="28">
        <v>41.81</v>
      </c>
      <c r="AE17" s="28">
        <v>45.97</v>
      </c>
      <c r="AF17" s="28">
        <v>37.36</v>
      </c>
      <c r="AH17" s="28">
        <v>39.4</v>
      </c>
      <c r="AI17" s="28">
        <v>45.97</v>
      </c>
      <c r="AJ17" s="28">
        <v>36.0</v>
      </c>
      <c r="AK17" s="28">
        <v>40.58</v>
      </c>
      <c r="AL17" s="28">
        <v>-0.17</v>
      </c>
      <c r="AM17" s="28">
        <v>-0.12</v>
      </c>
      <c r="AN17" s="28">
        <v>-0.48</v>
      </c>
      <c r="AO17" s="28"/>
    </row>
    <row r="18">
      <c r="K18" s="28">
        <v>43.59</v>
      </c>
      <c r="L18" s="28">
        <v>35.99</v>
      </c>
      <c r="M18" s="28">
        <v>40.19</v>
      </c>
      <c r="O18" s="28">
        <v>38.31</v>
      </c>
      <c r="P18" s="28">
        <v>34.47</v>
      </c>
      <c r="Q18" s="28">
        <v>41.88</v>
      </c>
      <c r="S18" s="28">
        <v>34.47</v>
      </c>
      <c r="T18" s="28">
        <v>36.64</v>
      </c>
      <c r="V18" s="28">
        <v>52.63</v>
      </c>
      <c r="W18" s="28">
        <v>49.62</v>
      </c>
      <c r="Y18" s="28">
        <v>36.82</v>
      </c>
      <c r="Z18" s="28">
        <v>52.63</v>
      </c>
      <c r="AB18" s="28">
        <v>52.63</v>
      </c>
      <c r="AC18" s="28">
        <v>42.89</v>
      </c>
      <c r="AE18" s="28">
        <v>52.63</v>
      </c>
      <c r="AF18" s="28">
        <v>36.46</v>
      </c>
      <c r="AH18" s="28">
        <v>52.47</v>
      </c>
      <c r="AI18" s="28">
        <v>52.63</v>
      </c>
      <c r="AJ18" s="28">
        <v>38.13</v>
      </c>
      <c r="AK18" s="28">
        <v>41.68</v>
      </c>
      <c r="AL18" s="28">
        <v>0.01</v>
      </c>
      <c r="AM18" s="28">
        <v>-0.16</v>
      </c>
      <c r="AN18" s="28">
        <v>-0.18</v>
      </c>
      <c r="AO18" s="28"/>
    </row>
    <row r="19">
      <c r="K19" s="28">
        <v>40.25</v>
      </c>
      <c r="L19" s="28">
        <v>49.93</v>
      </c>
      <c r="M19" s="28">
        <v>47.22</v>
      </c>
      <c r="O19" s="28">
        <v>52.16</v>
      </c>
      <c r="P19" s="28">
        <v>46.87</v>
      </c>
      <c r="Q19" s="28">
        <v>48.37</v>
      </c>
      <c r="S19" s="28">
        <v>46.87</v>
      </c>
      <c r="T19" s="28">
        <v>49.28</v>
      </c>
      <c r="V19" s="28">
        <v>53.24</v>
      </c>
      <c r="W19" s="28">
        <v>48.21</v>
      </c>
      <c r="Y19" s="28">
        <v>42.39</v>
      </c>
      <c r="Z19" s="28">
        <v>53.24</v>
      </c>
      <c r="AB19" s="28">
        <v>53.24</v>
      </c>
      <c r="AC19" s="28">
        <v>52.46</v>
      </c>
      <c r="AE19" s="28">
        <v>53.24</v>
      </c>
      <c r="AF19" s="28">
        <v>47.97</v>
      </c>
      <c r="AH19" s="28">
        <v>48.59</v>
      </c>
      <c r="AI19" s="28">
        <v>53.24</v>
      </c>
      <c r="AJ19" s="28">
        <v>40.62</v>
      </c>
      <c r="AK19" s="28">
        <v>45.03</v>
      </c>
      <c r="AL19" s="28">
        <v>-0.08</v>
      </c>
      <c r="AM19" s="28">
        <v>-0.14</v>
      </c>
      <c r="AN19" s="28">
        <v>-0.43</v>
      </c>
      <c r="AO19" s="28"/>
    </row>
    <row r="20">
      <c r="K20" s="28">
        <v>50.18</v>
      </c>
      <c r="L20" s="28">
        <v>48.19</v>
      </c>
      <c r="M20" s="28">
        <v>45.91</v>
      </c>
      <c r="O20" s="28">
        <v>50.26</v>
      </c>
      <c r="P20" s="28">
        <v>46.2</v>
      </c>
      <c r="Q20" s="28">
        <v>48.29</v>
      </c>
      <c r="S20" s="28">
        <v>46.2</v>
      </c>
      <c r="T20" s="28">
        <v>49.26</v>
      </c>
      <c r="V20" s="28">
        <v>48.36</v>
      </c>
      <c r="W20" s="28">
        <v>39.65</v>
      </c>
      <c r="Y20" s="28">
        <v>43.63</v>
      </c>
      <c r="Z20" s="28">
        <v>48.36</v>
      </c>
      <c r="AB20" s="28">
        <v>48.36</v>
      </c>
      <c r="AC20" s="28">
        <v>53.75</v>
      </c>
      <c r="AE20" s="28">
        <v>48.36</v>
      </c>
      <c r="AF20" s="28">
        <v>48.49</v>
      </c>
      <c r="AH20" s="28">
        <v>42.52</v>
      </c>
      <c r="AI20" s="28">
        <v>48.36</v>
      </c>
      <c r="AJ20" s="28">
        <v>38.1</v>
      </c>
      <c r="AK20" s="28">
        <v>40.42</v>
      </c>
      <c r="AL20" s="28">
        <v>0.0</v>
      </c>
      <c r="AM20" s="28">
        <v>-0.18</v>
      </c>
      <c r="AN20" s="28">
        <v>0.12</v>
      </c>
      <c r="AO20" s="28"/>
    </row>
    <row r="21">
      <c r="K21" s="28">
        <v>52.92</v>
      </c>
      <c r="L21" s="28">
        <v>45.63</v>
      </c>
      <c r="M21" s="28">
        <v>49.34</v>
      </c>
      <c r="O21" s="28">
        <v>43.8</v>
      </c>
      <c r="P21" s="28">
        <v>41.64</v>
      </c>
      <c r="Q21" s="28">
        <v>42.2</v>
      </c>
      <c r="S21" s="28">
        <v>41.64</v>
      </c>
      <c r="T21" s="28">
        <v>44.35</v>
      </c>
      <c r="V21" s="28">
        <v>35.83</v>
      </c>
      <c r="W21" s="28">
        <v>39.07</v>
      </c>
      <c r="Y21" s="28">
        <v>41.59</v>
      </c>
      <c r="Z21" s="28">
        <v>35.83</v>
      </c>
      <c r="AB21" s="28">
        <v>35.83</v>
      </c>
      <c r="AC21" s="28">
        <v>43.18</v>
      </c>
      <c r="AE21" s="28">
        <v>35.83</v>
      </c>
      <c r="AF21" s="28">
        <v>40.37</v>
      </c>
      <c r="AH21" s="28">
        <v>44.68</v>
      </c>
      <c r="AI21" s="28">
        <v>35.83</v>
      </c>
      <c r="AJ21" s="28">
        <v>42.11</v>
      </c>
      <c r="AK21" s="28">
        <v>38.0</v>
      </c>
      <c r="AL21" s="28">
        <v>-0.08</v>
      </c>
      <c r="AM21" s="28">
        <v>-0.03</v>
      </c>
      <c r="AN21" s="28">
        <v>-0.11</v>
      </c>
      <c r="AO21" s="28"/>
    </row>
    <row r="22">
      <c r="K22" s="28">
        <v>43.93</v>
      </c>
      <c r="L22" s="28">
        <v>40.63</v>
      </c>
      <c r="M22" s="28">
        <v>38.88</v>
      </c>
      <c r="O22" s="28">
        <v>43.74</v>
      </c>
      <c r="P22" s="28">
        <v>44.46</v>
      </c>
      <c r="Q22" s="28">
        <v>43.1</v>
      </c>
      <c r="S22" s="28">
        <v>44.46</v>
      </c>
      <c r="T22" s="28">
        <v>43.9</v>
      </c>
      <c r="V22" s="28">
        <v>41.77</v>
      </c>
      <c r="W22" s="28">
        <v>43.81</v>
      </c>
      <c r="Y22" s="28">
        <v>43.48</v>
      </c>
      <c r="Z22" s="28">
        <v>41.77</v>
      </c>
      <c r="AB22" s="28">
        <v>41.77</v>
      </c>
      <c r="AC22" s="28">
        <v>44.76</v>
      </c>
      <c r="AE22" s="28">
        <v>41.77</v>
      </c>
      <c r="AF22" s="28">
        <v>41.87</v>
      </c>
      <c r="AH22" s="28">
        <v>45.03</v>
      </c>
      <c r="AI22" s="28">
        <v>41.77</v>
      </c>
      <c r="AJ22" s="28">
        <v>43.88</v>
      </c>
      <c r="AK22" s="28">
        <v>47.11</v>
      </c>
      <c r="AL22" s="28">
        <v>-0.18</v>
      </c>
      <c r="AM22" s="28">
        <v>-0.15</v>
      </c>
      <c r="AN22" s="28">
        <v>-0.17</v>
      </c>
      <c r="AO22" s="28"/>
    </row>
    <row r="23">
      <c r="D23" s="17"/>
      <c r="G23" s="20"/>
      <c r="K23" s="28">
        <v>35.68</v>
      </c>
      <c r="L23" s="28">
        <v>39.71</v>
      </c>
      <c r="M23" s="28">
        <v>40.78</v>
      </c>
      <c r="O23" s="28">
        <v>41.53</v>
      </c>
      <c r="P23" s="28">
        <v>41.53</v>
      </c>
      <c r="Q23" s="28">
        <v>39.7</v>
      </c>
      <c r="S23" s="28">
        <v>41.53</v>
      </c>
      <c r="T23" s="28">
        <v>38.32</v>
      </c>
      <c r="V23" s="28">
        <v>41.53</v>
      </c>
      <c r="W23" s="28">
        <v>39.59</v>
      </c>
      <c r="Y23" s="28">
        <v>40.23</v>
      </c>
      <c r="Z23" s="28">
        <v>41.53</v>
      </c>
      <c r="AB23" s="28">
        <v>41.53</v>
      </c>
      <c r="AC23" s="28">
        <v>44.65</v>
      </c>
      <c r="AE23" s="28">
        <v>41.53</v>
      </c>
      <c r="AF23" s="28">
        <v>41.79</v>
      </c>
      <c r="AH23" s="28">
        <v>42.96</v>
      </c>
      <c r="AI23" s="28">
        <v>41.53</v>
      </c>
      <c r="AJ23" s="28">
        <v>39.47</v>
      </c>
      <c r="AK23" s="28">
        <v>46.48</v>
      </c>
      <c r="AL23" s="28">
        <v>-0.35</v>
      </c>
      <c r="AM23" s="28">
        <v>-0.29</v>
      </c>
      <c r="AN23" s="28">
        <v>-0.21</v>
      </c>
      <c r="AO23" s="28"/>
    </row>
    <row r="24">
      <c r="D24" s="37"/>
      <c r="G24" s="37"/>
      <c r="K24" s="28">
        <v>40.88</v>
      </c>
      <c r="L24" s="28">
        <v>51.57</v>
      </c>
      <c r="M24" s="28">
        <v>45.61</v>
      </c>
      <c r="O24" s="28">
        <v>45.43</v>
      </c>
      <c r="P24" s="28">
        <v>45.08</v>
      </c>
      <c r="Q24" s="28">
        <v>46.66</v>
      </c>
      <c r="S24" s="28">
        <v>45.08</v>
      </c>
      <c r="T24" s="28">
        <v>46.01</v>
      </c>
      <c r="V24" s="28">
        <v>51.01</v>
      </c>
      <c r="W24" s="28">
        <v>39.94</v>
      </c>
      <c r="Y24" s="28">
        <v>45.16</v>
      </c>
      <c r="Z24" s="28">
        <v>51.01</v>
      </c>
      <c r="AB24" s="28">
        <v>51.01</v>
      </c>
      <c r="AC24" s="28">
        <v>40.63</v>
      </c>
      <c r="AE24" s="28">
        <v>51.01</v>
      </c>
      <c r="AF24" s="28">
        <v>35.31</v>
      </c>
      <c r="AH24" s="28">
        <v>36.73</v>
      </c>
      <c r="AI24" s="28">
        <v>51.01</v>
      </c>
      <c r="AJ24" s="28">
        <v>52.45</v>
      </c>
      <c r="AK24" s="28">
        <v>47.48</v>
      </c>
      <c r="AL24" s="28">
        <v>-0.27</v>
      </c>
      <c r="AM24" s="28">
        <v>-0.26</v>
      </c>
      <c r="AN24" s="28">
        <v>-0.13</v>
      </c>
      <c r="AO24" s="28"/>
    </row>
    <row r="25">
      <c r="D25" s="17"/>
      <c r="G25" s="20"/>
      <c r="K25" s="28">
        <v>45.29</v>
      </c>
      <c r="L25" s="28">
        <v>44.85</v>
      </c>
      <c r="M25" s="28">
        <v>51.24</v>
      </c>
      <c r="O25" s="28">
        <v>45.62</v>
      </c>
      <c r="P25" s="28">
        <v>43.93</v>
      </c>
      <c r="Q25" s="28">
        <v>50.82</v>
      </c>
      <c r="S25" s="28">
        <v>43.93</v>
      </c>
      <c r="T25" s="28">
        <v>43.93</v>
      </c>
      <c r="V25" s="28">
        <v>43.02</v>
      </c>
      <c r="W25" s="28">
        <v>42.54</v>
      </c>
      <c r="Y25" s="28">
        <v>49.3</v>
      </c>
      <c r="Z25" s="28">
        <v>43.02</v>
      </c>
      <c r="AB25" s="28">
        <v>43.02</v>
      </c>
      <c r="AC25" s="28">
        <v>46.07</v>
      </c>
      <c r="AE25" s="28">
        <v>43.02</v>
      </c>
      <c r="AF25" s="28">
        <v>47.58</v>
      </c>
      <c r="AH25" s="28">
        <v>49.68</v>
      </c>
      <c r="AI25" s="28">
        <v>43.02</v>
      </c>
      <c r="AJ25" s="28">
        <v>35.06</v>
      </c>
      <c r="AK25" s="28">
        <v>44.29</v>
      </c>
      <c r="AL25" s="28">
        <v>-0.23</v>
      </c>
      <c r="AM25" s="28">
        <v>-0.39</v>
      </c>
      <c r="AN25" s="28">
        <v>-0.26</v>
      </c>
      <c r="AO25" s="28"/>
    </row>
    <row r="26">
      <c r="D26" s="17"/>
      <c r="G26" s="20"/>
      <c r="K26" s="28">
        <v>48.63</v>
      </c>
      <c r="L26" s="28">
        <v>49.34</v>
      </c>
      <c r="M26" s="28">
        <v>45.46</v>
      </c>
      <c r="O26" s="28">
        <v>46.89</v>
      </c>
      <c r="P26" s="28">
        <v>42.8</v>
      </c>
      <c r="Q26" s="28">
        <v>41.24</v>
      </c>
      <c r="S26" s="28">
        <v>42.8</v>
      </c>
      <c r="T26" s="28">
        <v>46.41</v>
      </c>
      <c r="V26" s="28">
        <v>48.3</v>
      </c>
      <c r="W26" s="28">
        <v>51.92</v>
      </c>
      <c r="Y26" s="28">
        <v>44.83</v>
      </c>
      <c r="Z26" s="28">
        <v>48.3</v>
      </c>
      <c r="AB26" s="28">
        <v>48.3</v>
      </c>
      <c r="AC26" s="28">
        <v>44.85</v>
      </c>
      <c r="AE26" s="28">
        <v>48.3</v>
      </c>
      <c r="AF26" s="28">
        <v>45.19</v>
      </c>
      <c r="AH26" s="28">
        <v>45.02</v>
      </c>
      <c r="AI26" s="28">
        <v>48.3</v>
      </c>
      <c r="AJ26" s="28">
        <v>39.5</v>
      </c>
      <c r="AL26" s="28">
        <v>0.05</v>
      </c>
      <c r="AM26" s="28">
        <v>-0.1</v>
      </c>
      <c r="AN26" s="28">
        <v>-0.07</v>
      </c>
      <c r="AO26" s="28"/>
    </row>
    <row r="27">
      <c r="D27" s="17"/>
      <c r="G27" s="20"/>
      <c r="K27" s="28">
        <v>44.47</v>
      </c>
      <c r="L27" s="28">
        <v>47.7</v>
      </c>
      <c r="M27" s="28">
        <v>43.78</v>
      </c>
      <c r="O27" s="28">
        <v>44.69</v>
      </c>
      <c r="P27" s="28">
        <v>41.07</v>
      </c>
      <c r="Q27" s="28">
        <v>34.19</v>
      </c>
      <c r="S27" s="28">
        <v>41.07</v>
      </c>
      <c r="T27" s="28">
        <v>43.13</v>
      </c>
      <c r="V27" s="28">
        <v>44.64</v>
      </c>
      <c r="W27" s="28">
        <v>45.15</v>
      </c>
      <c r="Y27" s="28">
        <v>44.64</v>
      </c>
      <c r="Z27" s="28">
        <v>44.64</v>
      </c>
      <c r="AB27" s="28">
        <v>44.64</v>
      </c>
      <c r="AC27" s="28">
        <v>42.25</v>
      </c>
      <c r="AE27" s="28">
        <v>44.64</v>
      </c>
      <c r="AF27" s="28">
        <v>43.85</v>
      </c>
      <c r="AH27" s="28">
        <v>40.56</v>
      </c>
      <c r="AI27" s="28">
        <v>44.64</v>
      </c>
      <c r="AJ27" s="28">
        <v>43.62</v>
      </c>
      <c r="AL27" s="28">
        <v>0.02</v>
      </c>
      <c r="AM27" s="28">
        <v>-0.43</v>
      </c>
      <c r="AN27" s="28">
        <v>-0.26</v>
      </c>
      <c r="AO27" s="28"/>
    </row>
    <row r="28">
      <c r="D28" s="17"/>
      <c r="G28" s="20"/>
      <c r="K28" s="28">
        <v>40.31</v>
      </c>
      <c r="L28" s="28">
        <v>42.99</v>
      </c>
      <c r="M28" s="28">
        <v>46.6</v>
      </c>
      <c r="O28" s="28">
        <v>44.22</v>
      </c>
      <c r="P28" s="28">
        <v>45.71</v>
      </c>
      <c r="Q28" s="28">
        <v>50.08</v>
      </c>
      <c r="S28" s="28">
        <v>45.71</v>
      </c>
      <c r="T28" s="28">
        <v>44.15</v>
      </c>
      <c r="V28" s="28">
        <v>43.23</v>
      </c>
      <c r="W28" s="28">
        <v>41.82</v>
      </c>
      <c r="Y28" s="28">
        <v>45.5</v>
      </c>
      <c r="Z28" s="28">
        <v>43.23</v>
      </c>
      <c r="AB28" s="28">
        <v>43.23</v>
      </c>
      <c r="AC28" s="28">
        <v>46.5</v>
      </c>
      <c r="AE28" s="28">
        <v>43.23</v>
      </c>
      <c r="AF28" s="28">
        <v>39.5</v>
      </c>
      <c r="AH28" s="28">
        <v>43.6</v>
      </c>
      <c r="AI28" s="28">
        <v>43.23</v>
      </c>
      <c r="AJ28" s="28">
        <v>38.67</v>
      </c>
      <c r="AL28" s="28">
        <v>-0.12</v>
      </c>
      <c r="AM28" s="28">
        <v>-0.08</v>
      </c>
      <c r="AN28" s="28">
        <v>0.13</v>
      </c>
      <c r="AO28" s="28"/>
    </row>
    <row r="29">
      <c r="D29" s="17"/>
      <c r="G29" s="20"/>
      <c r="K29" s="28">
        <v>36.29</v>
      </c>
      <c r="L29" s="28">
        <v>32.9</v>
      </c>
      <c r="M29" s="28">
        <v>39.92</v>
      </c>
      <c r="O29" s="28">
        <v>43.03</v>
      </c>
      <c r="P29" s="28">
        <v>43.03</v>
      </c>
      <c r="Q29" s="28">
        <v>40.38</v>
      </c>
      <c r="S29" s="28">
        <v>43.03</v>
      </c>
      <c r="T29" s="28">
        <v>37.33</v>
      </c>
      <c r="V29" s="28">
        <v>43.03</v>
      </c>
      <c r="W29" s="28">
        <v>40.19</v>
      </c>
      <c r="Y29" s="28">
        <v>39.92</v>
      </c>
      <c r="Z29" s="28">
        <v>43.03</v>
      </c>
      <c r="AB29" s="28">
        <v>43.03</v>
      </c>
      <c r="AC29" s="28">
        <v>40.8</v>
      </c>
      <c r="AE29" s="28">
        <v>43.03</v>
      </c>
      <c r="AF29" s="28">
        <v>40.8</v>
      </c>
      <c r="AH29" s="28">
        <v>39.88</v>
      </c>
      <c r="AI29" s="28">
        <v>43.03</v>
      </c>
      <c r="AJ29" s="28">
        <v>34.99</v>
      </c>
      <c r="AL29" s="28">
        <v>-0.11</v>
      </c>
      <c r="AM29" s="28">
        <v>-0.34</v>
      </c>
      <c r="AN29" s="28">
        <v>-0.14</v>
      </c>
      <c r="AO29" s="28"/>
    </row>
    <row r="30">
      <c r="D30" s="17"/>
      <c r="G30" s="20"/>
      <c r="K30" s="28">
        <v>44.48</v>
      </c>
      <c r="L30" s="28">
        <v>39.88</v>
      </c>
      <c r="M30" s="28">
        <v>47.38</v>
      </c>
      <c r="O30" s="28">
        <v>41.78</v>
      </c>
      <c r="P30" s="28">
        <v>42.32</v>
      </c>
      <c r="Q30" s="28">
        <v>40.71</v>
      </c>
      <c r="S30" s="28">
        <v>42.32</v>
      </c>
      <c r="T30" s="28">
        <v>20.8</v>
      </c>
      <c r="V30" s="28">
        <v>42.86</v>
      </c>
      <c r="W30" s="28">
        <v>45.16</v>
      </c>
      <c r="Y30" s="28">
        <v>45.01</v>
      </c>
      <c r="Z30" s="28">
        <v>42.86</v>
      </c>
      <c r="AB30" s="28">
        <v>42.86</v>
      </c>
      <c r="AC30" s="28">
        <v>46.3</v>
      </c>
      <c r="AE30" s="28">
        <v>42.86</v>
      </c>
      <c r="AF30" s="28">
        <v>42.11</v>
      </c>
      <c r="AH30" s="28">
        <v>47.35</v>
      </c>
      <c r="AI30" s="28">
        <v>42.86</v>
      </c>
      <c r="AJ30" s="28">
        <v>40.43</v>
      </c>
      <c r="AL30" s="28">
        <v>-0.12</v>
      </c>
      <c r="AM30" s="28">
        <v>-0.15</v>
      </c>
      <c r="AN30" s="28">
        <v>-0.04</v>
      </c>
      <c r="AO30" s="28"/>
    </row>
    <row r="31">
      <c r="D31" s="17"/>
      <c r="G31" s="20"/>
      <c r="K31" s="28">
        <v>50.66</v>
      </c>
      <c r="L31" s="28">
        <v>45.48</v>
      </c>
      <c r="M31" s="28">
        <v>50.55</v>
      </c>
      <c r="O31" s="28">
        <v>45.57</v>
      </c>
      <c r="P31" s="28">
        <v>42.48</v>
      </c>
      <c r="Q31" s="28">
        <v>51.95</v>
      </c>
      <c r="S31" s="28">
        <v>42.48</v>
      </c>
      <c r="T31" s="28">
        <v>41.71</v>
      </c>
      <c r="V31" s="28">
        <v>49.5</v>
      </c>
      <c r="W31" s="28">
        <v>49.32</v>
      </c>
      <c r="Y31" s="28">
        <v>48.04</v>
      </c>
      <c r="Z31" s="28">
        <v>49.5</v>
      </c>
      <c r="AB31" s="28">
        <v>49.5</v>
      </c>
      <c r="AC31" s="28">
        <v>41.96</v>
      </c>
      <c r="AE31" s="28">
        <v>49.5</v>
      </c>
      <c r="AF31" s="28">
        <v>43.55</v>
      </c>
      <c r="AH31" s="28">
        <v>49.61</v>
      </c>
      <c r="AI31" s="28">
        <v>49.5</v>
      </c>
      <c r="AJ31" s="28">
        <v>39.52</v>
      </c>
      <c r="AL31" s="28">
        <v>-0.16</v>
      </c>
      <c r="AM31" s="28">
        <v>-0.42</v>
      </c>
      <c r="AN31" s="28">
        <v>-0.35</v>
      </c>
      <c r="AO31" s="28"/>
    </row>
    <row r="32">
      <c r="D32" s="17"/>
      <c r="G32" s="20"/>
      <c r="K32" s="28">
        <v>42.02</v>
      </c>
      <c r="L32" s="28">
        <v>54.91</v>
      </c>
      <c r="M32" s="28">
        <v>48.95</v>
      </c>
      <c r="O32" s="28">
        <v>46.05</v>
      </c>
      <c r="P32" s="28">
        <v>44.86</v>
      </c>
      <c r="Q32" s="28">
        <v>44.52</v>
      </c>
      <c r="S32" s="28">
        <v>44.86</v>
      </c>
      <c r="T32" s="28">
        <v>48.57</v>
      </c>
      <c r="V32" s="28">
        <v>48.09</v>
      </c>
      <c r="W32" s="28">
        <v>47.77</v>
      </c>
      <c r="Y32" s="28">
        <v>50.64</v>
      </c>
      <c r="Z32" s="28">
        <v>48.09</v>
      </c>
      <c r="AB32" s="28">
        <v>48.09</v>
      </c>
      <c r="AC32" s="28">
        <v>42.21</v>
      </c>
      <c r="AE32" s="28">
        <v>48.09</v>
      </c>
      <c r="AF32" s="28">
        <v>40.68</v>
      </c>
      <c r="AH32" s="28">
        <v>44.9</v>
      </c>
      <c r="AI32" s="28">
        <v>48.09</v>
      </c>
      <c r="AJ32" s="28">
        <v>42.08</v>
      </c>
      <c r="AL32" s="28">
        <v>-0.22</v>
      </c>
      <c r="AM32" s="28">
        <v>-0.13</v>
      </c>
      <c r="AN32" s="28">
        <v>-0.05</v>
      </c>
      <c r="AO32" s="28"/>
    </row>
    <row r="33">
      <c r="D33" s="17"/>
      <c r="G33" s="20"/>
      <c r="K33" s="28">
        <v>43.37</v>
      </c>
      <c r="L33" s="28">
        <v>33.82</v>
      </c>
      <c r="M33" s="28">
        <v>44.34</v>
      </c>
      <c r="O33" s="28">
        <v>46.29</v>
      </c>
      <c r="P33" s="28">
        <v>43.04</v>
      </c>
      <c r="Q33" s="28">
        <v>36.74</v>
      </c>
      <c r="S33" s="28">
        <v>43.04</v>
      </c>
      <c r="T33" s="28">
        <v>34.68</v>
      </c>
      <c r="V33" s="28">
        <v>46.71</v>
      </c>
      <c r="W33" s="28">
        <v>41.28</v>
      </c>
      <c r="Y33" s="28">
        <v>45.88</v>
      </c>
      <c r="Z33" s="28">
        <v>46.71</v>
      </c>
      <c r="AB33" s="28">
        <v>46.71</v>
      </c>
      <c r="AC33" s="28">
        <v>48.31</v>
      </c>
      <c r="AE33" s="28">
        <v>46.71</v>
      </c>
      <c r="AF33" s="28">
        <v>40.0</v>
      </c>
      <c r="AH33" s="28">
        <v>41.09</v>
      </c>
      <c r="AI33" s="28">
        <v>46.71</v>
      </c>
      <c r="AJ33" s="28">
        <v>39.9</v>
      </c>
      <c r="AL33" s="28">
        <v>-0.31</v>
      </c>
      <c r="AM33" s="28">
        <v>-0.3</v>
      </c>
      <c r="AN33" s="28">
        <v>-0.25</v>
      </c>
      <c r="AO33" s="28"/>
    </row>
    <row r="34">
      <c r="D34" s="17"/>
      <c r="G34" s="20"/>
      <c r="K34" s="28">
        <v>45.77</v>
      </c>
      <c r="L34" s="28">
        <v>43.46</v>
      </c>
      <c r="M34" s="28">
        <v>46.35</v>
      </c>
      <c r="O34" s="28">
        <v>47.45</v>
      </c>
      <c r="P34" s="28">
        <v>44.08</v>
      </c>
      <c r="Q34" s="28">
        <v>40.07</v>
      </c>
      <c r="S34" s="28">
        <v>44.08</v>
      </c>
      <c r="T34" s="28">
        <v>44.66</v>
      </c>
      <c r="V34" s="28">
        <v>33.71</v>
      </c>
      <c r="W34" s="28">
        <v>42.66</v>
      </c>
      <c r="Y34" s="28">
        <v>47.59</v>
      </c>
      <c r="Z34" s="28">
        <v>33.71</v>
      </c>
      <c r="AB34" s="28">
        <v>33.71</v>
      </c>
      <c r="AC34" s="28">
        <v>34.69</v>
      </c>
      <c r="AE34" s="28">
        <v>33.71</v>
      </c>
      <c r="AF34" s="28">
        <v>42.41</v>
      </c>
      <c r="AH34" s="28">
        <v>36.74</v>
      </c>
      <c r="AI34" s="28">
        <v>33.71</v>
      </c>
      <c r="AJ34" s="28">
        <v>44.14</v>
      </c>
      <c r="AL34" s="28">
        <v>0.08</v>
      </c>
      <c r="AM34" s="28">
        <v>-0.07</v>
      </c>
      <c r="AN34" s="28">
        <v>-0.05</v>
      </c>
      <c r="AO34" s="28"/>
    </row>
    <row r="35">
      <c r="D35" s="17"/>
      <c r="G35" s="20"/>
      <c r="K35" s="28">
        <v>48.31</v>
      </c>
      <c r="L35" s="28">
        <v>45.15</v>
      </c>
      <c r="M35" s="28">
        <v>46.08</v>
      </c>
      <c r="O35" s="28">
        <v>43.18</v>
      </c>
      <c r="P35" s="28">
        <v>43.18</v>
      </c>
      <c r="Q35" s="28">
        <v>44.26</v>
      </c>
      <c r="S35" s="28">
        <v>43.18</v>
      </c>
      <c r="T35" s="28">
        <v>41.6</v>
      </c>
      <c r="V35" s="28">
        <v>43.18</v>
      </c>
      <c r="W35" s="28">
        <v>42.71</v>
      </c>
      <c r="Y35" s="28">
        <v>43.18</v>
      </c>
      <c r="Z35" s="28">
        <v>43.18</v>
      </c>
      <c r="AB35" s="28">
        <v>43.18</v>
      </c>
      <c r="AC35" s="28">
        <v>46.97</v>
      </c>
      <c r="AE35" s="28">
        <v>43.18</v>
      </c>
      <c r="AF35" s="28">
        <v>43.18</v>
      </c>
      <c r="AH35" s="28">
        <v>41.05</v>
      </c>
      <c r="AI35" s="28">
        <v>43.18</v>
      </c>
      <c r="AJ35" s="28">
        <v>43.22</v>
      </c>
      <c r="AL35" s="28">
        <v>-0.03</v>
      </c>
      <c r="AM35" s="28">
        <v>-0.24</v>
      </c>
      <c r="AN35" s="28">
        <v>-0.18</v>
      </c>
      <c r="AO35" s="28"/>
    </row>
    <row r="36">
      <c r="D36" s="17"/>
      <c r="G36" s="20"/>
      <c r="K36" s="28">
        <v>38.13</v>
      </c>
      <c r="L36" s="28">
        <v>48.98</v>
      </c>
      <c r="M36" s="28">
        <v>20.8</v>
      </c>
      <c r="O36" s="28">
        <v>53.09</v>
      </c>
      <c r="P36" s="28">
        <v>41.4</v>
      </c>
      <c r="Q36" s="28">
        <v>43.15</v>
      </c>
      <c r="S36" s="28">
        <v>41.4</v>
      </c>
      <c r="T36" s="28">
        <v>46.91</v>
      </c>
      <c r="V36" s="28">
        <v>50.71</v>
      </c>
      <c r="W36" s="28">
        <v>45.74</v>
      </c>
      <c r="Y36" s="28">
        <v>36.83</v>
      </c>
      <c r="Z36" s="28">
        <v>50.71</v>
      </c>
      <c r="AB36" s="28">
        <v>50.71</v>
      </c>
      <c r="AC36" s="28">
        <v>39.95</v>
      </c>
      <c r="AE36" s="28">
        <v>50.71</v>
      </c>
      <c r="AF36" s="28">
        <v>44.8</v>
      </c>
      <c r="AH36" s="28">
        <v>41.63</v>
      </c>
      <c r="AI36" s="28">
        <v>50.71</v>
      </c>
      <c r="AJ36" s="28">
        <v>37.01</v>
      </c>
      <c r="AL36" s="28">
        <v>-0.1</v>
      </c>
      <c r="AM36" s="28">
        <v>-0.23</v>
      </c>
      <c r="AN36" s="28">
        <v>0.05</v>
      </c>
      <c r="AO36" s="28"/>
    </row>
    <row r="37">
      <c r="D37" s="17"/>
      <c r="G37" s="20"/>
      <c r="K37" s="28">
        <v>40.27</v>
      </c>
      <c r="L37" s="28">
        <v>46.62</v>
      </c>
      <c r="M37" s="28">
        <v>50.56</v>
      </c>
      <c r="O37" s="28">
        <v>42.04</v>
      </c>
      <c r="P37" s="28">
        <v>43.85</v>
      </c>
      <c r="Q37" s="28">
        <v>53.21</v>
      </c>
      <c r="S37" s="28">
        <v>43.85</v>
      </c>
      <c r="T37" s="28">
        <v>50.79</v>
      </c>
      <c r="V37" s="28">
        <v>46.44</v>
      </c>
      <c r="W37" s="28">
        <v>48.28</v>
      </c>
      <c r="Y37" s="28">
        <v>45.41</v>
      </c>
      <c r="Z37" s="28">
        <v>46.44</v>
      </c>
      <c r="AB37" s="28">
        <v>46.44</v>
      </c>
      <c r="AC37" s="28">
        <v>43.52</v>
      </c>
      <c r="AE37" s="28">
        <v>46.44</v>
      </c>
      <c r="AF37" s="28">
        <v>49.63</v>
      </c>
      <c r="AH37" s="28">
        <v>54.9</v>
      </c>
      <c r="AI37" s="28">
        <v>46.44</v>
      </c>
      <c r="AJ37" s="28">
        <v>50.54</v>
      </c>
      <c r="AL37" s="28">
        <v>-0.07</v>
      </c>
      <c r="AM37" s="28">
        <v>-0.37</v>
      </c>
      <c r="AN37" s="28">
        <v>-0.06</v>
      </c>
      <c r="AO37" s="28"/>
    </row>
    <row r="38">
      <c r="D38" s="17"/>
      <c r="G38" s="20"/>
      <c r="K38" s="28">
        <v>43.75</v>
      </c>
      <c r="L38" s="28">
        <v>43.54</v>
      </c>
      <c r="M38" s="28">
        <v>45.86</v>
      </c>
      <c r="O38" s="28">
        <v>46.51</v>
      </c>
      <c r="P38" s="28">
        <v>46.57</v>
      </c>
      <c r="Q38" s="28">
        <v>50.43</v>
      </c>
      <c r="S38" s="28">
        <v>46.57</v>
      </c>
      <c r="T38" s="28">
        <v>45.73</v>
      </c>
      <c r="V38" s="28">
        <v>48.51</v>
      </c>
      <c r="W38" s="28">
        <v>45.32</v>
      </c>
      <c r="Y38" s="28">
        <v>46.05</v>
      </c>
      <c r="Z38" s="28">
        <v>48.51</v>
      </c>
      <c r="AB38" s="28">
        <v>48.51</v>
      </c>
      <c r="AC38" s="28">
        <v>38.39</v>
      </c>
      <c r="AE38" s="28">
        <v>48.51</v>
      </c>
      <c r="AF38" s="28">
        <v>43.26</v>
      </c>
      <c r="AH38" s="28">
        <v>45.2</v>
      </c>
      <c r="AI38" s="28">
        <v>48.51</v>
      </c>
      <c r="AJ38" s="28">
        <v>46.17</v>
      </c>
      <c r="AL38" s="28">
        <v>-0.14</v>
      </c>
      <c r="AM38" s="28">
        <v>-0.13</v>
      </c>
      <c r="AN38" s="28">
        <v>-0.19</v>
      </c>
      <c r="AO38" s="28"/>
    </row>
    <row r="39">
      <c r="D39" s="17"/>
      <c r="G39" s="20"/>
      <c r="K39" s="28">
        <v>45.25</v>
      </c>
      <c r="L39" s="28">
        <v>44.58</v>
      </c>
      <c r="M39" s="28">
        <v>41.63</v>
      </c>
      <c r="O39" s="28">
        <v>47.06</v>
      </c>
      <c r="P39" s="28">
        <v>41.38</v>
      </c>
      <c r="Q39" s="28">
        <v>20.8</v>
      </c>
      <c r="S39" s="28">
        <v>41.38</v>
      </c>
      <c r="T39" s="28">
        <v>44.79</v>
      </c>
      <c r="V39" s="28">
        <v>42.0</v>
      </c>
      <c r="W39" s="28">
        <v>42.55</v>
      </c>
      <c r="Y39" s="28">
        <v>46.82</v>
      </c>
      <c r="Z39" s="28">
        <v>42.0</v>
      </c>
      <c r="AB39" s="28">
        <v>42.0</v>
      </c>
      <c r="AC39" s="28">
        <v>40.67</v>
      </c>
      <c r="AE39" s="28">
        <v>42.0</v>
      </c>
      <c r="AF39" s="28">
        <v>47.14</v>
      </c>
      <c r="AH39" s="28">
        <v>37.0</v>
      </c>
      <c r="AI39" s="28">
        <v>42.0</v>
      </c>
      <c r="AJ39" s="28">
        <v>47.11</v>
      </c>
      <c r="AL39" s="28">
        <v>-0.24</v>
      </c>
      <c r="AM39" s="28">
        <v>-0.22</v>
      </c>
      <c r="AN39" s="28">
        <v>-0.12</v>
      </c>
      <c r="AO39" s="28"/>
    </row>
    <row r="40">
      <c r="D40" s="17"/>
      <c r="G40" s="20"/>
      <c r="K40" s="28">
        <v>42.71</v>
      </c>
      <c r="L40" s="28">
        <v>50.66</v>
      </c>
      <c r="M40" s="28">
        <v>42.67</v>
      </c>
      <c r="O40" s="28">
        <v>42.66</v>
      </c>
      <c r="P40" s="28">
        <v>42.18</v>
      </c>
      <c r="Q40" s="28">
        <v>37.6</v>
      </c>
      <c r="S40" s="28">
        <v>42.18</v>
      </c>
      <c r="T40" s="28">
        <v>43.44</v>
      </c>
      <c r="V40" s="28">
        <v>41.62</v>
      </c>
      <c r="W40" s="28">
        <v>45.26</v>
      </c>
      <c r="Y40" s="28">
        <v>47.17</v>
      </c>
      <c r="Z40" s="28">
        <v>41.62</v>
      </c>
      <c r="AB40" s="28">
        <v>41.62</v>
      </c>
      <c r="AC40" s="28">
        <v>44.8</v>
      </c>
      <c r="AE40" s="28">
        <v>41.62</v>
      </c>
      <c r="AF40" s="28">
        <v>43.8</v>
      </c>
      <c r="AH40" s="28">
        <v>51.82</v>
      </c>
      <c r="AI40" s="28">
        <v>41.62</v>
      </c>
      <c r="AJ40" s="28">
        <v>45.61</v>
      </c>
      <c r="AL40" s="28">
        <v>-0.21</v>
      </c>
      <c r="AM40" s="28">
        <v>-0.15</v>
      </c>
      <c r="AN40" s="28">
        <v>0.1</v>
      </c>
      <c r="AO40" s="28"/>
    </row>
    <row r="41">
      <c r="D41" s="17"/>
      <c r="G41" s="20"/>
      <c r="K41" s="28">
        <v>43.1</v>
      </c>
      <c r="L41" s="28">
        <v>40.76</v>
      </c>
      <c r="M41" s="28">
        <v>44.14</v>
      </c>
      <c r="O41" s="28">
        <v>49.72</v>
      </c>
      <c r="P41" s="28">
        <v>49.72</v>
      </c>
      <c r="Q41" s="28">
        <v>39.81</v>
      </c>
      <c r="S41" s="28">
        <v>49.72</v>
      </c>
      <c r="T41" s="28">
        <v>44.6</v>
      </c>
      <c r="V41" s="28">
        <v>49.72</v>
      </c>
      <c r="W41" s="28">
        <v>40.45</v>
      </c>
      <c r="Y41" s="28">
        <v>49.72</v>
      </c>
      <c r="Z41" s="28">
        <v>49.72</v>
      </c>
      <c r="AB41" s="28">
        <v>49.72</v>
      </c>
      <c r="AC41" s="28">
        <v>42.31</v>
      </c>
      <c r="AE41" s="28">
        <v>49.72</v>
      </c>
      <c r="AF41" s="28">
        <v>45.16</v>
      </c>
      <c r="AH41" s="28">
        <v>44.95</v>
      </c>
      <c r="AI41" s="28">
        <v>49.72</v>
      </c>
      <c r="AJ41" s="28">
        <v>48.12</v>
      </c>
      <c r="AL41" s="28">
        <v>-0.24</v>
      </c>
      <c r="AM41" s="28">
        <v>-0.29</v>
      </c>
      <c r="AN41" s="28">
        <v>-0.21</v>
      </c>
      <c r="AO41" s="28"/>
    </row>
    <row r="42">
      <c r="D42" s="17"/>
      <c r="G42" s="20"/>
      <c r="K42" s="28">
        <v>49.0</v>
      </c>
      <c r="L42" s="28">
        <v>43.99</v>
      </c>
      <c r="M42" s="28">
        <v>47.67</v>
      </c>
      <c r="O42" s="28">
        <v>49.26</v>
      </c>
      <c r="P42" s="28">
        <v>37.47</v>
      </c>
      <c r="Q42" s="28">
        <v>48.09</v>
      </c>
      <c r="S42" s="28">
        <v>37.47</v>
      </c>
      <c r="T42" s="28">
        <v>43.49</v>
      </c>
      <c r="V42" s="28">
        <v>41.03</v>
      </c>
      <c r="W42" s="28">
        <v>39.5</v>
      </c>
      <c r="Y42" s="28">
        <v>37.54</v>
      </c>
      <c r="Z42" s="28">
        <v>41.03</v>
      </c>
      <c r="AB42" s="28">
        <v>41.03</v>
      </c>
      <c r="AC42" s="28">
        <v>45.37</v>
      </c>
      <c r="AE42" s="28">
        <v>41.03</v>
      </c>
      <c r="AF42" s="28">
        <v>45.01</v>
      </c>
      <c r="AH42" s="28">
        <v>40.73</v>
      </c>
      <c r="AI42" s="28">
        <v>41.03</v>
      </c>
      <c r="AJ42" s="28">
        <v>43.52</v>
      </c>
      <c r="AL42" s="28">
        <v>0.0</v>
      </c>
      <c r="AM42" s="28">
        <v>-0.25</v>
      </c>
      <c r="AN42" s="28">
        <v>-0.01</v>
      </c>
      <c r="AO42" s="28"/>
    </row>
    <row r="43">
      <c r="D43" s="17"/>
      <c r="G43" s="20"/>
      <c r="K43" s="28">
        <v>45.3</v>
      </c>
      <c r="L43" s="28">
        <v>45.32</v>
      </c>
      <c r="M43" s="28">
        <v>45.17</v>
      </c>
      <c r="O43" s="28">
        <v>49.17</v>
      </c>
      <c r="P43" s="28">
        <v>40.86</v>
      </c>
      <c r="Q43" s="28">
        <v>36.42</v>
      </c>
      <c r="S43" s="28">
        <v>40.86</v>
      </c>
      <c r="T43" s="28">
        <v>44.0</v>
      </c>
      <c r="V43" s="28">
        <v>43.61</v>
      </c>
      <c r="W43" s="28">
        <v>43.38</v>
      </c>
      <c r="Y43" s="28">
        <v>42.99</v>
      </c>
      <c r="Z43" s="28">
        <v>43.61</v>
      </c>
      <c r="AB43" s="28">
        <v>43.61</v>
      </c>
      <c r="AC43" s="28">
        <v>45.74</v>
      </c>
      <c r="AE43" s="28">
        <v>43.61</v>
      </c>
      <c r="AF43" s="28">
        <v>42.01</v>
      </c>
      <c r="AH43" s="28">
        <v>42.36</v>
      </c>
      <c r="AI43" s="28">
        <v>43.61</v>
      </c>
      <c r="AJ43" s="28">
        <v>49.87</v>
      </c>
      <c r="AL43" s="28">
        <v>-0.15</v>
      </c>
      <c r="AM43" s="28">
        <v>-0.21</v>
      </c>
      <c r="AN43" s="28">
        <v>-0.03</v>
      </c>
      <c r="AO43" s="28"/>
    </row>
    <row r="44">
      <c r="D44" s="17"/>
      <c r="G44" s="20"/>
      <c r="K44" s="28">
        <v>41.17</v>
      </c>
      <c r="L44" s="28">
        <v>49.5</v>
      </c>
      <c r="M44" s="28">
        <v>42.13</v>
      </c>
      <c r="O44" s="28">
        <v>48.18</v>
      </c>
      <c r="P44" s="28">
        <v>50.3</v>
      </c>
      <c r="Q44" s="28">
        <v>33.06</v>
      </c>
      <c r="S44" s="28">
        <v>50.3</v>
      </c>
      <c r="T44" s="28">
        <v>48.29</v>
      </c>
      <c r="V44" s="28">
        <v>47.02</v>
      </c>
      <c r="W44" s="28">
        <v>51.39</v>
      </c>
      <c r="Y44" s="28">
        <v>45.06</v>
      </c>
      <c r="Z44" s="28">
        <v>47.02</v>
      </c>
      <c r="AB44" s="28">
        <v>47.02</v>
      </c>
      <c r="AC44" s="28">
        <v>47.97</v>
      </c>
      <c r="AE44" s="28">
        <v>47.02</v>
      </c>
      <c r="AF44" s="28">
        <v>48.16</v>
      </c>
      <c r="AH44" s="28">
        <v>50.23</v>
      </c>
      <c r="AI44" s="28">
        <v>47.02</v>
      </c>
      <c r="AJ44" s="28">
        <v>48.66</v>
      </c>
      <c r="AL44" s="28">
        <v>-0.08</v>
      </c>
      <c r="AM44" s="28">
        <v>-0.11</v>
      </c>
      <c r="AN44" s="28">
        <v>-0.17</v>
      </c>
      <c r="AO44" s="28"/>
    </row>
    <row r="45">
      <c r="D45" s="17"/>
      <c r="G45" s="20"/>
      <c r="K45" s="28">
        <v>44.08</v>
      </c>
      <c r="L45" s="28">
        <v>54.67</v>
      </c>
      <c r="M45" s="28">
        <v>40.43</v>
      </c>
      <c r="O45" s="28">
        <v>45.31</v>
      </c>
      <c r="P45" s="28">
        <v>38.68</v>
      </c>
      <c r="Q45" s="28">
        <v>40.69</v>
      </c>
      <c r="S45" s="28">
        <v>38.68</v>
      </c>
      <c r="T45" s="28">
        <v>41.21</v>
      </c>
      <c r="V45" s="28">
        <v>41.35</v>
      </c>
      <c r="W45" s="28">
        <v>49.88</v>
      </c>
      <c r="Y45" s="28">
        <v>49.91</v>
      </c>
      <c r="Z45" s="28">
        <v>41.35</v>
      </c>
      <c r="AB45" s="28">
        <v>41.35</v>
      </c>
      <c r="AC45" s="28">
        <v>38.58</v>
      </c>
      <c r="AE45" s="28">
        <v>41.35</v>
      </c>
      <c r="AF45" s="28">
        <v>40.52</v>
      </c>
      <c r="AH45" s="28">
        <v>36.11</v>
      </c>
      <c r="AI45" s="28">
        <v>41.35</v>
      </c>
      <c r="AJ45" s="28">
        <v>42.12</v>
      </c>
      <c r="AL45" s="28">
        <v>-0.24</v>
      </c>
      <c r="AM45" s="28">
        <v>-0.25</v>
      </c>
      <c r="AN45" s="28">
        <v>-0.29</v>
      </c>
      <c r="AO45" s="28"/>
    </row>
    <row r="46">
      <c r="D46" s="17"/>
      <c r="G46" s="20"/>
      <c r="L46" s="28">
        <v>38.47</v>
      </c>
      <c r="M46" s="28">
        <v>43.94</v>
      </c>
      <c r="O46" s="28">
        <v>38.52</v>
      </c>
      <c r="P46" s="28">
        <v>44.15</v>
      </c>
      <c r="Q46" s="28">
        <v>47.39</v>
      </c>
      <c r="S46" s="28">
        <v>44.15</v>
      </c>
      <c r="T46" s="28">
        <v>46.34</v>
      </c>
      <c r="V46" s="28">
        <v>46.11</v>
      </c>
      <c r="W46" s="28">
        <v>49.46</v>
      </c>
      <c r="Y46" s="28">
        <v>49.08</v>
      </c>
      <c r="Z46" s="28">
        <v>46.11</v>
      </c>
      <c r="AB46" s="28">
        <v>46.11</v>
      </c>
      <c r="AC46" s="28">
        <v>46.99</v>
      </c>
      <c r="AE46" s="28">
        <v>46.11</v>
      </c>
      <c r="AF46" s="28">
        <v>40.34</v>
      </c>
      <c r="AH46" s="28">
        <v>41.26</v>
      </c>
      <c r="AI46" s="28">
        <v>46.11</v>
      </c>
      <c r="AJ46" s="28">
        <v>44.02</v>
      </c>
      <c r="AL46" s="28">
        <v>-0.03</v>
      </c>
      <c r="AM46" s="28">
        <v>-0.12</v>
      </c>
      <c r="AN46" s="28">
        <v>-0.22</v>
      </c>
      <c r="AO46" s="28"/>
    </row>
    <row r="47">
      <c r="D47" s="17"/>
      <c r="G47" s="20"/>
      <c r="L47" s="28">
        <v>42.74</v>
      </c>
      <c r="M47" s="28">
        <v>38.25</v>
      </c>
      <c r="O47" s="28">
        <v>49.34</v>
      </c>
      <c r="P47" s="28">
        <v>49.34</v>
      </c>
      <c r="Q47" s="28">
        <v>45.16</v>
      </c>
      <c r="S47" s="28">
        <v>49.34</v>
      </c>
      <c r="T47" s="28">
        <v>50.93</v>
      </c>
      <c r="V47" s="28">
        <v>49.34</v>
      </c>
      <c r="W47" s="28">
        <v>47.09</v>
      </c>
      <c r="Y47" s="28">
        <v>49.98</v>
      </c>
      <c r="Z47" s="28">
        <v>49.34</v>
      </c>
      <c r="AB47" s="28">
        <v>49.34</v>
      </c>
      <c r="AC47" s="28">
        <v>46.56</v>
      </c>
      <c r="AE47" s="28">
        <v>49.34</v>
      </c>
      <c r="AF47" s="28">
        <v>41.66</v>
      </c>
      <c r="AH47" s="28">
        <v>42.49</v>
      </c>
      <c r="AI47" s="28">
        <v>49.34</v>
      </c>
      <c r="AJ47" s="28">
        <v>40.48</v>
      </c>
      <c r="AL47" s="28">
        <v>-0.21</v>
      </c>
      <c r="AM47" s="28">
        <v>-0.32</v>
      </c>
      <c r="AN47" s="28">
        <v>-0.39</v>
      </c>
      <c r="AO47" s="28"/>
    </row>
    <row r="48">
      <c r="D48" s="17"/>
      <c r="G48" s="20"/>
      <c r="L48" s="28">
        <v>43.8</v>
      </c>
      <c r="M48" s="28">
        <v>44.67</v>
      </c>
      <c r="O48" s="28">
        <v>50.9</v>
      </c>
      <c r="P48" s="28">
        <v>37.69</v>
      </c>
      <c r="Q48" s="28">
        <v>48.06</v>
      </c>
      <c r="S48" s="28">
        <v>37.69</v>
      </c>
      <c r="T48" s="28">
        <v>46.03</v>
      </c>
      <c r="V48" s="28">
        <v>40.31</v>
      </c>
      <c r="W48" s="28">
        <v>41.03</v>
      </c>
      <c r="Y48" s="28">
        <v>43.44</v>
      </c>
      <c r="Z48" s="28">
        <v>40.31</v>
      </c>
      <c r="AB48" s="28">
        <v>40.31</v>
      </c>
      <c r="AC48" s="28">
        <v>55.36</v>
      </c>
      <c r="AE48" s="28">
        <v>40.31</v>
      </c>
      <c r="AF48" s="28">
        <v>48.19</v>
      </c>
      <c r="AH48" s="28">
        <v>48.92</v>
      </c>
      <c r="AI48" s="28">
        <v>40.31</v>
      </c>
      <c r="AJ48" s="28">
        <v>53.9</v>
      </c>
      <c r="AL48" s="28">
        <v>-0.15</v>
      </c>
      <c r="AM48" s="28">
        <v>0.02</v>
      </c>
      <c r="AN48" s="28">
        <v>0.04</v>
      </c>
      <c r="AO48" s="28"/>
    </row>
    <row r="49">
      <c r="D49" s="17"/>
      <c r="G49" s="20"/>
      <c r="L49" s="28">
        <v>51.01</v>
      </c>
      <c r="M49" s="28">
        <v>49.58</v>
      </c>
      <c r="O49" s="28">
        <v>53.21</v>
      </c>
      <c r="P49" s="28">
        <v>43.05</v>
      </c>
      <c r="Q49" s="28">
        <v>45.52</v>
      </c>
      <c r="S49" s="28">
        <v>43.05</v>
      </c>
      <c r="T49" s="28">
        <v>47.63</v>
      </c>
      <c r="V49" s="28">
        <v>44.38</v>
      </c>
      <c r="W49" s="28">
        <v>48.1</v>
      </c>
      <c r="Y49" s="28">
        <v>44.66</v>
      </c>
      <c r="Z49" s="28">
        <v>44.38</v>
      </c>
      <c r="AB49" s="28">
        <v>44.38</v>
      </c>
      <c r="AC49" s="28">
        <v>49.26</v>
      </c>
      <c r="AE49" s="28">
        <v>44.38</v>
      </c>
      <c r="AF49" s="28">
        <v>54.06</v>
      </c>
      <c r="AH49" s="28">
        <v>45.8</v>
      </c>
      <c r="AI49" s="28">
        <v>44.38</v>
      </c>
      <c r="AJ49" s="28">
        <v>48.46</v>
      </c>
      <c r="AL49" s="28">
        <v>-0.24</v>
      </c>
      <c r="AM49" s="28">
        <v>-0.14</v>
      </c>
      <c r="AN49" s="28">
        <v>-0.22</v>
      </c>
      <c r="AO49" s="28"/>
    </row>
    <row r="50">
      <c r="D50" s="17"/>
      <c r="G50" s="20"/>
      <c r="L50" s="28">
        <v>43.48</v>
      </c>
      <c r="M50" s="28">
        <v>40.49</v>
      </c>
      <c r="O50" s="28">
        <v>49.45</v>
      </c>
      <c r="P50" s="28">
        <v>48.14</v>
      </c>
      <c r="Q50" s="28">
        <v>48.26</v>
      </c>
      <c r="S50" s="28">
        <v>48.14</v>
      </c>
      <c r="T50" s="28">
        <v>45.75</v>
      </c>
      <c r="V50" s="28">
        <v>47.79</v>
      </c>
      <c r="W50" s="28">
        <v>43.88</v>
      </c>
      <c r="Y50" s="28">
        <v>40.86</v>
      </c>
      <c r="Z50" s="28">
        <v>47.79</v>
      </c>
      <c r="AB50" s="28">
        <v>47.79</v>
      </c>
      <c r="AC50" s="28">
        <v>50.81</v>
      </c>
      <c r="AE50" s="28">
        <v>47.79</v>
      </c>
      <c r="AF50" s="28">
        <v>45.73</v>
      </c>
      <c r="AH50" s="28">
        <v>42.26</v>
      </c>
      <c r="AI50" s="28">
        <v>47.79</v>
      </c>
      <c r="AJ50" s="28">
        <v>51.31</v>
      </c>
      <c r="AL50" s="28">
        <v>0.02</v>
      </c>
      <c r="AM50" s="28">
        <v>-0.12</v>
      </c>
      <c r="AN50" s="28">
        <v>-0.1</v>
      </c>
      <c r="AO50" s="28"/>
    </row>
    <row r="51">
      <c r="D51" s="17"/>
      <c r="G51" s="20"/>
      <c r="L51" s="28">
        <v>39.75</v>
      </c>
      <c r="M51" s="28">
        <v>44.47</v>
      </c>
      <c r="O51" s="28">
        <v>38.58</v>
      </c>
      <c r="P51" s="28">
        <v>45.15</v>
      </c>
      <c r="Q51" s="28">
        <v>49.65</v>
      </c>
      <c r="S51" s="28">
        <v>45.15</v>
      </c>
      <c r="T51" s="28">
        <v>38.58</v>
      </c>
      <c r="V51" s="28">
        <v>37.75</v>
      </c>
      <c r="W51" s="28">
        <v>43.78</v>
      </c>
      <c r="Y51" s="28">
        <v>38.01</v>
      </c>
      <c r="Z51" s="28">
        <v>37.75</v>
      </c>
      <c r="AB51" s="28">
        <v>37.75</v>
      </c>
      <c r="AC51" s="28">
        <v>38.31</v>
      </c>
      <c r="AE51" s="28">
        <v>37.75</v>
      </c>
      <c r="AF51" s="28">
        <v>44.86</v>
      </c>
      <c r="AH51" s="28">
        <v>36.94</v>
      </c>
      <c r="AI51" s="28">
        <v>37.75</v>
      </c>
      <c r="AJ51" s="28">
        <v>43.16</v>
      </c>
      <c r="AL51" s="28">
        <v>0.02</v>
      </c>
      <c r="AM51" s="28">
        <v>-0.08</v>
      </c>
      <c r="AN51" s="28">
        <v>-0.23</v>
      </c>
      <c r="AO51" s="28"/>
    </row>
    <row r="52">
      <c r="D52" s="17"/>
      <c r="G52" s="20"/>
      <c r="L52" s="28">
        <v>48.5</v>
      </c>
      <c r="M52" s="28">
        <v>39.88</v>
      </c>
      <c r="O52" s="28">
        <v>46.52</v>
      </c>
      <c r="P52" s="28">
        <v>43.05</v>
      </c>
      <c r="Q52" s="28">
        <v>42.36</v>
      </c>
      <c r="S52" s="28">
        <v>43.05</v>
      </c>
      <c r="T52" s="28">
        <v>40.51</v>
      </c>
      <c r="V52" s="28">
        <v>44.02</v>
      </c>
      <c r="W52" s="28">
        <v>47.57</v>
      </c>
      <c r="Y52" s="28">
        <v>46.35</v>
      </c>
      <c r="Z52" s="28">
        <v>44.02</v>
      </c>
      <c r="AB52" s="28">
        <v>44.02</v>
      </c>
      <c r="AC52" s="28">
        <v>44.62</v>
      </c>
      <c r="AE52" s="28">
        <v>44.02</v>
      </c>
      <c r="AF52" s="28">
        <v>38.58</v>
      </c>
      <c r="AH52" s="28">
        <v>40.66</v>
      </c>
      <c r="AI52" s="28">
        <v>44.02</v>
      </c>
      <c r="AJ52" s="28">
        <v>40.73</v>
      </c>
      <c r="AL52" s="28">
        <v>-0.11</v>
      </c>
      <c r="AM52" s="28">
        <v>-0.16</v>
      </c>
      <c r="AN52" s="28">
        <v>-0.05</v>
      </c>
      <c r="AO52" s="28"/>
    </row>
    <row r="53">
      <c r="D53" s="17"/>
      <c r="G53" s="20"/>
      <c r="L53" s="28">
        <v>53.23</v>
      </c>
      <c r="M53" s="28">
        <v>43.59</v>
      </c>
      <c r="O53" s="28">
        <v>44.67</v>
      </c>
      <c r="P53" s="28">
        <v>44.67</v>
      </c>
      <c r="Q53" s="28">
        <v>40.2</v>
      </c>
      <c r="S53" s="28">
        <v>44.67</v>
      </c>
      <c r="T53" s="28">
        <v>44.67</v>
      </c>
      <c r="V53" s="28">
        <v>44.67</v>
      </c>
      <c r="W53" s="28">
        <v>46.77</v>
      </c>
      <c r="Y53" s="28">
        <v>43.92</v>
      </c>
      <c r="Z53" s="28">
        <v>44.67</v>
      </c>
      <c r="AB53" s="28">
        <v>44.67</v>
      </c>
      <c r="AC53" s="28">
        <v>49.31</v>
      </c>
      <c r="AE53" s="28">
        <v>44.67</v>
      </c>
      <c r="AF53" s="28">
        <v>41.74</v>
      </c>
      <c r="AH53" s="28">
        <v>32.81</v>
      </c>
      <c r="AI53" s="28">
        <v>44.67</v>
      </c>
      <c r="AJ53" s="28">
        <v>43.81</v>
      </c>
      <c r="AL53" s="28">
        <v>-0.21</v>
      </c>
      <c r="AM53" s="28">
        <v>-0.15</v>
      </c>
      <c r="AN53" s="28">
        <v>0.02</v>
      </c>
      <c r="AO53" s="28"/>
    </row>
    <row r="54">
      <c r="D54" s="17"/>
      <c r="G54" s="20"/>
      <c r="L54" s="28">
        <v>45.82</v>
      </c>
      <c r="M54" s="28">
        <v>35.76</v>
      </c>
      <c r="O54" s="28">
        <v>41.95</v>
      </c>
      <c r="P54" s="28">
        <v>43.93</v>
      </c>
      <c r="Q54" s="28">
        <v>43.79</v>
      </c>
      <c r="S54" s="28">
        <v>43.93</v>
      </c>
      <c r="T54" s="28">
        <v>45.33</v>
      </c>
      <c r="V54" s="28">
        <v>44.82</v>
      </c>
      <c r="W54" s="28">
        <v>41.9</v>
      </c>
      <c r="Y54" s="28">
        <v>52.93</v>
      </c>
      <c r="Z54" s="28">
        <v>44.82</v>
      </c>
      <c r="AB54" s="28">
        <v>44.82</v>
      </c>
      <c r="AC54" s="28">
        <v>52.42</v>
      </c>
      <c r="AE54" s="28">
        <v>44.82</v>
      </c>
      <c r="AF54" s="28">
        <v>42.61</v>
      </c>
      <c r="AH54" s="28">
        <v>43.54</v>
      </c>
      <c r="AI54" s="28">
        <v>44.82</v>
      </c>
      <c r="AL54" s="28">
        <v>-0.26</v>
      </c>
      <c r="AM54" s="28">
        <v>-0.31</v>
      </c>
      <c r="AN54" s="28">
        <v>-0.03</v>
      </c>
      <c r="AO54" s="28"/>
    </row>
    <row r="55">
      <c r="D55" s="17"/>
      <c r="G55" s="20"/>
      <c r="L55" s="28">
        <v>37.28</v>
      </c>
      <c r="M55" s="28">
        <v>44.52</v>
      </c>
      <c r="O55" s="28">
        <v>45.22</v>
      </c>
      <c r="P55" s="28">
        <v>43.23</v>
      </c>
      <c r="Q55" s="28">
        <v>41.87</v>
      </c>
      <c r="S55" s="28">
        <v>43.23</v>
      </c>
      <c r="T55" s="28">
        <v>47.94</v>
      </c>
      <c r="V55" s="28">
        <v>35.72</v>
      </c>
      <c r="W55" s="28">
        <v>52.63</v>
      </c>
      <c r="Y55" s="28">
        <v>46.04</v>
      </c>
      <c r="Z55" s="28">
        <v>35.72</v>
      </c>
      <c r="AB55" s="28">
        <v>35.72</v>
      </c>
      <c r="AC55" s="28">
        <v>40.2</v>
      </c>
      <c r="AE55" s="28">
        <v>35.72</v>
      </c>
      <c r="AF55" s="28">
        <v>38.61</v>
      </c>
      <c r="AH55" s="28">
        <v>36.48</v>
      </c>
      <c r="AI55" s="28">
        <v>35.72</v>
      </c>
      <c r="AL55" s="28">
        <v>-0.35</v>
      </c>
      <c r="AM55" s="28">
        <v>-0.37</v>
      </c>
      <c r="AN55" s="28">
        <v>-0.17</v>
      </c>
      <c r="AO55" s="28"/>
    </row>
    <row r="56">
      <c r="D56" s="17"/>
      <c r="G56" s="20"/>
      <c r="L56" s="28">
        <v>45.95</v>
      </c>
      <c r="M56" s="28">
        <v>44.86</v>
      </c>
      <c r="O56" s="28">
        <v>46.31</v>
      </c>
      <c r="P56" s="28">
        <v>51.71</v>
      </c>
      <c r="Q56" s="28">
        <v>50.87</v>
      </c>
      <c r="S56" s="28">
        <v>51.71</v>
      </c>
      <c r="T56" s="28">
        <v>46.53</v>
      </c>
      <c r="V56" s="28">
        <v>46.41</v>
      </c>
      <c r="W56" s="28">
        <v>48.39</v>
      </c>
      <c r="Y56" s="28">
        <v>45.34</v>
      </c>
      <c r="Z56" s="28">
        <v>46.41</v>
      </c>
      <c r="AB56" s="28">
        <v>46.41</v>
      </c>
      <c r="AC56" s="28">
        <v>44.21</v>
      </c>
      <c r="AE56" s="28">
        <v>46.41</v>
      </c>
      <c r="AF56" s="28">
        <v>50.04</v>
      </c>
      <c r="AH56" s="28">
        <v>47.28</v>
      </c>
      <c r="AI56" s="28">
        <v>46.41</v>
      </c>
      <c r="AL56" s="28">
        <v>-0.21</v>
      </c>
      <c r="AM56" s="28">
        <v>-0.29</v>
      </c>
      <c r="AN56" s="28">
        <v>0.07</v>
      </c>
      <c r="AO56" s="28"/>
    </row>
    <row r="57">
      <c r="D57" s="17"/>
      <c r="G57" s="20"/>
      <c r="L57" s="28">
        <v>47.81</v>
      </c>
      <c r="M57" s="28">
        <v>35.35</v>
      </c>
      <c r="O57" s="28">
        <v>38.86</v>
      </c>
      <c r="P57" s="28">
        <v>33.65</v>
      </c>
      <c r="Q57" s="28">
        <v>45.31</v>
      </c>
      <c r="S57" s="28">
        <v>33.65</v>
      </c>
      <c r="T57" s="28">
        <v>44.53</v>
      </c>
      <c r="V57" s="28">
        <v>36.71</v>
      </c>
      <c r="W57" s="28">
        <v>54.26</v>
      </c>
      <c r="Y57" s="28">
        <v>39.62</v>
      </c>
      <c r="Z57" s="28">
        <v>36.71</v>
      </c>
      <c r="AB57" s="28">
        <v>36.71</v>
      </c>
      <c r="AC57" s="28">
        <v>46.24</v>
      </c>
      <c r="AE57" s="28">
        <v>36.71</v>
      </c>
      <c r="AF57" s="28">
        <v>47.27</v>
      </c>
      <c r="AH57" s="28">
        <v>40.16</v>
      </c>
      <c r="AI57" s="28">
        <v>36.71</v>
      </c>
      <c r="AL57" s="28">
        <v>-0.39</v>
      </c>
      <c r="AM57" s="28">
        <v>-0.29</v>
      </c>
      <c r="AN57" s="28">
        <v>-0.02</v>
      </c>
      <c r="AO57" s="28"/>
    </row>
    <row r="58">
      <c r="D58" s="17"/>
      <c r="G58" s="20"/>
      <c r="L58" s="28">
        <v>47.84</v>
      </c>
      <c r="M58" s="28">
        <v>41.37</v>
      </c>
      <c r="O58" s="28">
        <v>49.62</v>
      </c>
      <c r="P58" s="28">
        <v>50.27</v>
      </c>
      <c r="Q58" s="28">
        <v>41.5</v>
      </c>
      <c r="S58" s="28">
        <v>50.27</v>
      </c>
      <c r="T58" s="28">
        <v>44.36</v>
      </c>
      <c r="V58" s="28">
        <v>38.96</v>
      </c>
      <c r="W58" s="28">
        <v>39.63</v>
      </c>
      <c r="Y58" s="28">
        <v>42.84</v>
      </c>
      <c r="Z58" s="28">
        <v>38.96</v>
      </c>
      <c r="AB58" s="28">
        <v>38.96</v>
      </c>
      <c r="AC58" s="28">
        <v>46.42</v>
      </c>
      <c r="AE58" s="28">
        <v>38.96</v>
      </c>
      <c r="AF58" s="28">
        <v>47.59</v>
      </c>
      <c r="AH58" s="28">
        <v>41.09</v>
      </c>
      <c r="AI58" s="28">
        <v>38.96</v>
      </c>
      <c r="AL58" s="28">
        <v>0.03</v>
      </c>
      <c r="AM58" s="28">
        <v>-0.24</v>
      </c>
      <c r="AN58" s="28">
        <v>-0.16</v>
      </c>
      <c r="AO58" s="28"/>
    </row>
    <row r="59">
      <c r="D59" s="17"/>
      <c r="G59" s="20"/>
      <c r="L59" s="28">
        <v>39.28</v>
      </c>
      <c r="M59" s="28">
        <v>46.28</v>
      </c>
      <c r="O59" s="28">
        <v>48.34</v>
      </c>
      <c r="P59" s="28">
        <v>48.34</v>
      </c>
      <c r="Q59" s="28">
        <v>46.11</v>
      </c>
      <c r="S59" s="28">
        <v>48.34</v>
      </c>
      <c r="T59" s="28">
        <v>47.88</v>
      </c>
      <c r="V59" s="28">
        <v>48.34</v>
      </c>
      <c r="W59" s="28">
        <v>50.25</v>
      </c>
      <c r="Y59" s="28">
        <v>45.27</v>
      </c>
      <c r="Z59" s="28">
        <v>48.34</v>
      </c>
      <c r="AB59" s="28">
        <v>48.34</v>
      </c>
      <c r="AC59" s="28">
        <v>44.33</v>
      </c>
      <c r="AE59" s="28">
        <v>48.34</v>
      </c>
      <c r="AF59" s="28">
        <v>48.36</v>
      </c>
      <c r="AH59" s="28">
        <v>44.08</v>
      </c>
      <c r="AI59" s="28">
        <v>48.34</v>
      </c>
      <c r="AL59" s="28">
        <v>0.03</v>
      </c>
      <c r="AM59" s="28">
        <v>-0.18</v>
      </c>
      <c r="AN59" s="28">
        <v>-0.13</v>
      </c>
      <c r="AO59" s="28"/>
    </row>
    <row r="60">
      <c r="D60" s="17"/>
      <c r="G60" s="20"/>
      <c r="L60" s="28">
        <v>38.27</v>
      </c>
      <c r="M60" s="28">
        <v>51.16</v>
      </c>
      <c r="O60" s="28">
        <v>34.35</v>
      </c>
      <c r="P60" s="28">
        <v>44.85</v>
      </c>
      <c r="Q60" s="28">
        <v>56.92</v>
      </c>
      <c r="S60" s="28">
        <v>44.85</v>
      </c>
      <c r="T60" s="28">
        <v>44.86</v>
      </c>
      <c r="V60" s="28">
        <v>50.25</v>
      </c>
      <c r="W60" s="28">
        <v>44.6</v>
      </c>
      <c r="Y60" s="28">
        <v>47.88</v>
      </c>
      <c r="Z60" s="28">
        <v>50.25</v>
      </c>
      <c r="AB60" s="28">
        <v>50.25</v>
      </c>
      <c r="AC60" s="28">
        <v>44.29</v>
      </c>
      <c r="AE60" s="28">
        <v>50.25</v>
      </c>
      <c r="AF60" s="28">
        <v>44.75</v>
      </c>
      <c r="AH60" s="28">
        <v>44.59</v>
      </c>
      <c r="AI60" s="28">
        <v>50.25</v>
      </c>
      <c r="AL60" s="28">
        <v>-0.16</v>
      </c>
      <c r="AM60" s="28">
        <v>-0.08</v>
      </c>
      <c r="AN60" s="28">
        <v>0.0</v>
      </c>
      <c r="AO60" s="28"/>
    </row>
    <row r="61">
      <c r="D61" s="17"/>
      <c r="G61" s="20"/>
      <c r="L61" s="28">
        <v>46.08</v>
      </c>
      <c r="M61" s="28">
        <v>40.69</v>
      </c>
      <c r="O61" s="28">
        <v>47.41</v>
      </c>
      <c r="P61" s="28">
        <v>52.33</v>
      </c>
      <c r="Q61" s="28">
        <v>50.35</v>
      </c>
      <c r="S61" s="28">
        <v>52.33</v>
      </c>
      <c r="T61" s="28">
        <v>43.84</v>
      </c>
      <c r="V61" s="28">
        <v>43.33</v>
      </c>
      <c r="W61" s="28">
        <v>46.66</v>
      </c>
      <c r="Y61" s="28">
        <v>41.88</v>
      </c>
      <c r="Z61" s="28">
        <v>43.33</v>
      </c>
      <c r="AB61" s="28">
        <v>43.33</v>
      </c>
      <c r="AC61" s="28">
        <v>45.67</v>
      </c>
      <c r="AE61" s="28">
        <v>43.33</v>
      </c>
      <c r="AF61" s="28">
        <v>49.36</v>
      </c>
      <c r="AH61" s="28">
        <v>44.72</v>
      </c>
      <c r="AI61" s="28">
        <v>43.33</v>
      </c>
      <c r="AL61" s="28">
        <v>-0.19</v>
      </c>
      <c r="AM61" s="28">
        <v>-0.35</v>
      </c>
      <c r="AN61" s="28">
        <v>-0.14</v>
      </c>
      <c r="AO61" s="28"/>
    </row>
    <row r="62">
      <c r="D62" s="17"/>
      <c r="G62" s="20"/>
      <c r="L62" s="28">
        <v>47.18</v>
      </c>
      <c r="M62" s="28">
        <v>49.65</v>
      </c>
      <c r="O62" s="28">
        <v>54.06</v>
      </c>
      <c r="P62" s="28">
        <v>42.95</v>
      </c>
      <c r="Q62" s="28">
        <v>39.95</v>
      </c>
      <c r="S62" s="28">
        <v>42.95</v>
      </c>
      <c r="T62" s="28">
        <v>47.43</v>
      </c>
      <c r="V62" s="28">
        <v>47.77</v>
      </c>
      <c r="W62" s="28">
        <v>43.15</v>
      </c>
      <c r="Y62" s="28">
        <v>45.45</v>
      </c>
      <c r="Z62" s="28">
        <v>47.77</v>
      </c>
      <c r="AB62" s="28">
        <v>47.77</v>
      </c>
      <c r="AC62" s="28">
        <v>43.99</v>
      </c>
      <c r="AE62" s="28">
        <v>47.77</v>
      </c>
      <c r="AF62" s="28">
        <v>48.35</v>
      </c>
      <c r="AH62" s="28">
        <v>39.51</v>
      </c>
      <c r="AI62" s="28">
        <v>47.77</v>
      </c>
      <c r="AL62" s="28">
        <v>0.01</v>
      </c>
      <c r="AM62" s="28">
        <v>-0.24</v>
      </c>
      <c r="AN62" s="28">
        <v>-0.2</v>
      </c>
      <c r="AO62" s="28"/>
    </row>
    <row r="63">
      <c r="D63" s="17"/>
      <c r="G63" s="20"/>
      <c r="L63" s="28">
        <v>42.42</v>
      </c>
      <c r="M63" s="28">
        <v>41.77</v>
      </c>
      <c r="O63" s="28">
        <v>41.68</v>
      </c>
      <c r="P63" s="28">
        <v>35.7</v>
      </c>
      <c r="Q63" s="28">
        <v>50.08</v>
      </c>
      <c r="S63" s="28">
        <v>35.7</v>
      </c>
      <c r="T63" s="28">
        <v>41.68</v>
      </c>
      <c r="V63" s="28">
        <v>41.68</v>
      </c>
      <c r="W63" s="28">
        <v>42.53</v>
      </c>
      <c r="Y63" s="28">
        <v>45.18</v>
      </c>
      <c r="Z63" s="28">
        <v>41.68</v>
      </c>
      <c r="AB63" s="28">
        <v>41.68</v>
      </c>
      <c r="AC63" s="28">
        <v>37.9</v>
      </c>
      <c r="AE63" s="28">
        <v>41.68</v>
      </c>
      <c r="AF63" s="28">
        <v>36.65</v>
      </c>
      <c r="AH63" s="28">
        <v>40.08</v>
      </c>
      <c r="AI63" s="28">
        <v>41.68</v>
      </c>
      <c r="AL63" s="28">
        <v>-0.2</v>
      </c>
      <c r="AM63" s="28">
        <v>-0.32</v>
      </c>
      <c r="AN63" s="28">
        <v>-0.17</v>
      </c>
      <c r="AO63" s="28"/>
    </row>
    <row r="64">
      <c r="D64" s="17"/>
      <c r="G64" s="20"/>
      <c r="L64" s="28">
        <v>46.9</v>
      </c>
      <c r="M64" s="28">
        <v>45.8</v>
      </c>
      <c r="O64" s="28">
        <v>46.96</v>
      </c>
      <c r="P64" s="28">
        <v>44.19</v>
      </c>
      <c r="Q64" s="28">
        <v>40.29</v>
      </c>
      <c r="S64" s="28">
        <v>44.19</v>
      </c>
      <c r="T64" s="28">
        <v>42.41</v>
      </c>
      <c r="V64" s="28">
        <v>50.13</v>
      </c>
      <c r="W64" s="28">
        <v>41.11</v>
      </c>
      <c r="Y64" s="28">
        <v>44.99</v>
      </c>
      <c r="Z64" s="28">
        <v>50.13</v>
      </c>
      <c r="AB64" s="28">
        <v>50.13</v>
      </c>
      <c r="AC64" s="28">
        <v>42.9</v>
      </c>
      <c r="AE64" s="28">
        <v>50.13</v>
      </c>
      <c r="AF64" s="28">
        <v>42.58</v>
      </c>
      <c r="AH64" s="28">
        <v>44.37</v>
      </c>
      <c r="AI64" s="28">
        <v>50.13</v>
      </c>
      <c r="AL64" s="28">
        <v>-0.03</v>
      </c>
      <c r="AM64" s="28">
        <v>-0.24</v>
      </c>
      <c r="AN64" s="28">
        <v>-0.01</v>
      </c>
      <c r="AO64" s="28"/>
    </row>
    <row r="65">
      <c r="D65" s="17"/>
      <c r="G65" s="20"/>
      <c r="L65" s="28">
        <v>38.42</v>
      </c>
      <c r="M65" s="28">
        <v>40.01</v>
      </c>
      <c r="O65" s="28">
        <v>43.3</v>
      </c>
      <c r="P65" s="28">
        <v>43.3</v>
      </c>
      <c r="Q65" s="28">
        <v>44.06</v>
      </c>
      <c r="S65" s="28">
        <v>43.3</v>
      </c>
      <c r="T65" s="28">
        <v>42.06</v>
      </c>
      <c r="V65" s="28">
        <v>43.3</v>
      </c>
      <c r="W65" s="28">
        <v>49.07</v>
      </c>
      <c r="Y65" s="28">
        <v>47.8</v>
      </c>
      <c r="Z65" s="28">
        <v>43.3</v>
      </c>
      <c r="AB65" s="28">
        <v>43.3</v>
      </c>
      <c r="AC65" s="28">
        <v>43.42</v>
      </c>
      <c r="AE65" s="28">
        <v>43.3</v>
      </c>
      <c r="AF65" s="28">
        <v>40.8</v>
      </c>
      <c r="AH65" s="28">
        <v>40.69</v>
      </c>
      <c r="AI65" s="28">
        <v>43.3</v>
      </c>
      <c r="AL65" s="28">
        <v>-0.13</v>
      </c>
      <c r="AM65" s="28">
        <v>-0.37</v>
      </c>
      <c r="AN65" s="28">
        <v>-0.26</v>
      </c>
      <c r="AO65" s="28"/>
    </row>
    <row r="66">
      <c r="D66" s="17"/>
      <c r="G66" s="20"/>
      <c r="AL66" s="28">
        <v>0.1</v>
      </c>
      <c r="AM66" s="28">
        <v>-0.13</v>
      </c>
      <c r="AN66" s="28">
        <v>0.03</v>
      </c>
      <c r="AO66" s="28"/>
    </row>
    <row r="67">
      <c r="D67" s="17"/>
      <c r="G67" s="20"/>
      <c r="AL67" s="28">
        <v>-0.13</v>
      </c>
      <c r="AM67" s="28">
        <v>-0.22</v>
      </c>
      <c r="AN67" s="28">
        <v>-0.24</v>
      </c>
      <c r="AO67" s="28"/>
    </row>
    <row r="68">
      <c r="D68" s="17"/>
      <c r="G68" s="20"/>
      <c r="AL68" s="28">
        <v>-0.12</v>
      </c>
      <c r="AM68" s="28">
        <v>-0.13</v>
      </c>
      <c r="AN68" s="28">
        <v>0.12</v>
      </c>
      <c r="AO68" s="28"/>
    </row>
    <row r="69">
      <c r="D69" s="17"/>
      <c r="G69" s="20"/>
      <c r="AL69" s="28">
        <v>-0.08</v>
      </c>
      <c r="AM69" s="28">
        <v>-0.41</v>
      </c>
      <c r="AN69" s="28">
        <v>-0.17</v>
      </c>
      <c r="AO69" s="28"/>
    </row>
    <row r="70">
      <c r="D70" s="17"/>
      <c r="G70" s="20"/>
      <c r="AL70" s="28">
        <v>-0.17</v>
      </c>
      <c r="AM70" s="28">
        <v>-0.19</v>
      </c>
      <c r="AN70" s="28">
        <v>-0.06</v>
      </c>
      <c r="AO70" s="28"/>
    </row>
    <row r="71">
      <c r="D71" s="17"/>
      <c r="G71" s="20"/>
      <c r="AL71" s="28">
        <v>-0.25</v>
      </c>
      <c r="AM71" s="28">
        <v>-0.23</v>
      </c>
      <c r="AN71" s="28">
        <v>-0.36</v>
      </c>
      <c r="AO71" s="28"/>
    </row>
    <row r="72">
      <c r="D72" s="17"/>
      <c r="G72" s="20"/>
      <c r="AL72" s="28">
        <v>-0.24</v>
      </c>
      <c r="AM72" s="28">
        <v>-0.01</v>
      </c>
      <c r="AN72" s="28">
        <v>0.02</v>
      </c>
      <c r="AO72" s="28"/>
    </row>
    <row r="73">
      <c r="D73" s="17"/>
      <c r="G73" s="20"/>
      <c r="AL73" s="28">
        <v>-0.26</v>
      </c>
      <c r="AM73" s="28">
        <v>-0.25</v>
      </c>
      <c r="AN73" s="28">
        <v>-0.1</v>
      </c>
      <c r="AO73" s="28"/>
    </row>
    <row r="74">
      <c r="D74" s="17"/>
      <c r="G74" s="20"/>
      <c r="AL74" s="28">
        <v>-0.11</v>
      </c>
      <c r="AM74" s="28">
        <v>-0.17</v>
      </c>
      <c r="AN74" s="28">
        <v>-0.09</v>
      </c>
      <c r="AO74" s="28"/>
    </row>
    <row r="75">
      <c r="D75" s="17"/>
      <c r="G75" s="20"/>
      <c r="AL75" s="28">
        <v>-0.28</v>
      </c>
      <c r="AM75" s="28">
        <v>-0.24</v>
      </c>
      <c r="AN75" s="28">
        <v>-0.36</v>
      </c>
      <c r="AO75" s="28"/>
    </row>
    <row r="76">
      <c r="D76" s="17"/>
      <c r="G76" s="20"/>
      <c r="AL76" s="28">
        <v>-0.16</v>
      </c>
      <c r="AM76" s="28">
        <v>-0.07</v>
      </c>
      <c r="AN76" s="28">
        <v>-0.15</v>
      </c>
      <c r="AO76" s="28"/>
    </row>
    <row r="77">
      <c r="D77" s="17"/>
      <c r="G77" s="20"/>
      <c r="AL77" s="28">
        <v>-0.23</v>
      </c>
      <c r="AM77" s="28">
        <v>-0.02</v>
      </c>
      <c r="AN77" s="28">
        <v>-0.34</v>
      </c>
      <c r="AO77" s="28"/>
    </row>
    <row r="78">
      <c r="D78" s="17"/>
      <c r="G78" s="20"/>
      <c r="AL78" s="28">
        <v>0.09</v>
      </c>
      <c r="AM78" s="28">
        <v>-0.29</v>
      </c>
      <c r="AN78" s="28">
        <v>-0.19</v>
      </c>
      <c r="AO78" s="28"/>
    </row>
    <row r="79">
      <c r="D79" s="17"/>
      <c r="G79" s="20"/>
      <c r="AL79" s="28">
        <v>-0.09</v>
      </c>
      <c r="AM79" s="28">
        <v>-0.2</v>
      </c>
      <c r="AN79" s="28">
        <v>-0.28</v>
      </c>
      <c r="AO79" s="28"/>
    </row>
    <row r="80">
      <c r="D80" s="17"/>
      <c r="G80" s="20"/>
      <c r="AL80" s="28">
        <v>-0.12</v>
      </c>
      <c r="AM80" s="28">
        <v>-0.05</v>
      </c>
      <c r="AN80" s="28">
        <v>-0.04</v>
      </c>
      <c r="AO80" s="28"/>
    </row>
    <row r="81">
      <c r="D81" s="17"/>
      <c r="G81" s="20"/>
      <c r="AL81" s="28">
        <v>-0.16</v>
      </c>
      <c r="AM81" s="28">
        <v>-0.01</v>
      </c>
      <c r="AN81" s="28">
        <v>0.1</v>
      </c>
      <c r="AO81" s="28"/>
    </row>
    <row r="82">
      <c r="D82" s="17"/>
      <c r="G82" s="20"/>
      <c r="AL82" s="28">
        <v>-0.2</v>
      </c>
      <c r="AM82" s="28">
        <v>-0.26</v>
      </c>
      <c r="AN82" s="28">
        <v>-0.12</v>
      </c>
      <c r="AO82" s="28"/>
    </row>
    <row r="83">
      <c r="D83" s="17"/>
      <c r="G83" s="20"/>
      <c r="AL83" s="28">
        <v>-0.09</v>
      </c>
      <c r="AM83" s="28">
        <v>-0.39</v>
      </c>
      <c r="AN83" s="28">
        <v>-0.22</v>
      </c>
      <c r="AO83" s="28"/>
    </row>
    <row r="84">
      <c r="D84" s="17"/>
      <c r="G84" s="20"/>
      <c r="AL84" s="28">
        <v>-0.07</v>
      </c>
      <c r="AM84" s="28">
        <v>-0.08</v>
      </c>
      <c r="AN84" s="28">
        <v>-0.1</v>
      </c>
      <c r="AO84" s="28"/>
    </row>
    <row r="85">
      <c r="D85" s="17"/>
      <c r="G85" s="20"/>
      <c r="AL85" s="28">
        <v>-0.03</v>
      </c>
      <c r="AM85" s="28">
        <v>0.05</v>
      </c>
      <c r="AN85" s="28">
        <v>-0.39</v>
      </c>
      <c r="AO85" s="28"/>
    </row>
    <row r="86">
      <c r="D86" s="17"/>
      <c r="G86" s="20"/>
      <c r="AL86" s="28">
        <v>-0.17</v>
      </c>
      <c r="AM86" s="28">
        <v>-0.19</v>
      </c>
      <c r="AN86" s="28">
        <v>-0.09</v>
      </c>
      <c r="AO86" s="28"/>
    </row>
    <row r="87">
      <c r="D87" s="17"/>
      <c r="G87" s="20"/>
      <c r="AL87" s="28">
        <v>-0.1</v>
      </c>
      <c r="AM87" s="28">
        <v>-0.27</v>
      </c>
      <c r="AN87" s="28">
        <v>-0.45</v>
      </c>
      <c r="AO87" s="28"/>
    </row>
    <row r="88">
      <c r="D88" s="17"/>
      <c r="G88" s="20"/>
      <c r="AL88" s="28">
        <v>-0.29</v>
      </c>
      <c r="AM88" s="28">
        <v>-0.13</v>
      </c>
      <c r="AN88" s="28">
        <v>0.13</v>
      </c>
      <c r="AO88" s="28"/>
    </row>
    <row r="89">
      <c r="D89" s="17"/>
      <c r="G89" s="20"/>
      <c r="AL89" s="28">
        <v>-0.44</v>
      </c>
      <c r="AM89" s="28">
        <v>-0.3</v>
      </c>
      <c r="AN89" s="28">
        <v>-0.21</v>
      </c>
      <c r="AO89" s="28"/>
    </row>
    <row r="90">
      <c r="D90" s="17"/>
      <c r="G90" s="20"/>
      <c r="AL90" s="28">
        <v>0.11</v>
      </c>
      <c r="AM90" s="28">
        <v>-0.31</v>
      </c>
      <c r="AN90" s="28">
        <v>-0.06</v>
      </c>
      <c r="AO90" s="28"/>
    </row>
    <row r="91">
      <c r="D91" s="17"/>
      <c r="G91" s="20"/>
      <c r="AL91" s="28">
        <v>-0.29</v>
      </c>
      <c r="AM91" s="28">
        <v>-0.24</v>
      </c>
      <c r="AN91" s="28">
        <v>-0.07</v>
      </c>
      <c r="AO91" s="28"/>
    </row>
    <row r="92">
      <c r="D92" s="17"/>
      <c r="G92" s="20"/>
      <c r="AL92" s="28">
        <v>-0.11</v>
      </c>
      <c r="AM92" s="28">
        <v>-0.15</v>
      </c>
      <c r="AN92" s="28">
        <v>-0.08</v>
      </c>
      <c r="AO92" s="28"/>
    </row>
    <row r="93">
      <c r="D93" s="17"/>
      <c r="G93" s="20"/>
      <c r="AL93" s="28">
        <v>-0.38</v>
      </c>
      <c r="AM93" s="28">
        <v>-0.41</v>
      </c>
      <c r="AN93" s="28">
        <v>-0.18</v>
      </c>
      <c r="AO93" s="28"/>
    </row>
    <row r="94">
      <c r="D94" s="17"/>
      <c r="G94" s="20"/>
      <c r="AL94" s="28">
        <v>0.0</v>
      </c>
      <c r="AM94" s="28">
        <v>-0.25</v>
      </c>
      <c r="AN94" s="28">
        <v>-0.1</v>
      </c>
      <c r="AO94" s="28"/>
    </row>
    <row r="95">
      <c r="D95" s="17"/>
      <c r="G95" s="20"/>
      <c r="AL95" s="28">
        <v>-0.24</v>
      </c>
      <c r="AM95" s="28">
        <v>-0.44</v>
      </c>
      <c r="AN95" s="28">
        <v>-0.29</v>
      </c>
      <c r="AO95" s="28"/>
    </row>
    <row r="96">
      <c r="D96" s="17"/>
      <c r="G96" s="20"/>
      <c r="AL96" s="28">
        <v>-0.23</v>
      </c>
      <c r="AM96" s="28">
        <v>-0.14</v>
      </c>
      <c r="AN96" s="28">
        <v>-0.14</v>
      </c>
      <c r="AO96" s="28"/>
    </row>
    <row r="97">
      <c r="D97" s="17"/>
      <c r="G97" s="20"/>
      <c r="AL97" s="28">
        <v>-0.3</v>
      </c>
      <c r="AM97" s="28">
        <v>-0.28</v>
      </c>
      <c r="AN97" s="28">
        <v>-0.23</v>
      </c>
      <c r="AO97" s="28"/>
    </row>
    <row r="98">
      <c r="D98" s="17"/>
      <c r="G98" s="20"/>
      <c r="AL98" s="28">
        <v>-0.07</v>
      </c>
      <c r="AM98" s="28">
        <v>-0.12</v>
      </c>
      <c r="AN98" s="28">
        <v>-0.1</v>
      </c>
      <c r="AO98" s="28"/>
    </row>
    <row r="99">
      <c r="D99" s="17"/>
      <c r="G99" s="20"/>
      <c r="AL99" s="28">
        <v>-0.11</v>
      </c>
      <c r="AM99" s="28">
        <v>-0.07</v>
      </c>
      <c r="AN99" s="28">
        <v>-0.11</v>
      </c>
      <c r="AO99" s="28"/>
    </row>
    <row r="100">
      <c r="D100" s="17"/>
      <c r="G100" s="20"/>
      <c r="AL100" s="28">
        <v>-0.15</v>
      </c>
      <c r="AM100" s="28">
        <v>-0.06</v>
      </c>
      <c r="AN100" s="28">
        <v>0.08</v>
      </c>
      <c r="AO100" s="28"/>
    </row>
    <row r="101">
      <c r="D101" s="17"/>
      <c r="G101" s="20"/>
      <c r="AL101" s="28">
        <v>-0.19</v>
      </c>
      <c r="AM101" s="28">
        <v>-0.1</v>
      </c>
      <c r="AN101" s="28">
        <v>0.02</v>
      </c>
      <c r="AO101" s="28"/>
    </row>
    <row r="102">
      <c r="D102" s="17"/>
      <c r="G102" s="20"/>
      <c r="AL102" s="28">
        <v>-0.05</v>
      </c>
      <c r="AM102" s="28">
        <v>-0.18</v>
      </c>
      <c r="AN102" s="28">
        <v>-0.17</v>
      </c>
      <c r="AO102" s="28"/>
    </row>
    <row r="103">
      <c r="D103" s="17"/>
      <c r="E103" s="20"/>
      <c r="G103" s="20"/>
      <c r="AL103" s="28">
        <v>-0.29</v>
      </c>
      <c r="AM103" s="28">
        <v>-0.3</v>
      </c>
      <c r="AN103" s="28">
        <v>0.04</v>
      </c>
      <c r="AO103" s="28"/>
    </row>
    <row r="104">
      <c r="D104" s="17"/>
      <c r="E104" s="20"/>
      <c r="G104" s="20"/>
      <c r="AL104" s="28">
        <v>-0.16</v>
      </c>
      <c r="AM104" s="28">
        <v>-0.19</v>
      </c>
      <c r="AN104" s="28">
        <v>-0.02</v>
      </c>
      <c r="AO104" s="28"/>
    </row>
    <row r="105">
      <c r="D105" s="17"/>
      <c r="E105" s="20"/>
      <c r="G105" s="20"/>
      <c r="AL105" s="28">
        <v>-0.03</v>
      </c>
      <c r="AM105" s="28">
        <v>-0.2</v>
      </c>
      <c r="AN105" s="28">
        <v>-0.28</v>
      </c>
      <c r="AO105" s="28"/>
    </row>
    <row r="106">
      <c r="D106" s="17"/>
      <c r="E106" s="20"/>
      <c r="G106" s="20"/>
      <c r="AL106" s="28">
        <v>-0.15</v>
      </c>
      <c r="AM106" s="28">
        <v>-0.14</v>
      </c>
      <c r="AN106" s="28"/>
      <c r="AO106" s="28"/>
    </row>
    <row r="107">
      <c r="D107" s="17"/>
      <c r="E107" s="20"/>
      <c r="G107" s="20"/>
      <c r="AL107" s="28">
        <v>-0.27</v>
      </c>
      <c r="AM107" s="28">
        <v>0.0</v>
      </c>
      <c r="AN107" s="28"/>
      <c r="AO107" s="28"/>
    </row>
    <row r="108">
      <c r="D108" s="17"/>
      <c r="E108" s="20"/>
      <c r="G108" s="20"/>
      <c r="AL108" s="28">
        <v>0.01</v>
      </c>
      <c r="AM108" s="28">
        <v>-0.16</v>
      </c>
      <c r="AN108" s="28"/>
      <c r="AO108" s="28"/>
    </row>
    <row r="109">
      <c r="D109" s="17"/>
      <c r="E109" s="20"/>
      <c r="G109" s="20"/>
      <c r="AL109" s="28">
        <v>-0.12</v>
      </c>
      <c r="AM109" s="28">
        <v>-0.12</v>
      </c>
      <c r="AN109" s="28"/>
      <c r="AO109" s="28"/>
    </row>
    <row r="110">
      <c r="D110" s="17"/>
      <c r="E110" s="20"/>
      <c r="G110" s="20"/>
      <c r="AL110" s="28">
        <v>-0.02</v>
      </c>
      <c r="AM110" s="28">
        <v>-0.02</v>
      </c>
      <c r="AN110" s="28"/>
      <c r="AO110" s="28"/>
    </row>
    <row r="111">
      <c r="D111" s="17"/>
      <c r="E111" s="20"/>
      <c r="G111" s="20"/>
      <c r="AL111" s="28">
        <v>-0.08</v>
      </c>
      <c r="AM111" s="28">
        <v>-0.41</v>
      </c>
      <c r="AN111" s="28"/>
      <c r="AO111" s="28"/>
    </row>
    <row r="112">
      <c r="D112" s="17"/>
      <c r="E112" s="20"/>
      <c r="G112" s="20"/>
      <c r="AL112" s="28">
        <v>-0.21</v>
      </c>
      <c r="AM112" s="28">
        <v>-0.17</v>
      </c>
      <c r="AN112" s="28"/>
      <c r="AO112" s="28"/>
    </row>
    <row r="113">
      <c r="D113" s="17"/>
      <c r="E113" s="20"/>
      <c r="G113" s="20"/>
      <c r="AL113" s="28">
        <v>-0.21</v>
      </c>
      <c r="AM113" s="28">
        <v>-0.17</v>
      </c>
      <c r="AN113" s="28"/>
      <c r="AO113" s="28"/>
    </row>
    <row r="114">
      <c r="D114" s="17"/>
      <c r="E114" s="20"/>
      <c r="G114" s="20"/>
      <c r="AL114" s="28">
        <v>-0.07</v>
      </c>
      <c r="AM114" s="28">
        <v>0.02</v>
      </c>
      <c r="AN114" s="28"/>
      <c r="AO114" s="28"/>
    </row>
    <row r="115">
      <c r="D115" s="17"/>
      <c r="E115" s="20"/>
      <c r="G115" s="20"/>
      <c r="AL115" s="28">
        <v>-0.2</v>
      </c>
      <c r="AM115" s="28">
        <v>-0.06</v>
      </c>
      <c r="AN115" s="28"/>
      <c r="AO115" s="28"/>
    </row>
    <row r="116">
      <c r="D116" s="17"/>
      <c r="E116" s="20"/>
      <c r="G116" s="20"/>
      <c r="AL116" s="28">
        <v>-0.17</v>
      </c>
      <c r="AM116" s="28">
        <v>-0.12</v>
      </c>
      <c r="AN116" s="28"/>
      <c r="AO116" s="28"/>
    </row>
    <row r="117">
      <c r="D117" s="17"/>
      <c r="E117" s="20"/>
      <c r="G117" s="20"/>
      <c r="AL117" s="28">
        <v>-0.22</v>
      </c>
      <c r="AM117" s="28">
        <v>-0.15</v>
      </c>
      <c r="AN117" s="28"/>
      <c r="AO117" s="28"/>
    </row>
    <row r="118">
      <c r="D118" s="17"/>
      <c r="E118" s="20"/>
      <c r="G118" s="20"/>
      <c r="AL118" s="28">
        <v>-0.11</v>
      </c>
      <c r="AM118" s="28">
        <v>-0.2</v>
      </c>
      <c r="AN118" s="28"/>
      <c r="AO118" s="28"/>
    </row>
    <row r="119">
      <c r="D119" s="17"/>
      <c r="E119" s="20"/>
      <c r="G119" s="20"/>
      <c r="AL119" s="28">
        <v>-0.37</v>
      </c>
      <c r="AM119" s="28">
        <v>-0.3</v>
      </c>
      <c r="AN119" s="28"/>
      <c r="AO119" s="28"/>
    </row>
    <row r="120">
      <c r="D120" s="17"/>
      <c r="E120" s="20"/>
      <c r="G120" s="20"/>
      <c r="AL120" s="28">
        <v>-0.23</v>
      </c>
      <c r="AM120" s="28">
        <v>-0.27</v>
      </c>
      <c r="AN120" s="28"/>
      <c r="AO120" s="28"/>
    </row>
    <row r="121">
      <c r="D121" s="17"/>
      <c r="E121" s="20"/>
      <c r="G121" s="20"/>
      <c r="AL121" s="28">
        <v>-0.25</v>
      </c>
      <c r="AM121" s="28">
        <v>-0.29</v>
      </c>
      <c r="AN121" s="28"/>
      <c r="AO121" s="28"/>
    </row>
    <row r="122">
      <c r="D122" s="17"/>
      <c r="E122" s="20"/>
      <c r="G122" s="20"/>
      <c r="AL122" s="28">
        <v>-0.09</v>
      </c>
      <c r="AM122" s="28">
        <v>-0.12</v>
      </c>
      <c r="AN122" s="28"/>
      <c r="AO122" s="28"/>
    </row>
    <row r="123">
      <c r="D123" s="17"/>
      <c r="E123" s="20"/>
      <c r="G123" s="20"/>
      <c r="AL123" s="28">
        <v>-0.07</v>
      </c>
      <c r="AM123" s="28">
        <v>-0.24</v>
      </c>
      <c r="AN123" s="28"/>
      <c r="AO123" s="28"/>
    </row>
    <row r="124">
      <c r="D124" s="17"/>
      <c r="E124" s="20"/>
      <c r="G124" s="20"/>
      <c r="AL124" s="28">
        <v>-0.16</v>
      </c>
      <c r="AM124" s="28">
        <v>0.01</v>
      </c>
      <c r="AN124" s="28"/>
      <c r="AO124" s="28"/>
    </row>
    <row r="125">
      <c r="D125" s="17"/>
      <c r="E125" s="20"/>
      <c r="G125" s="20"/>
      <c r="AL125" s="28">
        <v>-0.16</v>
      </c>
      <c r="AM125" s="28">
        <v>-0.42</v>
      </c>
      <c r="AN125" s="28"/>
      <c r="AO125" s="28"/>
    </row>
    <row r="126">
      <c r="D126" s="17"/>
      <c r="E126" s="20"/>
      <c r="G126" s="20"/>
      <c r="AL126" s="28">
        <v>0.05</v>
      </c>
      <c r="AM126" s="28">
        <v>-0.24</v>
      </c>
      <c r="AN126" s="28"/>
      <c r="AO126" s="28"/>
    </row>
    <row r="127">
      <c r="D127" s="17"/>
      <c r="E127" s="20"/>
      <c r="G127" s="20"/>
      <c r="AL127" s="28">
        <v>-0.13</v>
      </c>
      <c r="AM127" s="28">
        <v>-0.31</v>
      </c>
      <c r="AN127" s="28"/>
      <c r="AO127" s="28"/>
    </row>
    <row r="128">
      <c r="D128" s="17"/>
      <c r="E128" s="20"/>
      <c r="G128" s="20"/>
      <c r="AL128" s="28">
        <v>-0.17</v>
      </c>
      <c r="AM128" s="28">
        <v>-0.16</v>
      </c>
      <c r="AN128" s="28"/>
      <c r="AO128" s="28"/>
    </row>
    <row r="129">
      <c r="D129" s="17"/>
      <c r="E129" s="20"/>
      <c r="G129" s="20"/>
      <c r="AL129" s="28">
        <v>-0.19</v>
      </c>
      <c r="AM129" s="28">
        <v>-0.36</v>
      </c>
      <c r="AN129" s="28"/>
      <c r="AO129" s="28"/>
    </row>
    <row r="130">
      <c r="D130" s="17"/>
      <c r="E130" s="20"/>
      <c r="G130" s="20"/>
      <c r="AL130" s="28">
        <v>0.03</v>
      </c>
      <c r="AM130" s="28">
        <v>-0.28</v>
      </c>
      <c r="AN130" s="28"/>
      <c r="AO130" s="28"/>
    </row>
    <row r="131">
      <c r="D131" s="17"/>
      <c r="E131" s="20"/>
      <c r="G131" s="20"/>
      <c r="AL131" s="28">
        <v>-0.21</v>
      </c>
      <c r="AM131" s="28">
        <v>-0.1</v>
      </c>
      <c r="AN131" s="28"/>
      <c r="AO131" s="28"/>
    </row>
    <row r="132">
      <c r="D132" s="17"/>
      <c r="E132" s="20"/>
      <c r="F132" s="20"/>
      <c r="G132" s="17"/>
      <c r="AL132" s="28">
        <v>-0.07</v>
      </c>
      <c r="AM132" s="28">
        <v>0.03</v>
      </c>
      <c r="AN132" s="28"/>
      <c r="AO132" s="28"/>
    </row>
    <row r="133">
      <c r="D133" s="17"/>
      <c r="E133" s="17"/>
      <c r="F133" s="17"/>
      <c r="G133" s="17"/>
      <c r="AL133" s="28">
        <v>-0.2</v>
      </c>
      <c r="AM133" s="28">
        <v>0.01</v>
      </c>
      <c r="AN133" s="28"/>
      <c r="AO133" s="28"/>
    </row>
    <row r="134">
      <c r="D134" s="17"/>
      <c r="E134" s="17"/>
      <c r="F134" s="17"/>
      <c r="G134" s="17"/>
      <c r="AL134" s="28">
        <v>-0.02</v>
      </c>
      <c r="AM134" s="28">
        <v>-0.12</v>
      </c>
      <c r="AN134" s="28"/>
      <c r="AO134" s="28"/>
    </row>
    <row r="135">
      <c r="D135" s="17"/>
      <c r="E135" s="17"/>
      <c r="F135" s="17"/>
      <c r="G135" s="17"/>
      <c r="AL135" s="28">
        <v>-0.09</v>
      </c>
      <c r="AM135" s="28">
        <v>-0.22</v>
      </c>
      <c r="AN135" s="28"/>
      <c r="AO135" s="28"/>
    </row>
    <row r="136">
      <c r="D136" s="17"/>
      <c r="E136" s="17"/>
      <c r="F136" s="17"/>
      <c r="G136" s="17"/>
      <c r="AL136" s="28">
        <v>-0.12</v>
      </c>
      <c r="AM136" s="28">
        <v>-0.04</v>
      </c>
      <c r="AN136" s="28"/>
      <c r="AO136" s="28"/>
    </row>
    <row r="137">
      <c r="D137" s="17"/>
      <c r="E137" s="17"/>
      <c r="F137" s="17"/>
      <c r="G137" s="17"/>
      <c r="AL137" s="28">
        <v>-0.3</v>
      </c>
      <c r="AM137" s="28">
        <v>-0.07</v>
      </c>
      <c r="AN137" s="28"/>
      <c r="AO137" s="28"/>
    </row>
    <row r="138">
      <c r="D138" s="17"/>
      <c r="E138" s="17"/>
      <c r="F138" s="17"/>
      <c r="G138" s="17"/>
      <c r="AL138" s="28">
        <v>0.21</v>
      </c>
      <c r="AM138" s="28">
        <v>-0.28</v>
      </c>
      <c r="AN138" s="28"/>
      <c r="AO138" s="28"/>
    </row>
    <row r="139">
      <c r="D139" s="17"/>
      <c r="E139" s="17"/>
      <c r="F139" s="17"/>
      <c r="G139" s="17"/>
      <c r="AL139" s="28">
        <v>-0.21</v>
      </c>
      <c r="AM139" s="28">
        <v>-0.11</v>
      </c>
      <c r="AN139" s="28"/>
      <c r="AO139" s="28"/>
    </row>
    <row r="140">
      <c r="D140" s="17"/>
      <c r="E140" s="17"/>
      <c r="F140" s="17"/>
      <c r="G140" s="17"/>
      <c r="AL140" s="28">
        <v>-0.12</v>
      </c>
      <c r="AM140" s="28">
        <v>-0.12</v>
      </c>
      <c r="AN140" s="28"/>
      <c r="AO140" s="28"/>
    </row>
    <row r="141">
      <c r="D141" s="17"/>
      <c r="E141" s="17"/>
      <c r="F141" s="17"/>
      <c r="G141" s="17"/>
      <c r="AL141" s="28">
        <v>-0.16</v>
      </c>
      <c r="AM141" s="28">
        <v>-0.17</v>
      </c>
      <c r="AN141" s="28"/>
      <c r="AO141" s="28"/>
    </row>
    <row r="142">
      <c r="D142" s="17"/>
      <c r="E142" s="17"/>
      <c r="F142" s="17"/>
      <c r="G142" s="17"/>
      <c r="AL142" s="28">
        <v>-0.14</v>
      </c>
      <c r="AM142" s="28">
        <v>-0.11</v>
      </c>
      <c r="AN142" s="28"/>
      <c r="AO142" s="28"/>
    </row>
    <row r="143">
      <c r="D143" s="17"/>
      <c r="E143" s="17"/>
      <c r="F143" s="17"/>
      <c r="G143" s="17"/>
      <c r="AL143" s="28">
        <v>-0.11</v>
      </c>
      <c r="AM143" s="28">
        <v>-0.24</v>
      </c>
      <c r="AN143" s="28"/>
      <c r="AO143" s="28"/>
    </row>
    <row r="144">
      <c r="D144" s="17"/>
      <c r="E144" s="17"/>
      <c r="F144" s="17"/>
      <c r="G144" s="17"/>
      <c r="AL144" s="28">
        <v>-0.22</v>
      </c>
      <c r="AM144" s="28">
        <v>-0.04</v>
      </c>
      <c r="AN144" s="28"/>
      <c r="AO144" s="28"/>
    </row>
    <row r="145">
      <c r="D145" s="17"/>
      <c r="E145" s="17"/>
      <c r="F145" s="17"/>
      <c r="G145" s="17"/>
      <c r="AL145" s="28">
        <v>-0.14</v>
      </c>
      <c r="AM145" s="28">
        <v>-0.07</v>
      </c>
      <c r="AN145" s="28"/>
      <c r="AO145" s="28"/>
    </row>
    <row r="146">
      <c r="D146" s="17"/>
      <c r="E146" s="17"/>
      <c r="F146" s="17"/>
      <c r="G146" s="17"/>
      <c r="AL146" s="28">
        <v>-0.11</v>
      </c>
      <c r="AM146" s="28">
        <v>-0.16</v>
      </c>
      <c r="AN146" s="28"/>
      <c r="AO146" s="28"/>
    </row>
    <row r="147">
      <c r="D147" s="17"/>
      <c r="E147" s="17"/>
      <c r="F147" s="17"/>
      <c r="G147" s="17"/>
      <c r="AL147" s="28">
        <v>0.01</v>
      </c>
      <c r="AM147" s="28">
        <v>-0.23</v>
      </c>
      <c r="AN147" s="28"/>
      <c r="AO147" s="28"/>
    </row>
    <row r="148">
      <c r="D148" s="17"/>
      <c r="E148" s="17"/>
      <c r="F148" s="17"/>
      <c r="G148" s="17"/>
      <c r="AL148" s="28">
        <v>-0.13</v>
      </c>
      <c r="AM148" s="28">
        <v>-0.02</v>
      </c>
      <c r="AN148" s="28"/>
      <c r="AO148" s="28"/>
    </row>
    <row r="149">
      <c r="D149" s="17"/>
      <c r="E149" s="17"/>
      <c r="F149" s="17"/>
      <c r="G149" s="17"/>
      <c r="AL149" s="28">
        <v>-0.1</v>
      </c>
      <c r="AM149" s="28">
        <v>-0.14</v>
      </c>
      <c r="AN149" s="28"/>
      <c r="AO149" s="28"/>
    </row>
    <row r="150">
      <c r="D150" s="17"/>
      <c r="E150" s="17"/>
      <c r="F150" s="17"/>
      <c r="G150" s="17"/>
      <c r="AL150" s="28">
        <v>-0.18</v>
      </c>
      <c r="AM150" s="28">
        <v>-0.18</v>
      </c>
      <c r="AN150" s="28"/>
      <c r="AO150" s="28"/>
    </row>
    <row r="151">
      <c r="D151" s="17"/>
      <c r="E151" s="17"/>
      <c r="F151" s="17"/>
      <c r="G151" s="17"/>
      <c r="AL151" s="28">
        <v>-0.33</v>
      </c>
      <c r="AM151" s="28">
        <v>-0.27</v>
      </c>
      <c r="AN151" s="28"/>
      <c r="AO151" s="28"/>
    </row>
    <row r="152">
      <c r="D152" s="17"/>
      <c r="E152" s="17"/>
      <c r="F152" s="17"/>
      <c r="G152" s="17"/>
      <c r="AL152" s="28">
        <v>-0.04</v>
      </c>
      <c r="AM152" s="28">
        <v>0.02</v>
      </c>
      <c r="AN152" s="28"/>
      <c r="AO152" s="28"/>
    </row>
    <row r="153">
      <c r="D153" s="17"/>
      <c r="E153" s="17"/>
      <c r="F153" s="17"/>
      <c r="G153" s="17"/>
      <c r="AL153" s="28">
        <v>-0.28</v>
      </c>
      <c r="AM153" s="28">
        <v>-0.26</v>
      </c>
      <c r="AN153" s="28"/>
      <c r="AO153" s="28"/>
    </row>
    <row r="154">
      <c r="D154" s="17"/>
      <c r="E154" s="17"/>
      <c r="F154" s="17"/>
      <c r="G154" s="17"/>
      <c r="AL154" s="28">
        <v>-0.04</v>
      </c>
      <c r="AM154" s="28">
        <v>-0.22</v>
      </c>
      <c r="AN154" s="28"/>
      <c r="AO154" s="28"/>
    </row>
    <row r="155">
      <c r="D155" s="17"/>
      <c r="E155" s="17"/>
      <c r="F155" s="17"/>
      <c r="G155" s="17"/>
      <c r="AL155" s="28">
        <v>0.01</v>
      </c>
      <c r="AM155" s="28">
        <v>-0.27</v>
      </c>
      <c r="AN155" s="28"/>
      <c r="AO155" s="28"/>
    </row>
    <row r="156">
      <c r="D156" s="17"/>
      <c r="E156" s="17"/>
      <c r="F156" s="17"/>
      <c r="G156" s="17"/>
      <c r="AL156" s="28">
        <v>0.02</v>
      </c>
      <c r="AM156" s="28">
        <v>-0.27</v>
      </c>
      <c r="AN156" s="28"/>
      <c r="AO156" s="28"/>
    </row>
    <row r="157">
      <c r="D157" s="17"/>
      <c r="E157" s="17"/>
      <c r="F157" s="17"/>
      <c r="G157" s="17"/>
      <c r="AL157" s="28">
        <v>-0.24</v>
      </c>
      <c r="AM157" s="28">
        <v>-0.39</v>
      </c>
      <c r="AN157" s="28"/>
      <c r="AO157" s="28"/>
    </row>
    <row r="158">
      <c r="D158" s="17"/>
      <c r="E158" s="17"/>
      <c r="F158" s="17"/>
      <c r="G158" s="17"/>
      <c r="AL158" s="28">
        <v>-0.18</v>
      </c>
      <c r="AM158" s="28">
        <v>-0.13</v>
      </c>
      <c r="AN158" s="28"/>
      <c r="AO158" s="28"/>
    </row>
    <row r="159">
      <c r="D159" s="17"/>
      <c r="E159" s="17"/>
      <c r="F159" s="17"/>
      <c r="G159" s="17"/>
      <c r="AL159" s="28">
        <v>-0.11</v>
      </c>
      <c r="AM159" s="28">
        <v>-0.25</v>
      </c>
      <c r="AN159" s="28"/>
      <c r="AO159" s="28"/>
    </row>
    <row r="160">
      <c r="D160" s="17"/>
      <c r="E160" s="17"/>
      <c r="F160" s="17"/>
      <c r="G160" s="17"/>
      <c r="AL160" s="28">
        <v>-0.21</v>
      </c>
      <c r="AM160" s="28">
        <v>-0.26</v>
      </c>
      <c r="AN160" s="28"/>
      <c r="AO160" s="28"/>
    </row>
    <row r="161">
      <c r="D161" s="17"/>
      <c r="E161" s="17"/>
      <c r="F161" s="17"/>
      <c r="G161" s="17"/>
      <c r="AL161" s="28">
        <v>-0.26</v>
      </c>
      <c r="AM161" s="28">
        <v>-0.39</v>
      </c>
      <c r="AN161" s="28"/>
      <c r="AO161" s="28"/>
    </row>
    <row r="162">
      <c r="D162" s="17"/>
      <c r="E162" s="17"/>
      <c r="F162" s="17"/>
      <c r="G162" s="17"/>
      <c r="AL162" s="28">
        <v>-0.03</v>
      </c>
      <c r="AM162" s="28">
        <v>-0.19</v>
      </c>
      <c r="AN162" s="28"/>
      <c r="AO162" s="28"/>
    </row>
    <row r="163">
      <c r="D163" s="17"/>
      <c r="E163" s="17"/>
      <c r="F163" s="17"/>
      <c r="G163" s="17"/>
      <c r="AL163" s="28">
        <v>-0.03</v>
      </c>
      <c r="AM163" s="28">
        <v>-0.27</v>
      </c>
      <c r="AN163" s="28"/>
      <c r="AO163" s="28"/>
    </row>
    <row r="164">
      <c r="D164" s="17"/>
      <c r="E164" s="17"/>
      <c r="F164" s="17"/>
      <c r="G164" s="17"/>
      <c r="AL164" s="28">
        <v>-0.01</v>
      </c>
      <c r="AM164" s="28">
        <v>-0.3</v>
      </c>
      <c r="AN164" s="28"/>
      <c r="AO164" s="28"/>
    </row>
    <row r="165">
      <c r="D165" s="17"/>
      <c r="E165" s="17"/>
      <c r="F165" s="17"/>
      <c r="G165" s="17"/>
      <c r="AL165" s="28">
        <v>-0.33</v>
      </c>
      <c r="AM165" s="28">
        <v>-0.27</v>
      </c>
      <c r="AN165" s="28"/>
      <c r="AO165" s="28"/>
    </row>
    <row r="166">
      <c r="D166" s="17"/>
      <c r="E166" s="17"/>
      <c r="F166" s="17"/>
      <c r="G166" s="17"/>
      <c r="AL166" s="28">
        <v>-0.08</v>
      </c>
      <c r="AM166" s="28">
        <v>-0.09</v>
      </c>
      <c r="AN166" s="28"/>
      <c r="AO166" s="28"/>
    </row>
    <row r="167">
      <c r="D167" s="17"/>
      <c r="E167" s="17"/>
      <c r="F167" s="17"/>
      <c r="G167" s="17"/>
      <c r="AL167" s="28">
        <v>-0.17</v>
      </c>
      <c r="AM167" s="28">
        <v>-0.3</v>
      </c>
      <c r="AN167" s="28"/>
      <c r="AO167" s="28"/>
    </row>
    <row r="168">
      <c r="D168" s="17"/>
      <c r="E168" s="17"/>
      <c r="F168" s="17"/>
      <c r="G168" s="17"/>
      <c r="AL168" s="28">
        <v>-0.21</v>
      </c>
      <c r="AM168" s="28">
        <v>-0.01</v>
      </c>
      <c r="AN168" s="28"/>
      <c r="AO168" s="28"/>
    </row>
    <row r="169">
      <c r="D169" s="17"/>
      <c r="E169" s="17"/>
      <c r="F169" s="17"/>
      <c r="G169" s="17"/>
      <c r="AL169" s="28">
        <v>-0.26</v>
      </c>
      <c r="AM169" s="28">
        <v>-0.19</v>
      </c>
      <c r="AN169" s="28"/>
      <c r="AO169" s="28"/>
    </row>
    <row r="170">
      <c r="D170" s="17"/>
      <c r="E170" s="17"/>
      <c r="F170" s="17"/>
      <c r="G170" s="17"/>
      <c r="AL170" s="28">
        <v>-0.07</v>
      </c>
      <c r="AM170" s="28">
        <v>0.08</v>
      </c>
      <c r="AN170" s="28"/>
      <c r="AO170" s="28"/>
    </row>
    <row r="171">
      <c r="D171" s="17"/>
      <c r="E171" s="17"/>
      <c r="F171" s="17"/>
      <c r="G171" s="17"/>
      <c r="AL171" s="28">
        <v>-0.15</v>
      </c>
      <c r="AM171" s="28">
        <v>-0.11</v>
      </c>
      <c r="AN171" s="28"/>
      <c r="AO171" s="28"/>
    </row>
    <row r="172">
      <c r="D172" s="17"/>
      <c r="E172" s="17"/>
      <c r="F172" s="17"/>
      <c r="G172" s="17"/>
      <c r="AL172" s="28">
        <v>-0.1</v>
      </c>
      <c r="AM172" s="28">
        <v>-0.28</v>
      </c>
      <c r="AN172" s="28"/>
      <c r="AO172" s="28"/>
    </row>
    <row r="173">
      <c r="D173" s="17"/>
      <c r="E173" s="17"/>
      <c r="F173" s="17"/>
      <c r="G173" s="17"/>
      <c r="AL173" s="28">
        <v>-0.09</v>
      </c>
      <c r="AM173" s="28">
        <v>-0.22</v>
      </c>
      <c r="AN173" s="28"/>
      <c r="AO173" s="28"/>
    </row>
    <row r="174">
      <c r="D174" s="17"/>
      <c r="E174" s="17"/>
      <c r="F174" s="17"/>
      <c r="G174" s="17"/>
      <c r="AL174" s="28">
        <v>-0.04</v>
      </c>
      <c r="AM174" s="28">
        <v>-0.04</v>
      </c>
      <c r="AN174" s="28"/>
      <c r="AO174" s="28"/>
    </row>
    <row r="175">
      <c r="D175" s="17"/>
      <c r="E175" s="17"/>
      <c r="F175" s="17"/>
      <c r="G175" s="17"/>
      <c r="AL175" s="28">
        <v>-0.15</v>
      </c>
      <c r="AM175" s="28">
        <v>-0.12</v>
      </c>
      <c r="AN175" s="28"/>
      <c r="AO175" s="28"/>
    </row>
    <row r="176">
      <c r="D176" s="17"/>
      <c r="E176" s="17"/>
      <c r="F176" s="17"/>
      <c r="G176" s="17"/>
      <c r="AL176" s="28">
        <v>-0.03</v>
      </c>
      <c r="AM176" s="28">
        <v>0.08</v>
      </c>
      <c r="AN176" s="28"/>
      <c r="AO176" s="28"/>
    </row>
    <row r="177">
      <c r="D177" s="17"/>
      <c r="E177" s="17"/>
      <c r="F177" s="17"/>
      <c r="G177" s="17"/>
      <c r="AL177" s="28">
        <v>0.06</v>
      </c>
      <c r="AM177" s="28">
        <v>0.04</v>
      </c>
      <c r="AN177" s="28"/>
      <c r="AO177" s="28"/>
    </row>
    <row r="178">
      <c r="D178" s="17"/>
      <c r="E178" s="17"/>
      <c r="F178" s="17"/>
      <c r="G178" s="17"/>
      <c r="AL178" s="28">
        <v>-0.1</v>
      </c>
      <c r="AM178" s="28">
        <v>-0.09</v>
      </c>
      <c r="AN178" s="28"/>
      <c r="AO178" s="28"/>
    </row>
    <row r="179">
      <c r="D179" s="17"/>
      <c r="E179" s="17"/>
      <c r="F179" s="17"/>
      <c r="G179" s="17"/>
      <c r="AL179" s="28">
        <v>-0.08</v>
      </c>
      <c r="AM179" s="28">
        <v>-0.33</v>
      </c>
      <c r="AN179" s="28"/>
      <c r="AO179" s="28"/>
    </row>
    <row r="180">
      <c r="D180" s="17"/>
      <c r="E180" s="17"/>
      <c r="F180" s="17"/>
      <c r="G180" s="17"/>
      <c r="AL180" s="28">
        <v>-0.05</v>
      </c>
      <c r="AM180" s="28">
        <v>-0.2</v>
      </c>
      <c r="AN180" s="28"/>
      <c r="AO180" s="28"/>
    </row>
    <row r="181">
      <c r="D181" s="17"/>
      <c r="E181" s="17"/>
      <c r="F181" s="17"/>
      <c r="G181" s="17"/>
      <c r="AL181" s="28">
        <v>0.01</v>
      </c>
      <c r="AM181" s="28">
        <v>-0.08</v>
      </c>
      <c r="AN181" s="28"/>
      <c r="AO181" s="28"/>
    </row>
    <row r="182">
      <c r="D182" s="17"/>
      <c r="E182" s="17"/>
      <c r="F182" s="17"/>
      <c r="G182" s="17"/>
      <c r="AL182" s="28">
        <v>-0.12</v>
      </c>
      <c r="AM182" s="28">
        <v>-0.02</v>
      </c>
      <c r="AN182" s="28"/>
      <c r="AO182" s="28"/>
    </row>
    <row r="183">
      <c r="D183" s="17"/>
      <c r="E183" s="17"/>
      <c r="F183" s="17"/>
      <c r="G183" s="17"/>
      <c r="AL183" s="28">
        <v>-0.24</v>
      </c>
      <c r="AM183" s="28">
        <v>-0.15</v>
      </c>
      <c r="AN183" s="28"/>
      <c r="AO183" s="28"/>
    </row>
    <row r="184">
      <c r="D184" s="17"/>
      <c r="E184" s="17"/>
      <c r="F184" s="17"/>
      <c r="G184" s="17"/>
      <c r="AL184" s="28">
        <v>-0.15</v>
      </c>
      <c r="AM184" s="28">
        <v>-0.27</v>
      </c>
      <c r="AN184" s="28"/>
      <c r="AO184" s="28"/>
    </row>
    <row r="185">
      <c r="D185" s="17"/>
      <c r="E185" s="17"/>
      <c r="F185" s="17"/>
      <c r="G185" s="17"/>
      <c r="AL185" s="28">
        <v>-0.24</v>
      </c>
      <c r="AM185" s="28">
        <v>-0.4</v>
      </c>
      <c r="AN185" s="28"/>
      <c r="AO185" s="28"/>
    </row>
    <row r="186">
      <c r="D186" s="17"/>
      <c r="E186" s="17"/>
      <c r="F186" s="17"/>
      <c r="G186" s="17"/>
      <c r="AL186" s="28">
        <v>0.13</v>
      </c>
      <c r="AM186" s="28">
        <v>-0.04</v>
      </c>
      <c r="AN186" s="28"/>
      <c r="AO186" s="28"/>
    </row>
    <row r="187">
      <c r="D187" s="17"/>
      <c r="E187" s="17"/>
      <c r="F187" s="17"/>
      <c r="G187" s="17"/>
      <c r="AL187" s="28">
        <v>-0.13</v>
      </c>
      <c r="AM187" s="28">
        <v>-0.27</v>
      </c>
      <c r="AN187" s="28"/>
      <c r="AO187" s="28"/>
    </row>
    <row r="188">
      <c r="D188" s="17"/>
      <c r="E188" s="17"/>
      <c r="F188" s="17"/>
      <c r="G188" s="17"/>
      <c r="AL188" s="28">
        <v>-0.08</v>
      </c>
      <c r="AM188" s="28">
        <v>-0.22</v>
      </c>
      <c r="AN188" s="28"/>
      <c r="AO188" s="28"/>
    </row>
    <row r="189">
      <c r="D189" s="17"/>
      <c r="E189" s="17"/>
      <c r="F189" s="17"/>
      <c r="G189" s="17"/>
      <c r="AL189" s="28">
        <v>-0.22</v>
      </c>
      <c r="AM189" s="28">
        <v>-0.22</v>
      </c>
      <c r="AN189" s="28"/>
      <c r="AO189" s="28"/>
    </row>
    <row r="190">
      <c r="D190" s="17"/>
      <c r="E190" s="17"/>
      <c r="F190" s="17"/>
      <c r="G190" s="17"/>
      <c r="AL190" s="28">
        <v>-0.09</v>
      </c>
      <c r="AM190" s="28">
        <v>-0.36</v>
      </c>
      <c r="AN190" s="28"/>
      <c r="AO190" s="28"/>
    </row>
    <row r="191">
      <c r="D191" s="17"/>
      <c r="E191" s="17"/>
      <c r="F191" s="17"/>
      <c r="G191" s="17"/>
      <c r="AL191" s="28">
        <v>-0.21</v>
      </c>
      <c r="AM191" s="28">
        <v>-0.4</v>
      </c>
      <c r="AN191" s="28"/>
      <c r="AO191" s="28"/>
    </row>
    <row r="192">
      <c r="D192" s="17"/>
      <c r="E192" s="17"/>
      <c r="F192" s="17"/>
      <c r="G192" s="17"/>
      <c r="AL192" s="28">
        <v>-0.15</v>
      </c>
      <c r="AM192" s="28">
        <v>-0.27</v>
      </c>
      <c r="AN192" s="28"/>
      <c r="AO192" s="28"/>
    </row>
    <row r="193">
      <c r="D193" s="17"/>
      <c r="E193" s="17"/>
      <c r="F193" s="17"/>
      <c r="G193" s="17"/>
      <c r="AL193" s="28">
        <v>-0.06</v>
      </c>
      <c r="AM193" s="28">
        <v>-0.22</v>
      </c>
      <c r="AN193" s="28"/>
      <c r="AO193" s="28"/>
    </row>
    <row r="194">
      <c r="D194" s="17"/>
      <c r="E194" s="17"/>
      <c r="F194" s="17"/>
      <c r="G194" s="17"/>
      <c r="AL194" s="28">
        <v>0.08</v>
      </c>
      <c r="AM194" s="28">
        <v>-0.32</v>
      </c>
      <c r="AN194" s="28"/>
      <c r="AO194" s="28"/>
    </row>
    <row r="195">
      <c r="D195" s="17"/>
      <c r="E195" s="17"/>
      <c r="F195" s="17"/>
      <c r="G195" s="17"/>
      <c r="AL195" s="28">
        <v>-0.12</v>
      </c>
      <c r="AM195" s="28">
        <v>-0.12</v>
      </c>
      <c r="AN195" s="28"/>
      <c r="AO195" s="28"/>
    </row>
    <row r="196">
      <c r="D196" s="17"/>
      <c r="E196" s="17"/>
      <c r="F196" s="17"/>
      <c r="G196" s="17"/>
      <c r="AL196" s="28">
        <v>-0.05</v>
      </c>
      <c r="AM196" s="28">
        <v>-0.23</v>
      </c>
      <c r="AN196" s="28"/>
      <c r="AO196" s="28"/>
    </row>
    <row r="197">
      <c r="D197" s="17"/>
      <c r="E197" s="17"/>
      <c r="F197" s="17"/>
      <c r="G197" s="17"/>
      <c r="AL197" s="28">
        <v>-0.12</v>
      </c>
      <c r="AM197" s="28">
        <v>-0.33</v>
      </c>
      <c r="AN197" s="28"/>
      <c r="AO197" s="28"/>
    </row>
    <row r="198">
      <c r="D198" s="17"/>
      <c r="E198" s="17"/>
      <c r="F198" s="17"/>
      <c r="G198" s="17"/>
      <c r="AL198" s="28">
        <v>-0.14</v>
      </c>
      <c r="AM198" s="28">
        <v>-0.01</v>
      </c>
      <c r="AN198" s="28"/>
      <c r="AO198" s="28"/>
    </row>
    <row r="199">
      <c r="D199" s="17"/>
      <c r="E199" s="17"/>
      <c r="F199" s="17"/>
      <c r="G199" s="17"/>
      <c r="AL199" s="28">
        <v>-0.23</v>
      </c>
      <c r="AM199" s="28">
        <v>-0.11</v>
      </c>
      <c r="AN199" s="28"/>
      <c r="AO199" s="28"/>
    </row>
    <row r="200">
      <c r="D200" s="17"/>
      <c r="E200" s="17"/>
      <c r="F200" s="17"/>
      <c r="G200" s="17"/>
      <c r="AL200" s="28">
        <v>-0.26</v>
      </c>
      <c r="AM200" s="28">
        <v>-0.14</v>
      </c>
      <c r="AN200" s="28"/>
      <c r="AO200" s="28"/>
    </row>
    <row r="201">
      <c r="D201" s="17"/>
      <c r="E201" s="17"/>
      <c r="F201" s="17"/>
      <c r="G201" s="17"/>
      <c r="AL201" s="28">
        <v>-0.29</v>
      </c>
      <c r="AM201" s="28">
        <v>-0.1</v>
      </c>
      <c r="AN201" s="28"/>
      <c r="AO201" s="28"/>
    </row>
    <row r="202">
      <c r="D202" s="17"/>
      <c r="E202" s="17"/>
      <c r="F202" s="17"/>
      <c r="G202" s="17"/>
      <c r="AL202" s="28">
        <v>-0.12</v>
      </c>
      <c r="AM202" s="28">
        <v>-0.21</v>
      </c>
      <c r="AN202" s="28"/>
      <c r="AO202" s="28"/>
    </row>
    <row r="203">
      <c r="D203" s="17"/>
      <c r="E203" s="17"/>
      <c r="F203" s="17"/>
      <c r="G203" s="17"/>
      <c r="AL203" s="28">
        <v>-0.19</v>
      </c>
      <c r="AM203" s="28">
        <v>-0.23</v>
      </c>
      <c r="AN203" s="28"/>
      <c r="AO203" s="28"/>
    </row>
    <row r="204">
      <c r="D204" s="17"/>
      <c r="E204" s="17"/>
      <c r="F204" s="17"/>
      <c r="G204" s="17"/>
      <c r="AL204" s="28">
        <v>-0.2</v>
      </c>
      <c r="AM204" s="28">
        <v>-0.11</v>
      </c>
      <c r="AN204" s="28"/>
      <c r="AO204" s="28"/>
    </row>
    <row r="205">
      <c r="D205" s="17"/>
      <c r="E205" s="17"/>
      <c r="F205" s="17"/>
      <c r="G205" s="17"/>
      <c r="AL205" s="28">
        <v>-0.19</v>
      </c>
      <c r="AM205" s="28">
        <v>-0.14</v>
      </c>
      <c r="AN205" s="28"/>
      <c r="AO205" s="28"/>
    </row>
    <row r="206">
      <c r="D206" s="17"/>
      <c r="E206" s="17"/>
      <c r="F206" s="17"/>
      <c r="G206" s="17"/>
      <c r="AL206" s="28">
        <v>-0.18</v>
      </c>
      <c r="AM206" s="28">
        <v>-0.11</v>
      </c>
      <c r="AN206" s="28"/>
      <c r="AO206" s="28"/>
    </row>
    <row r="207">
      <c r="D207" s="17"/>
      <c r="E207" s="17"/>
      <c r="F207" s="17"/>
      <c r="G207" s="17"/>
      <c r="AL207" s="28">
        <v>-0.05</v>
      </c>
      <c r="AM207" s="28">
        <v>-0.12</v>
      </c>
      <c r="AN207" s="28"/>
      <c r="AO207" s="28"/>
    </row>
    <row r="208">
      <c r="D208" s="17"/>
      <c r="E208" s="17"/>
      <c r="F208" s="17"/>
      <c r="G208" s="17"/>
      <c r="AL208" s="28">
        <v>-0.13</v>
      </c>
      <c r="AM208" s="28">
        <v>0.06</v>
      </c>
      <c r="AN208" s="28"/>
      <c r="AO208" s="28"/>
    </row>
    <row r="209">
      <c r="D209" s="17"/>
      <c r="E209" s="17"/>
      <c r="F209" s="17"/>
      <c r="G209" s="17"/>
      <c r="AL209" s="28">
        <v>-0.25</v>
      </c>
      <c r="AM209" s="28">
        <v>-0.14</v>
      </c>
      <c r="AN209" s="28"/>
      <c r="AO209" s="28"/>
    </row>
    <row r="210">
      <c r="D210" s="17"/>
      <c r="E210" s="17"/>
      <c r="F210" s="17"/>
      <c r="G210" s="17"/>
      <c r="AL210" s="28">
        <v>-0.25</v>
      </c>
      <c r="AM210" s="28">
        <v>-0.17</v>
      </c>
      <c r="AN210" s="28"/>
      <c r="AO210" s="28"/>
    </row>
    <row r="211">
      <c r="D211" s="17"/>
      <c r="E211" s="17"/>
      <c r="F211" s="17"/>
      <c r="G211" s="17"/>
      <c r="AL211" s="28">
        <v>-0.04</v>
      </c>
      <c r="AM211" s="28">
        <v>-0.12</v>
      </c>
      <c r="AN211" s="28"/>
      <c r="AO211" s="28"/>
    </row>
    <row r="212">
      <c r="D212" s="17"/>
      <c r="E212" s="17"/>
      <c r="F212" s="17"/>
      <c r="G212" s="17"/>
      <c r="AL212" s="28">
        <v>-0.18</v>
      </c>
      <c r="AM212" s="28">
        <v>0.01</v>
      </c>
      <c r="AN212" s="28"/>
      <c r="AO212" s="28"/>
    </row>
    <row r="213">
      <c r="D213" s="17"/>
      <c r="E213" s="17"/>
      <c r="F213" s="17"/>
      <c r="G213" s="17"/>
      <c r="AL213" s="28">
        <v>-0.15</v>
      </c>
      <c r="AM213" s="28">
        <v>-0.08</v>
      </c>
      <c r="AN213" s="28"/>
      <c r="AO213" s="28"/>
    </row>
    <row r="214">
      <c r="D214" s="17"/>
      <c r="E214" s="17"/>
      <c r="F214" s="17"/>
      <c r="G214" s="17"/>
      <c r="AL214" s="28">
        <v>-0.14</v>
      </c>
      <c r="AM214" s="28">
        <v>-0.05</v>
      </c>
      <c r="AN214" s="28"/>
      <c r="AO214" s="28"/>
    </row>
    <row r="215">
      <c r="D215" s="17"/>
      <c r="E215" s="17"/>
      <c r="F215" s="17"/>
      <c r="G215" s="17"/>
      <c r="AL215" s="28">
        <v>-0.05</v>
      </c>
      <c r="AM215" s="28">
        <v>-0.29</v>
      </c>
      <c r="AN215" s="28"/>
      <c r="AO215" s="28"/>
    </row>
    <row r="216">
      <c r="D216" s="17"/>
      <c r="E216" s="17"/>
      <c r="F216" s="17"/>
      <c r="G216" s="17"/>
      <c r="AL216" s="28">
        <v>-0.16</v>
      </c>
      <c r="AM216" s="28">
        <v>-0.08</v>
      </c>
      <c r="AN216" s="28"/>
      <c r="AO216" s="28"/>
    </row>
    <row r="217">
      <c r="D217" s="17"/>
      <c r="E217" s="17"/>
      <c r="F217" s="17"/>
      <c r="G217" s="17"/>
      <c r="AL217" s="28">
        <v>-0.24</v>
      </c>
      <c r="AM217" s="28">
        <v>-0.25</v>
      </c>
      <c r="AN217" s="28"/>
      <c r="AO217" s="28"/>
    </row>
    <row r="218">
      <c r="D218" s="17"/>
      <c r="E218" s="17"/>
      <c r="F218" s="17"/>
      <c r="G218" s="17"/>
      <c r="AL218" s="28">
        <v>0.02</v>
      </c>
      <c r="AM218" s="28">
        <v>-0.32</v>
      </c>
      <c r="AN218" s="28"/>
      <c r="AO218" s="28"/>
    </row>
    <row r="219">
      <c r="D219" s="17"/>
      <c r="E219" s="17"/>
      <c r="F219" s="17"/>
      <c r="G219" s="17"/>
      <c r="AL219" s="28">
        <v>0.03</v>
      </c>
      <c r="AM219" s="28">
        <v>-0.26</v>
      </c>
      <c r="AN219" s="28"/>
      <c r="AO219" s="28"/>
    </row>
    <row r="220">
      <c r="D220" s="17"/>
      <c r="E220" s="17"/>
      <c r="F220" s="17"/>
      <c r="G220" s="17"/>
      <c r="AL220" s="28">
        <v>-0.04</v>
      </c>
      <c r="AM220" s="28">
        <v>-0.24</v>
      </c>
      <c r="AN220" s="28"/>
      <c r="AO220" s="28"/>
    </row>
    <row r="221">
      <c r="D221" s="17"/>
      <c r="E221" s="17"/>
      <c r="F221" s="17"/>
      <c r="G221" s="17"/>
      <c r="AL221" s="28">
        <v>-0.24</v>
      </c>
      <c r="AM221" s="28">
        <v>-0.25</v>
      </c>
      <c r="AN221" s="28"/>
      <c r="AO221" s="28"/>
    </row>
    <row r="222">
      <c r="D222" s="17"/>
      <c r="E222" s="17"/>
      <c r="F222" s="17"/>
      <c r="G222" s="17"/>
      <c r="AL222" s="28">
        <v>-0.12</v>
      </c>
      <c r="AM222" s="28">
        <v>-0.25</v>
      </c>
      <c r="AN222" s="28"/>
      <c r="AO222" s="28"/>
    </row>
    <row r="223">
      <c r="D223" s="17"/>
      <c r="E223" s="17"/>
      <c r="F223" s="17"/>
      <c r="G223" s="17"/>
      <c r="AL223" s="28">
        <v>-0.17</v>
      </c>
      <c r="AM223" s="28">
        <v>-0.2</v>
      </c>
      <c r="AN223" s="28"/>
      <c r="AO223" s="28"/>
    </row>
    <row r="224">
      <c r="D224" s="17"/>
      <c r="E224" s="17"/>
      <c r="F224" s="17"/>
      <c r="G224" s="17"/>
      <c r="AL224" s="28">
        <v>-0.08</v>
      </c>
      <c r="AM224" s="28">
        <v>0.0</v>
      </c>
      <c r="AN224" s="28"/>
      <c r="AO224" s="28"/>
    </row>
    <row r="225">
      <c r="D225" s="17"/>
      <c r="E225" s="17"/>
      <c r="F225" s="17"/>
      <c r="G225" s="17"/>
      <c r="AL225" s="28">
        <v>-0.14</v>
      </c>
      <c r="AM225" s="28">
        <v>-0.12</v>
      </c>
      <c r="AN225" s="28"/>
      <c r="AO225" s="28"/>
    </row>
    <row r="226">
      <c r="D226" s="17"/>
      <c r="E226" s="17"/>
      <c r="F226" s="17"/>
      <c r="G226" s="17"/>
      <c r="AL226" s="28">
        <v>0.08</v>
      </c>
      <c r="AM226" s="28">
        <v>-0.22</v>
      </c>
      <c r="AN226" s="28"/>
      <c r="AO226" s="28"/>
    </row>
    <row r="227">
      <c r="D227" s="17"/>
      <c r="E227" s="17"/>
      <c r="F227" s="17"/>
      <c r="G227" s="17"/>
      <c r="AL227" s="28">
        <v>-0.21</v>
      </c>
      <c r="AM227" s="28">
        <v>-0.19</v>
      </c>
      <c r="AN227" s="28"/>
      <c r="AO227" s="28"/>
    </row>
    <row r="228">
      <c r="D228" s="17"/>
      <c r="E228" s="17"/>
      <c r="F228" s="17"/>
      <c r="G228" s="17"/>
      <c r="AL228" s="28">
        <v>-0.16</v>
      </c>
      <c r="AM228" s="28">
        <v>-0.16</v>
      </c>
      <c r="AN228" s="28"/>
      <c r="AO228" s="28"/>
    </row>
    <row r="229">
      <c r="D229" s="17"/>
      <c r="E229" s="17"/>
      <c r="F229" s="17"/>
      <c r="G229" s="17"/>
      <c r="AL229" s="28">
        <v>-0.19</v>
      </c>
      <c r="AM229" s="28">
        <v>-0.33</v>
      </c>
      <c r="AN229" s="28"/>
      <c r="AO229" s="28"/>
    </row>
    <row r="230">
      <c r="D230" s="17"/>
      <c r="E230" s="17"/>
      <c r="F230" s="17"/>
      <c r="G230" s="17"/>
      <c r="AL230" s="28">
        <v>-0.03</v>
      </c>
      <c r="AM230" s="28">
        <v>-0.14</v>
      </c>
      <c r="AN230" s="28"/>
      <c r="AO230" s="28"/>
    </row>
    <row r="231">
      <c r="D231" s="17"/>
      <c r="E231" s="17"/>
      <c r="F231" s="17"/>
      <c r="G231" s="17"/>
      <c r="AL231" s="28">
        <v>-0.09</v>
      </c>
      <c r="AM231" s="28">
        <v>-0.07</v>
      </c>
      <c r="AN231" s="28"/>
      <c r="AO231" s="28"/>
    </row>
    <row r="232">
      <c r="D232" s="17"/>
      <c r="E232" s="17"/>
      <c r="F232" s="17"/>
      <c r="G232" s="17"/>
      <c r="AL232" s="28">
        <v>-0.25</v>
      </c>
      <c r="AM232" s="28">
        <v>-0.16</v>
      </c>
      <c r="AN232" s="28"/>
      <c r="AO232" s="28"/>
    </row>
    <row r="233">
      <c r="D233" s="17"/>
      <c r="E233" s="17"/>
      <c r="F233" s="17"/>
      <c r="G233" s="17"/>
      <c r="AL233" s="28">
        <v>-0.25</v>
      </c>
      <c r="AM233" s="28">
        <v>-0.26</v>
      </c>
      <c r="AN233" s="28"/>
      <c r="AO233" s="28"/>
    </row>
    <row r="234">
      <c r="D234" s="17"/>
      <c r="E234" s="17"/>
      <c r="F234" s="17"/>
      <c r="G234" s="17"/>
      <c r="AL234" s="28">
        <v>0.01</v>
      </c>
      <c r="AM234" s="28">
        <v>0.02</v>
      </c>
      <c r="AN234" s="28"/>
      <c r="AO234" s="28"/>
    </row>
    <row r="235">
      <c r="D235" s="17"/>
      <c r="E235" s="17"/>
      <c r="F235" s="17"/>
      <c r="G235" s="17"/>
      <c r="AL235" s="28">
        <v>0.06</v>
      </c>
      <c r="AM235" s="28">
        <v>-0.09</v>
      </c>
      <c r="AN235" s="28"/>
      <c r="AO235" s="28"/>
    </row>
    <row r="236">
      <c r="D236" s="17"/>
      <c r="E236" s="17"/>
      <c r="F236" s="17"/>
      <c r="G236" s="17"/>
      <c r="AL236" s="28">
        <v>-0.07</v>
      </c>
      <c r="AM236" s="28">
        <v>-0.01</v>
      </c>
      <c r="AN236" s="28"/>
      <c r="AO236" s="28"/>
    </row>
    <row r="237">
      <c r="D237" s="17"/>
      <c r="E237" s="17"/>
      <c r="F237" s="17"/>
      <c r="G237" s="17"/>
      <c r="AL237" s="28">
        <v>-0.2</v>
      </c>
      <c r="AM237" s="28">
        <v>-0.16</v>
      </c>
      <c r="AN237" s="28"/>
      <c r="AO237" s="28"/>
    </row>
    <row r="238">
      <c r="D238" s="17"/>
      <c r="E238" s="17"/>
      <c r="F238" s="17"/>
      <c r="G238" s="17"/>
      <c r="AL238" s="28">
        <v>0.0</v>
      </c>
      <c r="AM238" s="28">
        <v>-0.17</v>
      </c>
      <c r="AN238" s="28"/>
      <c r="AO238" s="28"/>
    </row>
    <row r="239">
      <c r="D239" s="17"/>
      <c r="E239" s="17"/>
      <c r="F239" s="17"/>
      <c r="G239" s="17"/>
      <c r="AL239" s="28">
        <v>-0.39</v>
      </c>
      <c r="AM239" s="28">
        <v>-0.13</v>
      </c>
      <c r="AN239" s="28"/>
      <c r="AO239" s="28"/>
    </row>
    <row r="240">
      <c r="D240" s="17"/>
      <c r="E240" s="17"/>
      <c r="F240" s="17"/>
      <c r="G240" s="17"/>
      <c r="AL240" s="28">
        <v>-0.23</v>
      </c>
      <c r="AM240" s="28">
        <v>-0.14</v>
      </c>
      <c r="AN240" s="28"/>
      <c r="AO240" s="28"/>
    </row>
    <row r="241">
      <c r="D241" s="17"/>
      <c r="E241" s="17"/>
      <c r="F241" s="17"/>
      <c r="G241" s="17"/>
      <c r="AL241" s="28">
        <v>-0.25</v>
      </c>
      <c r="AM241" s="28">
        <v>-0.16</v>
      </c>
      <c r="AN241" s="28"/>
      <c r="AO241" s="28"/>
    </row>
    <row r="242">
      <c r="D242" s="17"/>
      <c r="E242" s="17"/>
      <c r="F242" s="17"/>
      <c r="G242" s="17"/>
      <c r="AL242" s="28">
        <v>-0.09</v>
      </c>
      <c r="AM242" s="28">
        <v>0.01</v>
      </c>
      <c r="AN242" s="28"/>
      <c r="AO242" s="28"/>
    </row>
    <row r="243">
      <c r="D243" s="17"/>
      <c r="E243" s="17"/>
      <c r="F243" s="17"/>
      <c r="G243" s="17"/>
      <c r="AL243" s="28">
        <v>-0.17</v>
      </c>
      <c r="AM243" s="28">
        <v>-0.07</v>
      </c>
      <c r="AN243" s="28"/>
      <c r="AO243" s="28"/>
    </row>
    <row r="244">
      <c r="D244" s="17"/>
      <c r="E244" s="17"/>
      <c r="F244" s="17"/>
      <c r="G244" s="17"/>
      <c r="AL244" s="28">
        <v>-0.19</v>
      </c>
      <c r="AM244" s="28">
        <v>-0.01</v>
      </c>
      <c r="AN244" s="28"/>
      <c r="AO244" s="28"/>
    </row>
    <row r="245">
      <c r="D245" s="17"/>
      <c r="E245" s="17"/>
      <c r="F245" s="17"/>
      <c r="G245" s="17"/>
      <c r="AL245" s="28">
        <v>-0.09</v>
      </c>
      <c r="AM245" s="28">
        <v>-0.01</v>
      </c>
      <c r="AN245" s="28"/>
      <c r="AO245" s="28"/>
    </row>
    <row r="246">
      <c r="D246" s="17"/>
      <c r="E246" s="17"/>
      <c r="F246" s="17"/>
      <c r="G246" s="17"/>
      <c r="AL246" s="28">
        <v>-0.25</v>
      </c>
      <c r="AM246" s="28">
        <v>-0.05</v>
      </c>
      <c r="AN246" s="28"/>
      <c r="AO246" s="28"/>
    </row>
    <row r="247">
      <c r="D247" s="17"/>
      <c r="E247" s="17"/>
      <c r="F247" s="17"/>
      <c r="G247" s="17"/>
      <c r="AL247" s="28">
        <v>-0.31</v>
      </c>
      <c r="AM247" s="28">
        <v>-0.2</v>
      </c>
      <c r="AN247" s="28"/>
      <c r="AO247" s="28"/>
    </row>
    <row r="248">
      <c r="D248" s="17"/>
      <c r="E248" s="17"/>
      <c r="F248" s="17"/>
      <c r="G248" s="17"/>
      <c r="AL248" s="28">
        <v>-0.11</v>
      </c>
      <c r="AM248" s="28">
        <v>0.04</v>
      </c>
      <c r="AN248" s="28"/>
      <c r="AO248" s="28"/>
    </row>
    <row r="249">
      <c r="D249" s="17"/>
      <c r="E249" s="17"/>
      <c r="F249" s="17"/>
      <c r="G249" s="17"/>
      <c r="AL249" s="28">
        <v>-0.28</v>
      </c>
      <c r="AM249" s="28">
        <v>-0.41</v>
      </c>
      <c r="AN249" s="28"/>
      <c r="AO249" s="28"/>
    </row>
    <row r="250">
      <c r="D250" s="17"/>
      <c r="E250" s="17"/>
      <c r="F250" s="17"/>
      <c r="G250" s="17"/>
      <c r="AL250" s="28">
        <v>0.18</v>
      </c>
      <c r="AM250" s="28">
        <v>-0.2</v>
      </c>
      <c r="AN250" s="28"/>
      <c r="AO250" s="28"/>
    </row>
    <row r="251">
      <c r="D251" s="17"/>
      <c r="E251" s="17"/>
      <c r="F251" s="17"/>
      <c r="G251" s="17"/>
      <c r="AL251" s="28">
        <v>0.05</v>
      </c>
      <c r="AM251" s="28">
        <v>-0.24</v>
      </c>
      <c r="AN251" s="28"/>
      <c r="AO251" s="28"/>
    </row>
    <row r="252">
      <c r="D252" s="17"/>
      <c r="E252" s="17"/>
      <c r="F252" s="17"/>
      <c r="G252" s="17"/>
      <c r="AL252" s="28">
        <v>-0.19</v>
      </c>
      <c r="AM252" s="28">
        <v>-0.31</v>
      </c>
      <c r="AN252" s="28"/>
      <c r="AO252" s="28"/>
    </row>
    <row r="253">
      <c r="D253" s="17"/>
      <c r="E253" s="17"/>
      <c r="F253" s="17"/>
      <c r="G253" s="17"/>
      <c r="AL253" s="28">
        <v>-0.28</v>
      </c>
      <c r="AM253" s="28">
        <v>-0.12</v>
      </c>
      <c r="AN253" s="28"/>
      <c r="AO253" s="28"/>
    </row>
    <row r="254">
      <c r="D254" s="17"/>
      <c r="E254" s="17"/>
      <c r="F254" s="17"/>
      <c r="G254" s="17"/>
      <c r="AL254" s="28">
        <v>0.03</v>
      </c>
      <c r="AM254" s="28">
        <v>-0.24</v>
      </c>
      <c r="AN254" s="28"/>
      <c r="AO254" s="28"/>
    </row>
    <row r="255">
      <c r="D255" s="17"/>
      <c r="E255" s="17"/>
      <c r="F255" s="17"/>
      <c r="G255" s="17"/>
      <c r="AL255" s="28">
        <v>-0.19</v>
      </c>
      <c r="AM255" s="28">
        <v>-0.18</v>
      </c>
      <c r="AN255" s="28"/>
      <c r="AO255" s="28"/>
    </row>
    <row r="256">
      <c r="D256" s="17"/>
      <c r="E256" s="17"/>
      <c r="F256" s="17"/>
      <c r="G256" s="17"/>
      <c r="AL256" s="28">
        <v>-0.24</v>
      </c>
      <c r="AM256" s="28">
        <v>0.0</v>
      </c>
      <c r="AN256" s="28"/>
      <c r="AO256" s="28"/>
    </row>
    <row r="257">
      <c r="D257" s="17"/>
      <c r="E257" s="17"/>
      <c r="F257" s="17"/>
      <c r="G257" s="17"/>
      <c r="AL257" s="28">
        <v>-0.13</v>
      </c>
      <c r="AM257" s="28">
        <v>-0.18</v>
      </c>
      <c r="AN257" s="28"/>
      <c r="AO257" s="28"/>
    </row>
    <row r="258">
      <c r="D258" s="17"/>
      <c r="E258" s="17"/>
      <c r="F258" s="17"/>
      <c r="G258" s="17"/>
      <c r="AL258" s="28">
        <v>-0.06</v>
      </c>
      <c r="AM258" s="28">
        <v>-0.26</v>
      </c>
      <c r="AN258" s="28"/>
      <c r="AO258" s="28"/>
    </row>
    <row r="259">
      <c r="D259" s="17"/>
      <c r="E259" s="17"/>
      <c r="F259" s="17"/>
      <c r="G259" s="17"/>
      <c r="AL259" s="28">
        <v>0.15</v>
      </c>
      <c r="AM259" s="28">
        <v>-0.14</v>
      </c>
      <c r="AN259" s="28"/>
      <c r="AO259" s="28"/>
    </row>
    <row r="260">
      <c r="D260" s="17"/>
      <c r="E260" s="17"/>
      <c r="F260" s="17"/>
      <c r="G260" s="17"/>
      <c r="AL260" s="28">
        <v>-0.03</v>
      </c>
      <c r="AM260" s="28">
        <v>-0.18</v>
      </c>
      <c r="AN260" s="28"/>
      <c r="AO260" s="28"/>
    </row>
    <row r="261">
      <c r="D261" s="17"/>
      <c r="E261" s="17"/>
      <c r="F261" s="17"/>
      <c r="G261" s="17"/>
      <c r="AL261" s="28">
        <v>-0.14</v>
      </c>
      <c r="AM261" s="28">
        <v>-0.22</v>
      </c>
      <c r="AN261" s="28"/>
      <c r="AO261" s="28"/>
    </row>
    <row r="262">
      <c r="D262" s="17"/>
      <c r="E262" s="17"/>
      <c r="F262" s="17"/>
      <c r="G262" s="17"/>
      <c r="AL262" s="28">
        <v>-0.11</v>
      </c>
      <c r="AM262" s="28">
        <v>-0.12</v>
      </c>
      <c r="AN262" s="28"/>
      <c r="AO262" s="28"/>
    </row>
    <row r="263">
      <c r="D263" s="17"/>
      <c r="E263" s="17"/>
      <c r="F263" s="17"/>
      <c r="G263" s="17"/>
      <c r="AL263" s="28">
        <v>-0.24</v>
      </c>
      <c r="AM263" s="28">
        <v>-0.22</v>
      </c>
      <c r="AN263" s="28"/>
      <c r="AO263" s="28"/>
    </row>
    <row r="264">
      <c r="D264" s="17"/>
      <c r="E264" s="17"/>
      <c r="F264" s="17"/>
      <c r="G264" s="17"/>
      <c r="AL264" s="28">
        <v>-0.14</v>
      </c>
      <c r="AM264" s="28">
        <v>-0.14</v>
      </c>
      <c r="AN264" s="28"/>
      <c r="AO264" s="28"/>
    </row>
    <row r="265">
      <c r="D265" s="17"/>
      <c r="E265" s="17"/>
      <c r="F265" s="17"/>
      <c r="G265" s="17"/>
      <c r="AL265" s="28">
        <v>-0.22</v>
      </c>
      <c r="AM265" s="28">
        <v>-0.23</v>
      </c>
      <c r="AN265" s="28"/>
      <c r="AO265" s="28"/>
    </row>
    <row r="266">
      <c r="D266" s="17"/>
      <c r="E266" s="17"/>
      <c r="F266" s="17"/>
      <c r="G266" s="17"/>
      <c r="AL266" s="28">
        <v>-0.1</v>
      </c>
      <c r="AM266" s="28">
        <v>-0.25</v>
      </c>
      <c r="AN266" s="28"/>
      <c r="AO266" s="28"/>
    </row>
    <row r="267">
      <c r="D267" s="17"/>
      <c r="E267" s="17"/>
      <c r="F267" s="17"/>
      <c r="G267" s="17"/>
      <c r="AL267" s="28">
        <v>-0.16</v>
      </c>
      <c r="AM267" s="28">
        <v>-0.27</v>
      </c>
      <c r="AN267" s="28"/>
      <c r="AO267" s="28"/>
    </row>
    <row r="268">
      <c r="D268" s="17"/>
      <c r="E268" s="17"/>
      <c r="F268" s="17"/>
      <c r="G268" s="17"/>
      <c r="AL268" s="28">
        <v>-0.03</v>
      </c>
      <c r="AM268" s="28">
        <v>-0.16</v>
      </c>
      <c r="AN268" s="28"/>
      <c r="AO268" s="28"/>
    </row>
    <row r="269">
      <c r="D269" s="17"/>
      <c r="E269" s="17"/>
      <c r="F269" s="17"/>
      <c r="G269" s="17"/>
      <c r="AL269" s="28">
        <v>-0.07</v>
      </c>
      <c r="AM269" s="28">
        <v>-0.3</v>
      </c>
      <c r="AN269" s="28"/>
      <c r="AO269" s="28"/>
    </row>
    <row r="270">
      <c r="D270" s="17"/>
      <c r="E270" s="17"/>
      <c r="F270" s="17"/>
      <c r="G270" s="17"/>
      <c r="AL270" s="28">
        <v>-0.13</v>
      </c>
      <c r="AM270" s="28">
        <v>-0.15</v>
      </c>
      <c r="AN270" s="28"/>
      <c r="AO270" s="28"/>
    </row>
    <row r="271">
      <c r="D271" s="17"/>
      <c r="E271" s="17"/>
      <c r="F271" s="17"/>
      <c r="G271" s="17"/>
      <c r="AL271" s="28">
        <v>-0.13</v>
      </c>
      <c r="AM271" s="28">
        <v>-0.22</v>
      </c>
      <c r="AN271" s="28"/>
      <c r="AO271" s="28"/>
    </row>
    <row r="272">
      <c r="D272" s="17"/>
      <c r="E272" s="17"/>
      <c r="F272" s="17"/>
      <c r="G272" s="17"/>
      <c r="AL272" s="28">
        <v>-0.14</v>
      </c>
      <c r="AM272" s="28">
        <v>-0.02</v>
      </c>
      <c r="AN272" s="28"/>
      <c r="AO272" s="28"/>
    </row>
    <row r="273">
      <c r="D273" s="17"/>
      <c r="E273" s="17"/>
      <c r="F273" s="17"/>
      <c r="G273" s="17"/>
      <c r="AL273" s="28">
        <v>-0.22</v>
      </c>
      <c r="AM273" s="28">
        <v>0.02</v>
      </c>
      <c r="AN273" s="28"/>
      <c r="AO273" s="28"/>
    </row>
    <row r="274">
      <c r="D274" s="17"/>
      <c r="E274" s="17"/>
      <c r="F274" s="17"/>
      <c r="G274" s="17"/>
      <c r="AL274" s="28">
        <v>0.09</v>
      </c>
      <c r="AM274" s="28">
        <v>-0.08</v>
      </c>
      <c r="AN274" s="28"/>
      <c r="AO274" s="28"/>
    </row>
    <row r="275">
      <c r="D275" s="17"/>
      <c r="E275" s="17"/>
      <c r="F275" s="17"/>
      <c r="G275" s="17"/>
      <c r="AL275" s="28">
        <v>0.05</v>
      </c>
      <c r="AM275" s="28">
        <v>-0.29</v>
      </c>
      <c r="AN275" s="28"/>
      <c r="AO275" s="28"/>
    </row>
    <row r="276">
      <c r="D276" s="17"/>
      <c r="E276" s="17"/>
      <c r="F276" s="17"/>
      <c r="G276" s="17"/>
      <c r="AL276" s="28">
        <v>-0.04</v>
      </c>
      <c r="AM276" s="28">
        <v>0.02</v>
      </c>
      <c r="AN276" s="28"/>
      <c r="AO276" s="28"/>
    </row>
    <row r="277">
      <c r="D277" s="17"/>
      <c r="E277" s="17"/>
      <c r="F277" s="17"/>
      <c r="G277" s="17"/>
      <c r="AL277" s="28">
        <v>0.05</v>
      </c>
      <c r="AM277" s="28">
        <v>-0.28</v>
      </c>
      <c r="AN277" s="28"/>
      <c r="AO277" s="28"/>
    </row>
    <row r="278">
      <c r="D278" s="17"/>
      <c r="E278" s="17"/>
      <c r="F278" s="17"/>
      <c r="G278" s="17"/>
      <c r="AL278" s="28">
        <v>-0.37</v>
      </c>
      <c r="AM278" s="28">
        <v>-0.3</v>
      </c>
      <c r="AN278" s="28"/>
      <c r="AO278" s="28"/>
    </row>
    <row r="279">
      <c r="D279" s="17"/>
      <c r="E279" s="17"/>
      <c r="F279" s="17"/>
      <c r="G279" s="17"/>
      <c r="AL279" s="28">
        <v>-0.21</v>
      </c>
      <c r="AM279" s="28">
        <v>-0.3</v>
      </c>
      <c r="AN279" s="28"/>
      <c r="AO279" s="28"/>
    </row>
    <row r="280">
      <c r="D280" s="17"/>
      <c r="E280" s="17"/>
      <c r="F280" s="17"/>
      <c r="G280" s="17"/>
      <c r="AL280" s="28">
        <v>-0.2</v>
      </c>
      <c r="AM280" s="28">
        <v>0.03</v>
      </c>
      <c r="AN280" s="28"/>
      <c r="AO280" s="28"/>
    </row>
    <row r="281">
      <c r="D281" s="17"/>
      <c r="E281" s="17"/>
      <c r="F281" s="17"/>
      <c r="G281" s="17"/>
      <c r="AL281" s="28">
        <v>-0.08</v>
      </c>
      <c r="AM281" s="28">
        <v>-0.38</v>
      </c>
      <c r="AN281" s="28"/>
      <c r="AO281" s="28"/>
    </row>
    <row r="282">
      <c r="D282" s="17"/>
      <c r="E282" s="17"/>
      <c r="F282" s="17"/>
      <c r="G282" s="17"/>
      <c r="AL282" s="28">
        <v>-0.09</v>
      </c>
      <c r="AM282" s="28">
        <v>-0.43</v>
      </c>
      <c r="AN282" s="28"/>
      <c r="AO282" s="28"/>
    </row>
    <row r="283">
      <c r="D283" s="17"/>
      <c r="E283" s="17"/>
      <c r="F283" s="17"/>
      <c r="G283" s="17"/>
      <c r="AL283" s="28">
        <v>-0.26</v>
      </c>
      <c r="AM283" s="28">
        <v>-0.35</v>
      </c>
      <c r="AN283" s="28"/>
      <c r="AO283" s="28"/>
    </row>
    <row r="284">
      <c r="D284" s="17"/>
      <c r="E284" s="17"/>
      <c r="F284" s="17"/>
      <c r="G284" s="17"/>
      <c r="AL284" s="28">
        <v>-0.12</v>
      </c>
      <c r="AM284" s="28">
        <v>-0.26</v>
      </c>
      <c r="AN284" s="28"/>
      <c r="AO284" s="28"/>
    </row>
    <row r="285">
      <c r="D285" s="17"/>
      <c r="E285" s="17"/>
      <c r="F285" s="17"/>
      <c r="G285" s="17"/>
      <c r="AL285" s="28">
        <v>-0.14</v>
      </c>
      <c r="AM285" s="28">
        <v>-0.27</v>
      </c>
      <c r="AN285" s="28"/>
      <c r="AO285" s="28"/>
    </row>
    <row r="286">
      <c r="D286" s="17"/>
      <c r="E286" s="17"/>
      <c r="F286" s="17"/>
      <c r="G286" s="17"/>
      <c r="AL286" s="28">
        <v>-0.2</v>
      </c>
      <c r="AM286" s="28">
        <v>-0.34</v>
      </c>
      <c r="AN286" s="28"/>
      <c r="AO286" s="28"/>
    </row>
    <row r="287">
      <c r="D287" s="17"/>
      <c r="E287" s="17"/>
      <c r="F287" s="17"/>
      <c r="G287" s="17"/>
      <c r="AL287" s="28">
        <v>-0.13</v>
      </c>
      <c r="AM287" s="28">
        <v>-0.37</v>
      </c>
      <c r="AN287" s="28"/>
      <c r="AO287" s="28"/>
    </row>
    <row r="288">
      <c r="D288" s="17"/>
      <c r="E288" s="17"/>
      <c r="F288" s="17"/>
      <c r="G288" s="17"/>
      <c r="AL288" s="28">
        <v>-0.12</v>
      </c>
      <c r="AM288" s="28">
        <v>-0.3</v>
      </c>
      <c r="AN288" s="28"/>
      <c r="AO288" s="28"/>
    </row>
    <row r="289">
      <c r="D289" s="17"/>
      <c r="E289" s="17"/>
      <c r="F289" s="17"/>
      <c r="G289" s="17"/>
      <c r="AL289" s="28">
        <v>-0.13</v>
      </c>
      <c r="AM289" s="28">
        <v>-0.24</v>
      </c>
      <c r="AN289" s="28"/>
      <c r="AO289" s="28"/>
    </row>
    <row r="290">
      <c r="D290" s="17"/>
      <c r="E290" s="17"/>
      <c r="F290" s="17"/>
      <c r="G290" s="17"/>
      <c r="AL290" s="28">
        <v>-0.15</v>
      </c>
      <c r="AM290" s="28">
        <v>-0.24</v>
      </c>
      <c r="AN290" s="28"/>
      <c r="AO290" s="28"/>
    </row>
    <row r="291">
      <c r="D291" s="17"/>
      <c r="E291" s="17"/>
      <c r="F291" s="17"/>
      <c r="G291" s="17"/>
      <c r="AL291" s="28">
        <v>-0.16</v>
      </c>
      <c r="AM291" s="28">
        <v>-0.37</v>
      </c>
      <c r="AN291" s="28"/>
      <c r="AO291" s="28"/>
    </row>
    <row r="292">
      <c r="D292" s="17"/>
      <c r="E292" s="17"/>
      <c r="F292" s="17"/>
      <c r="G292" s="17"/>
      <c r="AL292" s="28">
        <v>0.01</v>
      </c>
      <c r="AM292" s="28">
        <v>-0.3</v>
      </c>
      <c r="AN292" s="28"/>
      <c r="AO292" s="28"/>
    </row>
    <row r="293">
      <c r="D293" s="17"/>
      <c r="E293" s="17"/>
      <c r="F293" s="17"/>
      <c r="G293" s="17"/>
      <c r="AL293" s="28">
        <v>-0.05</v>
      </c>
      <c r="AM293" s="28">
        <v>-0.36</v>
      </c>
      <c r="AN293" s="28"/>
      <c r="AO293" s="28"/>
    </row>
    <row r="294">
      <c r="D294" s="17"/>
      <c r="E294" s="17"/>
      <c r="F294" s="17"/>
      <c r="G294" s="17"/>
      <c r="AL294" s="28">
        <v>0.09</v>
      </c>
      <c r="AM294" s="28">
        <v>-0.09</v>
      </c>
      <c r="AN294" s="28"/>
      <c r="AO294" s="28"/>
    </row>
    <row r="295">
      <c r="D295" s="17"/>
      <c r="E295" s="17"/>
      <c r="F295" s="17"/>
      <c r="G295" s="17"/>
      <c r="AL295" s="28">
        <v>-0.4</v>
      </c>
      <c r="AM295" s="28">
        <v>-0.04</v>
      </c>
      <c r="AN295" s="28"/>
      <c r="AO295" s="28"/>
    </row>
    <row r="296">
      <c r="D296" s="17"/>
      <c r="E296" s="17"/>
      <c r="F296" s="17"/>
      <c r="G296" s="17"/>
      <c r="AL296" s="28">
        <v>-0.12</v>
      </c>
      <c r="AM296" s="28">
        <v>-0.06</v>
      </c>
      <c r="AN296" s="28"/>
      <c r="AO296" s="28"/>
    </row>
    <row r="297">
      <c r="D297" s="17"/>
      <c r="E297" s="17"/>
      <c r="F297" s="17"/>
      <c r="G297" s="17"/>
      <c r="AL297" s="28">
        <v>-0.22</v>
      </c>
      <c r="AM297" s="28">
        <v>-0.03</v>
      </c>
      <c r="AN297" s="28"/>
      <c r="AO297" s="28"/>
    </row>
    <row r="298">
      <c r="D298" s="17"/>
      <c r="E298" s="17"/>
      <c r="F298" s="17"/>
      <c r="G298" s="17"/>
      <c r="AL298" s="28">
        <v>0.04</v>
      </c>
      <c r="AM298" s="28">
        <v>-0.2</v>
      </c>
      <c r="AN298" s="28"/>
      <c r="AO298" s="28"/>
    </row>
    <row r="299">
      <c r="D299" s="17"/>
      <c r="E299" s="17"/>
      <c r="F299" s="17"/>
      <c r="G299" s="17"/>
      <c r="AL299" s="28">
        <v>0.04</v>
      </c>
      <c r="AM299" s="28">
        <v>-0.33</v>
      </c>
      <c r="AN299" s="28"/>
      <c r="AO299" s="28"/>
    </row>
    <row r="300">
      <c r="D300" s="17"/>
      <c r="E300" s="17"/>
      <c r="F300" s="17"/>
      <c r="G300" s="17"/>
      <c r="AL300" s="28">
        <v>-0.06</v>
      </c>
      <c r="AM300" s="28">
        <v>-0.11</v>
      </c>
      <c r="AN300" s="28"/>
      <c r="AO300" s="28"/>
    </row>
    <row r="301">
      <c r="D301" s="17"/>
      <c r="E301" s="17"/>
      <c r="F301" s="17"/>
      <c r="G301" s="17"/>
      <c r="AL301" s="28">
        <v>-0.04</v>
      </c>
      <c r="AM301" s="28">
        <v>-0.04</v>
      </c>
      <c r="AN301" s="28"/>
      <c r="AO301" s="28"/>
    </row>
    <row r="302">
      <c r="D302" s="17"/>
      <c r="E302" s="17"/>
      <c r="F302" s="17"/>
      <c r="G302" s="17"/>
      <c r="AL302" s="28">
        <v>-0.23</v>
      </c>
      <c r="AM302" s="28">
        <v>-0.11</v>
      </c>
      <c r="AN302" s="28"/>
      <c r="AO302" s="28"/>
    </row>
    <row r="303">
      <c r="D303" s="17"/>
      <c r="E303" s="17"/>
      <c r="F303" s="17"/>
      <c r="G303" s="17"/>
      <c r="AL303" s="28">
        <v>-0.39</v>
      </c>
      <c r="AM303" s="28">
        <v>-0.16</v>
      </c>
      <c r="AN303" s="28"/>
      <c r="AO303" s="28"/>
    </row>
    <row r="304">
      <c r="D304" s="17"/>
      <c r="E304" s="17"/>
      <c r="F304" s="17"/>
      <c r="G304" s="17"/>
      <c r="AL304" s="28">
        <v>-0.09</v>
      </c>
      <c r="AM304" s="28">
        <v>-0.2</v>
      </c>
      <c r="AN304" s="28"/>
      <c r="AO304" s="28"/>
    </row>
    <row r="305">
      <c r="D305" s="17"/>
      <c r="E305" s="17"/>
      <c r="F305" s="17"/>
      <c r="G305" s="17"/>
      <c r="AL305" s="28">
        <v>-0.15</v>
      </c>
      <c r="AM305" s="28">
        <v>-0.32</v>
      </c>
      <c r="AN305" s="28"/>
      <c r="AO305" s="28"/>
    </row>
    <row r="306">
      <c r="D306" s="17"/>
      <c r="E306" s="17"/>
      <c r="F306" s="17"/>
      <c r="G306" s="17"/>
      <c r="AL306" s="28">
        <v>-0.04</v>
      </c>
      <c r="AM306" s="28">
        <v>-0.16</v>
      </c>
      <c r="AN306" s="28"/>
      <c r="AO306" s="28"/>
    </row>
    <row r="307">
      <c r="D307" s="17"/>
      <c r="E307" s="17"/>
      <c r="F307" s="17"/>
      <c r="G307" s="17"/>
      <c r="AL307" s="28">
        <v>0.05</v>
      </c>
      <c r="AM307" s="28">
        <v>-0.08</v>
      </c>
      <c r="AN307" s="28"/>
      <c r="AO307" s="28"/>
    </row>
    <row r="308">
      <c r="D308" s="17"/>
      <c r="E308" s="17"/>
      <c r="F308" s="17"/>
      <c r="G308" s="17"/>
      <c r="AL308" s="28">
        <v>-0.08</v>
      </c>
      <c r="AM308" s="28">
        <v>-0.17</v>
      </c>
      <c r="AN308" s="28"/>
      <c r="AO308" s="28"/>
    </row>
    <row r="309">
      <c r="D309" s="17"/>
      <c r="E309" s="17"/>
      <c r="F309" s="17"/>
      <c r="G309" s="17"/>
      <c r="AL309" s="28">
        <v>-0.08</v>
      </c>
      <c r="AM309" s="28">
        <v>-0.28</v>
      </c>
      <c r="AN309" s="28"/>
      <c r="AO309" s="28"/>
    </row>
    <row r="310">
      <c r="D310" s="17"/>
      <c r="E310" s="17"/>
      <c r="F310" s="17"/>
      <c r="G310" s="17"/>
      <c r="AL310" s="28">
        <v>-0.18</v>
      </c>
      <c r="AM310" s="28">
        <v>-0.22</v>
      </c>
      <c r="AN310" s="28"/>
      <c r="AO310" s="28"/>
    </row>
    <row r="311">
      <c r="D311" s="17"/>
      <c r="E311" s="17"/>
      <c r="F311" s="17"/>
      <c r="G311" s="17"/>
      <c r="AL311" s="28">
        <v>-0.23</v>
      </c>
      <c r="AM311" s="28">
        <v>-0.28</v>
      </c>
      <c r="AN311" s="28"/>
      <c r="AO311" s="28"/>
    </row>
    <row r="312">
      <c r="D312" s="17"/>
      <c r="E312" s="17"/>
      <c r="F312" s="17"/>
      <c r="G312" s="17"/>
      <c r="AL312" s="28">
        <v>-0.09</v>
      </c>
      <c r="AM312" s="28">
        <v>0.12</v>
      </c>
      <c r="AN312" s="28"/>
      <c r="AO312" s="28"/>
    </row>
    <row r="313">
      <c r="D313" s="17"/>
      <c r="E313" s="17"/>
      <c r="F313" s="17"/>
      <c r="G313" s="17"/>
      <c r="AL313" s="28">
        <v>-0.25</v>
      </c>
      <c r="AM313" s="28">
        <v>-0.29</v>
      </c>
      <c r="AN313" s="28"/>
      <c r="AO313" s="28"/>
    </row>
    <row r="314">
      <c r="D314" s="17"/>
      <c r="E314" s="17"/>
      <c r="F314" s="17"/>
      <c r="G314" s="17"/>
      <c r="AL314" s="28">
        <v>0.03</v>
      </c>
      <c r="AM314" s="28">
        <v>-0.13</v>
      </c>
      <c r="AN314" s="28"/>
      <c r="AO314" s="28"/>
    </row>
    <row r="315">
      <c r="D315" s="17"/>
      <c r="E315" s="17"/>
      <c r="F315" s="17"/>
      <c r="G315" s="17"/>
      <c r="AL315" s="28">
        <v>-0.1</v>
      </c>
      <c r="AM315" s="28">
        <v>-0.14</v>
      </c>
      <c r="AN315" s="28"/>
      <c r="AO315" s="28"/>
    </row>
    <row r="316">
      <c r="D316" s="17"/>
      <c r="E316" s="17"/>
      <c r="F316" s="17"/>
      <c r="G316" s="17"/>
      <c r="AL316" s="28">
        <v>-0.11</v>
      </c>
      <c r="AM316" s="28">
        <v>-0.09</v>
      </c>
      <c r="AN316" s="28"/>
      <c r="AO316" s="28"/>
    </row>
    <row r="317">
      <c r="D317" s="17"/>
      <c r="E317" s="17"/>
      <c r="F317" s="17"/>
      <c r="G317" s="17"/>
      <c r="AL317" s="28">
        <v>-0.37</v>
      </c>
      <c r="AM317" s="28">
        <v>-0.18</v>
      </c>
      <c r="AN317" s="28"/>
      <c r="AO317" s="28"/>
    </row>
    <row r="318">
      <c r="D318" s="17"/>
      <c r="E318" s="17"/>
      <c r="F318" s="17"/>
      <c r="G318" s="17"/>
      <c r="AL318" s="28">
        <v>-0.02</v>
      </c>
      <c r="AM318" s="28">
        <v>-0.25</v>
      </c>
      <c r="AN318" s="28"/>
      <c r="AO318" s="28"/>
    </row>
    <row r="319">
      <c r="D319" s="17"/>
      <c r="E319" s="17"/>
      <c r="F319" s="17"/>
      <c r="G319" s="17"/>
      <c r="AL319" s="28">
        <v>0.02</v>
      </c>
      <c r="AM319" s="28">
        <v>-0.41</v>
      </c>
      <c r="AN319" s="28"/>
      <c r="AO319" s="28"/>
    </row>
    <row r="320">
      <c r="D320" s="17"/>
      <c r="E320" s="17"/>
      <c r="F320" s="17"/>
      <c r="G320" s="17"/>
      <c r="AL320" s="28">
        <v>-0.16</v>
      </c>
      <c r="AM320" s="28">
        <v>-0.24</v>
      </c>
      <c r="AN320" s="28"/>
      <c r="AO320" s="28"/>
    </row>
    <row r="321">
      <c r="D321" s="17"/>
      <c r="E321" s="17"/>
      <c r="F321" s="17"/>
      <c r="G321" s="17"/>
      <c r="AL321" s="28">
        <v>-0.11</v>
      </c>
      <c r="AM321" s="28">
        <v>-0.35</v>
      </c>
      <c r="AN321" s="28"/>
      <c r="AO321" s="28"/>
    </row>
    <row r="322">
      <c r="D322" s="17"/>
      <c r="E322" s="17"/>
      <c r="F322" s="17"/>
      <c r="G322" s="17"/>
      <c r="AL322" s="28">
        <v>-0.17</v>
      </c>
      <c r="AM322" s="28">
        <v>-0.35</v>
      </c>
      <c r="AN322" s="28"/>
      <c r="AO322" s="28"/>
    </row>
    <row r="323">
      <c r="D323" s="17"/>
      <c r="E323" s="17"/>
      <c r="F323" s="17"/>
      <c r="G323" s="17"/>
      <c r="AL323" s="28">
        <v>-0.02</v>
      </c>
      <c r="AM323" s="28">
        <v>-0.46</v>
      </c>
      <c r="AN323" s="28"/>
      <c r="AO323" s="28"/>
    </row>
    <row r="324">
      <c r="D324" s="17"/>
      <c r="E324" s="17"/>
      <c r="F324" s="17"/>
      <c r="G324" s="17"/>
      <c r="AL324" s="28">
        <v>-0.1</v>
      </c>
      <c r="AM324" s="28">
        <v>-0.15</v>
      </c>
      <c r="AN324" s="28"/>
      <c r="AO324" s="28"/>
    </row>
    <row r="325">
      <c r="D325" s="17"/>
      <c r="E325" s="17"/>
      <c r="F325" s="17"/>
      <c r="G325" s="17"/>
      <c r="AL325" s="28">
        <v>-0.08</v>
      </c>
      <c r="AM325" s="28">
        <v>-0.31</v>
      </c>
      <c r="AN325" s="28"/>
      <c r="AO325" s="28"/>
    </row>
    <row r="326">
      <c r="D326" s="17"/>
      <c r="E326" s="17"/>
      <c r="F326" s="17"/>
      <c r="G326" s="17"/>
      <c r="AL326" s="28">
        <v>-0.2</v>
      </c>
      <c r="AM326" s="28">
        <v>-0.14</v>
      </c>
      <c r="AN326" s="28"/>
      <c r="AO326" s="28"/>
    </row>
    <row r="327">
      <c r="D327" s="17"/>
      <c r="E327" s="17"/>
      <c r="F327" s="17"/>
      <c r="G327" s="17"/>
      <c r="AL327" s="28">
        <v>-0.08</v>
      </c>
      <c r="AM327" s="28">
        <v>-0.42</v>
      </c>
      <c r="AN327" s="28"/>
      <c r="AO327" s="28"/>
    </row>
    <row r="328">
      <c r="D328" s="17"/>
      <c r="E328" s="17"/>
      <c r="F328" s="17"/>
      <c r="G328" s="17"/>
      <c r="AL328" s="28">
        <v>0.01</v>
      </c>
      <c r="AM328" s="28">
        <v>0.08</v>
      </c>
      <c r="AN328" s="28"/>
      <c r="AO328" s="28"/>
    </row>
    <row r="329">
      <c r="D329" s="17"/>
      <c r="E329" s="17"/>
      <c r="F329" s="17"/>
      <c r="G329" s="17"/>
      <c r="AL329" s="28">
        <v>-0.01</v>
      </c>
      <c r="AM329" s="28">
        <v>0.02</v>
      </c>
      <c r="AN329" s="28"/>
      <c r="AO329" s="28"/>
    </row>
    <row r="330">
      <c r="D330" s="17"/>
      <c r="E330" s="17"/>
      <c r="F330" s="17"/>
      <c r="G330" s="17"/>
      <c r="AL330" s="28">
        <v>-0.12</v>
      </c>
      <c r="AM330" s="28">
        <v>-0.24</v>
      </c>
      <c r="AN330" s="28"/>
      <c r="AO330" s="28"/>
    </row>
    <row r="331">
      <c r="D331" s="17"/>
      <c r="E331" s="17"/>
      <c r="F331" s="17"/>
      <c r="G331" s="17"/>
      <c r="AL331" s="28">
        <v>-0.14</v>
      </c>
      <c r="AM331" s="28">
        <v>-0.29</v>
      </c>
      <c r="AN331" s="28"/>
      <c r="AO331" s="28"/>
    </row>
    <row r="332">
      <c r="D332" s="17"/>
      <c r="E332" s="17"/>
      <c r="F332" s="17"/>
      <c r="G332" s="17"/>
      <c r="AL332" s="28">
        <v>0.04</v>
      </c>
      <c r="AM332" s="28">
        <v>0.0</v>
      </c>
      <c r="AN332" s="28"/>
      <c r="AO332" s="28"/>
    </row>
    <row r="333">
      <c r="D333" s="17"/>
      <c r="E333" s="17"/>
      <c r="F333" s="17"/>
      <c r="G333" s="17"/>
      <c r="AL333" s="28">
        <v>-0.12</v>
      </c>
      <c r="AM333" s="28">
        <v>-0.16</v>
      </c>
      <c r="AN333" s="28"/>
      <c r="AO333" s="28"/>
    </row>
    <row r="334">
      <c r="D334" s="17"/>
      <c r="E334" s="17"/>
      <c r="F334" s="17"/>
      <c r="G334" s="17"/>
      <c r="AL334" s="28">
        <v>-0.08</v>
      </c>
      <c r="AM334" s="28">
        <v>-0.08</v>
      </c>
      <c r="AN334" s="28"/>
      <c r="AO334" s="28"/>
    </row>
    <row r="335">
      <c r="D335" s="17"/>
      <c r="E335" s="17"/>
      <c r="F335" s="17"/>
      <c r="G335" s="17"/>
      <c r="AL335" s="28">
        <v>-0.22</v>
      </c>
      <c r="AM335" s="28">
        <v>-0.12</v>
      </c>
      <c r="AN335" s="28"/>
      <c r="AO335" s="28"/>
    </row>
    <row r="336">
      <c r="D336" s="17"/>
      <c r="E336" s="17"/>
      <c r="F336" s="17"/>
      <c r="G336" s="17"/>
      <c r="AL336" s="28">
        <v>0.03</v>
      </c>
      <c r="AM336" s="28">
        <v>0.02</v>
      </c>
      <c r="AN336" s="28"/>
      <c r="AO336" s="28"/>
    </row>
    <row r="337">
      <c r="D337" s="17"/>
      <c r="E337" s="17"/>
      <c r="F337" s="17"/>
      <c r="G337" s="17"/>
      <c r="AL337" s="28">
        <v>-0.05</v>
      </c>
      <c r="AM337" s="28">
        <v>-0.02</v>
      </c>
      <c r="AN337" s="28"/>
      <c r="AO337" s="28"/>
    </row>
    <row r="338">
      <c r="D338" s="17"/>
      <c r="E338" s="17"/>
      <c r="F338" s="17"/>
      <c r="G338" s="17"/>
      <c r="AL338" s="28">
        <v>-0.15</v>
      </c>
      <c r="AM338" s="28">
        <v>-0.24</v>
      </c>
      <c r="AN338" s="28"/>
      <c r="AO338" s="28"/>
    </row>
    <row r="339">
      <c r="D339" s="17"/>
      <c r="E339" s="17"/>
      <c r="F339" s="17"/>
      <c r="G339" s="17"/>
      <c r="AL339" s="28">
        <v>-0.21</v>
      </c>
      <c r="AM339" s="28">
        <v>-0.16</v>
      </c>
      <c r="AN339" s="28"/>
      <c r="AO339" s="28"/>
    </row>
    <row r="340">
      <c r="D340" s="17"/>
      <c r="E340" s="17"/>
      <c r="F340" s="17"/>
      <c r="G340" s="17"/>
      <c r="AL340" s="28">
        <v>-0.09</v>
      </c>
      <c r="AM340" s="28">
        <v>-0.23</v>
      </c>
      <c r="AN340" s="28"/>
      <c r="AO340" s="28"/>
    </row>
    <row r="341">
      <c r="D341" s="17"/>
      <c r="E341" s="17"/>
      <c r="F341" s="17"/>
      <c r="G341" s="17"/>
      <c r="AL341" s="28">
        <v>-0.33</v>
      </c>
      <c r="AM341" s="28">
        <v>-0.2</v>
      </c>
      <c r="AN341" s="28"/>
      <c r="AO341" s="28"/>
    </row>
    <row r="342">
      <c r="D342" s="17"/>
      <c r="E342" s="17"/>
      <c r="F342" s="17"/>
      <c r="G342" s="17"/>
      <c r="AL342" s="28">
        <v>-0.14</v>
      </c>
      <c r="AM342" s="28">
        <v>-0.37</v>
      </c>
      <c r="AN342" s="28"/>
      <c r="AO342" s="28"/>
    </row>
    <row r="343">
      <c r="D343" s="17"/>
      <c r="E343" s="17"/>
      <c r="F343" s="17"/>
      <c r="G343" s="17"/>
      <c r="AL343" s="28">
        <v>-0.28</v>
      </c>
      <c r="AM343" s="28">
        <v>-0.45</v>
      </c>
      <c r="AN343" s="28"/>
      <c r="AO343" s="28"/>
    </row>
    <row r="344">
      <c r="D344" s="17"/>
      <c r="E344" s="17"/>
      <c r="F344" s="17"/>
      <c r="G344" s="17"/>
      <c r="AL344" s="28">
        <v>-0.29</v>
      </c>
      <c r="AM344" s="28">
        <v>-0.12</v>
      </c>
      <c r="AN344" s="28"/>
      <c r="AO344" s="28"/>
    </row>
    <row r="345">
      <c r="D345" s="17"/>
      <c r="E345" s="17"/>
      <c r="F345" s="17"/>
      <c r="G345" s="17"/>
      <c r="AL345" s="28">
        <v>-0.4</v>
      </c>
      <c r="AM345" s="28">
        <v>-0.42</v>
      </c>
      <c r="AN345" s="28"/>
      <c r="AO345" s="28"/>
    </row>
    <row r="346">
      <c r="D346" s="17"/>
      <c r="E346" s="17"/>
      <c r="F346" s="17"/>
      <c r="G346" s="17"/>
      <c r="AL346" s="28">
        <v>-0.22</v>
      </c>
      <c r="AM346" s="28">
        <v>-0.26</v>
      </c>
      <c r="AN346" s="28"/>
      <c r="AO346" s="28"/>
    </row>
    <row r="347">
      <c r="D347" s="17"/>
      <c r="E347" s="17"/>
      <c r="F347" s="17"/>
      <c r="G347" s="17"/>
      <c r="AL347" s="28">
        <v>-0.12</v>
      </c>
      <c r="AM347" s="28">
        <v>-0.38</v>
      </c>
      <c r="AN347" s="28"/>
      <c r="AO347" s="28"/>
    </row>
    <row r="348">
      <c r="D348" s="17"/>
      <c r="E348" s="17"/>
      <c r="F348" s="17"/>
      <c r="G348" s="17"/>
      <c r="AL348" s="28">
        <v>-0.06</v>
      </c>
      <c r="AM348" s="28">
        <v>-0.03</v>
      </c>
      <c r="AN348" s="28"/>
      <c r="AO348" s="28"/>
    </row>
    <row r="349">
      <c r="D349" s="17"/>
      <c r="E349" s="17"/>
      <c r="F349" s="17"/>
      <c r="G349" s="17"/>
      <c r="AL349" s="28">
        <v>-0.28</v>
      </c>
      <c r="AM349" s="28">
        <v>-0.45</v>
      </c>
      <c r="AN349" s="28"/>
      <c r="AO349" s="28"/>
    </row>
    <row r="350">
      <c r="D350" s="17"/>
      <c r="E350" s="17"/>
      <c r="F350" s="17"/>
      <c r="G350" s="17"/>
      <c r="AL350" s="28">
        <v>-0.24</v>
      </c>
      <c r="AM350" s="28">
        <v>-0.17</v>
      </c>
      <c r="AN350" s="28"/>
      <c r="AO350" s="28"/>
    </row>
    <row r="351">
      <c r="D351" s="17"/>
      <c r="E351" s="17"/>
      <c r="F351" s="17"/>
      <c r="G351" s="17"/>
      <c r="AL351" s="28">
        <v>-0.41</v>
      </c>
      <c r="AM351" s="28">
        <v>-0.37</v>
      </c>
      <c r="AN351" s="28"/>
      <c r="AO351" s="28"/>
    </row>
    <row r="352">
      <c r="D352" s="17"/>
      <c r="E352" s="17"/>
      <c r="F352" s="17"/>
      <c r="G352" s="17"/>
      <c r="AL352" s="28">
        <v>-0.24</v>
      </c>
      <c r="AM352" s="28">
        <v>-0.28</v>
      </c>
      <c r="AN352" s="28"/>
      <c r="AO352" s="28"/>
    </row>
    <row r="353">
      <c r="D353" s="17"/>
      <c r="E353" s="17"/>
      <c r="F353" s="17"/>
      <c r="G353" s="17"/>
      <c r="AL353" s="28">
        <v>-0.31</v>
      </c>
      <c r="AM353" s="28">
        <v>-0.23</v>
      </c>
      <c r="AN353" s="28"/>
      <c r="AO353" s="28"/>
    </row>
    <row r="354">
      <c r="D354" s="17"/>
      <c r="E354" s="17"/>
      <c r="F354" s="17"/>
      <c r="G354" s="17"/>
      <c r="AL354" s="28">
        <v>-0.23</v>
      </c>
      <c r="AM354" s="28">
        <v>-0.33</v>
      </c>
      <c r="AN354" s="28"/>
      <c r="AO354" s="28"/>
    </row>
    <row r="355">
      <c r="D355" s="17"/>
      <c r="E355" s="17"/>
      <c r="F355" s="17"/>
      <c r="G355" s="17"/>
      <c r="AL355" s="28">
        <v>-0.2</v>
      </c>
      <c r="AM355" s="28">
        <v>-0.29</v>
      </c>
      <c r="AN355" s="28"/>
      <c r="AO355" s="28"/>
    </row>
    <row r="356">
      <c r="D356" s="17"/>
      <c r="E356" s="17"/>
      <c r="F356" s="17"/>
      <c r="G356" s="17"/>
      <c r="AL356" s="28">
        <v>-0.14</v>
      </c>
      <c r="AM356" s="28">
        <v>0.07</v>
      </c>
      <c r="AN356" s="28"/>
      <c r="AO356" s="28"/>
    </row>
    <row r="357">
      <c r="D357" s="17"/>
      <c r="E357" s="17"/>
      <c r="F357" s="17"/>
      <c r="G357" s="17"/>
      <c r="AL357" s="28">
        <v>-0.26</v>
      </c>
      <c r="AM357" s="28">
        <v>-0.36</v>
      </c>
      <c r="AN357" s="28"/>
      <c r="AO357" s="28"/>
    </row>
    <row r="358">
      <c r="D358" s="17"/>
      <c r="E358" s="17"/>
      <c r="F358" s="17"/>
      <c r="G358" s="17"/>
      <c r="AL358" s="28">
        <v>-0.14</v>
      </c>
      <c r="AM358" s="28">
        <v>-0.26</v>
      </c>
      <c r="AN358" s="28"/>
      <c r="AO358" s="28"/>
    </row>
    <row r="359">
      <c r="D359" s="17"/>
      <c r="E359" s="17"/>
      <c r="F359" s="17"/>
      <c r="G359" s="17"/>
      <c r="AL359" s="28">
        <v>-0.37</v>
      </c>
      <c r="AM359" s="28">
        <v>-0.23</v>
      </c>
      <c r="AN359" s="28"/>
      <c r="AO359" s="28"/>
    </row>
    <row r="360">
      <c r="D360" s="17"/>
      <c r="E360" s="17"/>
      <c r="F360" s="17"/>
      <c r="G360" s="17"/>
      <c r="AL360" s="28">
        <v>-0.2</v>
      </c>
      <c r="AM360" s="28">
        <v>-0.23</v>
      </c>
      <c r="AN360" s="28"/>
      <c r="AO360" s="28"/>
    </row>
    <row r="361">
      <c r="D361" s="17"/>
      <c r="E361" s="17"/>
      <c r="F361" s="17"/>
      <c r="G361" s="17"/>
      <c r="AL361" s="28">
        <v>-0.37</v>
      </c>
      <c r="AM361" s="28">
        <v>-0.3</v>
      </c>
      <c r="AN361" s="28"/>
      <c r="AO361" s="28"/>
    </row>
    <row r="362">
      <c r="D362" s="17"/>
      <c r="E362" s="17"/>
      <c r="F362" s="17"/>
      <c r="G362" s="17"/>
      <c r="AL362" s="28">
        <v>-0.16</v>
      </c>
      <c r="AM362" s="28">
        <v>-0.29</v>
      </c>
      <c r="AN362" s="28"/>
      <c r="AO362" s="28"/>
    </row>
    <row r="363">
      <c r="D363" s="17"/>
      <c r="E363" s="17"/>
      <c r="F363" s="17"/>
      <c r="G363" s="17"/>
      <c r="AL363" s="28">
        <v>-0.06</v>
      </c>
      <c r="AM363" s="28">
        <v>-0.25</v>
      </c>
      <c r="AN363" s="28"/>
      <c r="AO363" s="28"/>
    </row>
    <row r="364">
      <c r="D364" s="17"/>
      <c r="E364" s="17"/>
      <c r="F364" s="17"/>
      <c r="G364" s="17"/>
      <c r="AL364" s="28">
        <v>-0.18</v>
      </c>
      <c r="AM364" s="28">
        <v>-0.11</v>
      </c>
      <c r="AN364" s="28"/>
      <c r="AO364" s="28"/>
    </row>
    <row r="365">
      <c r="D365" s="17"/>
      <c r="E365" s="17"/>
      <c r="F365" s="17"/>
      <c r="G365" s="17"/>
      <c r="AL365" s="28">
        <v>-0.28</v>
      </c>
      <c r="AM365" s="28">
        <v>-0.38</v>
      </c>
      <c r="AN365" s="28"/>
      <c r="AO365" s="28"/>
    </row>
    <row r="366">
      <c r="D366" s="17"/>
      <c r="E366" s="17"/>
      <c r="F366" s="17"/>
      <c r="G366" s="17"/>
      <c r="AL366" s="28">
        <v>-0.02</v>
      </c>
      <c r="AM366" s="28">
        <v>-0.1</v>
      </c>
      <c r="AN366" s="28"/>
      <c r="AO366" s="28"/>
    </row>
    <row r="367">
      <c r="D367" s="17"/>
      <c r="E367" s="17"/>
      <c r="F367" s="17"/>
      <c r="G367" s="17"/>
      <c r="AL367" s="28">
        <v>-0.23</v>
      </c>
      <c r="AM367" s="28">
        <v>-0.1</v>
      </c>
      <c r="AN367" s="28"/>
      <c r="AO367" s="28"/>
    </row>
    <row r="368">
      <c r="D368" s="17"/>
      <c r="E368" s="17"/>
      <c r="F368" s="17"/>
      <c r="G368" s="17"/>
      <c r="AL368" s="28">
        <v>-0.17</v>
      </c>
      <c r="AM368" s="28">
        <v>0.03</v>
      </c>
      <c r="AN368" s="28"/>
      <c r="AO368" s="28"/>
    </row>
    <row r="369">
      <c r="D369" s="17"/>
      <c r="E369" s="17"/>
      <c r="F369" s="17"/>
      <c r="G369" s="17"/>
      <c r="AL369" s="28">
        <v>-0.4</v>
      </c>
      <c r="AM369" s="28">
        <v>-0.08</v>
      </c>
      <c r="AN369" s="28"/>
      <c r="AO369" s="28"/>
    </row>
    <row r="370">
      <c r="D370" s="17"/>
      <c r="E370" s="17"/>
      <c r="F370" s="17"/>
      <c r="G370" s="17"/>
      <c r="AL370" s="28">
        <v>0.0</v>
      </c>
      <c r="AM370" s="28">
        <v>-0.32</v>
      </c>
      <c r="AN370" s="28"/>
      <c r="AO370" s="28"/>
    </row>
    <row r="371">
      <c r="D371" s="17"/>
      <c r="E371" s="17"/>
      <c r="F371" s="17"/>
      <c r="G371" s="17"/>
      <c r="AL371" s="28">
        <v>-0.14</v>
      </c>
      <c r="AM371" s="28">
        <v>-0.23</v>
      </c>
      <c r="AN371" s="28"/>
      <c r="AO371" s="28"/>
    </row>
    <row r="372">
      <c r="D372" s="17"/>
      <c r="E372" s="17"/>
      <c r="F372" s="17"/>
      <c r="G372" s="17"/>
      <c r="AL372" s="28">
        <v>-0.2</v>
      </c>
      <c r="AM372" s="28">
        <v>-0.23</v>
      </c>
      <c r="AN372" s="28"/>
      <c r="AO372" s="28"/>
    </row>
    <row r="373">
      <c r="D373" s="17"/>
      <c r="E373" s="17"/>
      <c r="F373" s="17"/>
      <c r="G373" s="17"/>
      <c r="AL373" s="28">
        <v>-0.2</v>
      </c>
      <c r="AM373" s="28">
        <v>-0.09</v>
      </c>
      <c r="AN373" s="28"/>
      <c r="AO373" s="28"/>
    </row>
    <row r="374">
      <c r="D374" s="17"/>
      <c r="E374" s="17"/>
      <c r="F374" s="17"/>
      <c r="G374" s="17"/>
      <c r="AL374" s="28">
        <v>-0.16</v>
      </c>
      <c r="AM374" s="28">
        <v>-0.31</v>
      </c>
      <c r="AN374" s="28"/>
      <c r="AO374" s="28"/>
    </row>
    <row r="375">
      <c r="D375" s="17"/>
      <c r="E375" s="17"/>
      <c r="F375" s="17"/>
      <c r="G375" s="17"/>
      <c r="AL375" s="28">
        <v>-0.41</v>
      </c>
      <c r="AM375" s="28">
        <v>-0.27</v>
      </c>
      <c r="AN375" s="28"/>
      <c r="AO375" s="28"/>
    </row>
    <row r="376">
      <c r="D376" s="17"/>
      <c r="E376" s="17"/>
      <c r="F376" s="17"/>
      <c r="G376" s="17"/>
      <c r="AL376" s="28">
        <v>-0.28</v>
      </c>
      <c r="AM376" s="28">
        <v>-0.25</v>
      </c>
      <c r="AN376" s="28"/>
      <c r="AO376" s="28"/>
    </row>
    <row r="377">
      <c r="D377" s="17"/>
      <c r="E377" s="17"/>
      <c r="F377" s="17"/>
      <c r="G377" s="17"/>
      <c r="AL377" s="28">
        <v>-0.24</v>
      </c>
      <c r="AM377" s="28">
        <v>-0.24</v>
      </c>
      <c r="AN377" s="28"/>
      <c r="AO377" s="28"/>
    </row>
    <row r="378">
      <c r="D378" s="17"/>
      <c r="E378" s="17"/>
      <c r="F378" s="17"/>
      <c r="G378" s="17"/>
      <c r="AL378" s="28">
        <v>-0.15</v>
      </c>
      <c r="AM378" s="28">
        <v>-0.29</v>
      </c>
      <c r="AN378" s="28"/>
      <c r="AO378" s="28"/>
    </row>
    <row r="379">
      <c r="D379" s="17"/>
      <c r="E379" s="17"/>
      <c r="F379" s="17"/>
      <c r="G379" s="17"/>
      <c r="AL379" s="28">
        <v>-0.17</v>
      </c>
      <c r="AM379" s="28">
        <v>-0.31</v>
      </c>
      <c r="AN379" s="28"/>
      <c r="AO379" s="28"/>
    </row>
    <row r="380">
      <c r="D380" s="17"/>
      <c r="E380" s="17"/>
      <c r="F380" s="17"/>
      <c r="G380" s="17"/>
      <c r="AL380" s="28">
        <v>-0.19</v>
      </c>
      <c r="AM380" s="28">
        <v>-0.09</v>
      </c>
      <c r="AN380" s="28"/>
      <c r="AO380" s="28"/>
    </row>
    <row r="381">
      <c r="D381" s="17"/>
      <c r="E381" s="17"/>
      <c r="F381" s="17"/>
      <c r="G381" s="17"/>
      <c r="AL381" s="28">
        <v>-0.44</v>
      </c>
      <c r="AM381" s="28">
        <v>-0.39</v>
      </c>
      <c r="AN381" s="28"/>
      <c r="AO381" s="28"/>
    </row>
    <row r="382">
      <c r="D382" s="17"/>
      <c r="E382" s="17"/>
      <c r="F382" s="17"/>
      <c r="G382" s="17"/>
      <c r="AL382" s="28">
        <v>0.03</v>
      </c>
      <c r="AM382" s="28">
        <v>-0.24</v>
      </c>
      <c r="AN382" s="28"/>
      <c r="AO382" s="28"/>
    </row>
    <row r="383">
      <c r="D383" s="17"/>
      <c r="E383" s="17"/>
      <c r="F383" s="17"/>
      <c r="G383" s="17"/>
      <c r="AL383" s="28">
        <v>-0.21</v>
      </c>
      <c r="AM383" s="28">
        <v>-0.48</v>
      </c>
      <c r="AN383" s="28"/>
      <c r="AO383" s="28"/>
    </row>
    <row r="384">
      <c r="D384" s="17"/>
      <c r="E384" s="17"/>
      <c r="F384" s="17"/>
      <c r="G384" s="17"/>
      <c r="AL384" s="28">
        <v>0.0</v>
      </c>
      <c r="AM384" s="28">
        <v>-0.31</v>
      </c>
      <c r="AN384" s="28"/>
      <c r="AO384" s="28"/>
    </row>
    <row r="385">
      <c r="D385" s="17"/>
      <c r="E385" s="17"/>
      <c r="F385" s="17"/>
      <c r="G385" s="17"/>
      <c r="AL385" s="28">
        <v>-0.44</v>
      </c>
      <c r="AM385" s="28">
        <v>-0.35</v>
      </c>
      <c r="AN385" s="28"/>
      <c r="AO385" s="28"/>
    </row>
    <row r="386">
      <c r="D386" s="17"/>
      <c r="E386" s="17"/>
      <c r="F386" s="17"/>
      <c r="G386" s="17"/>
      <c r="AL386" s="28">
        <v>-0.03</v>
      </c>
      <c r="AM386" s="28">
        <v>-0.22</v>
      </c>
      <c r="AN386" s="28"/>
      <c r="AO386" s="28"/>
    </row>
    <row r="387">
      <c r="D387" s="17"/>
      <c r="E387" s="17"/>
      <c r="F387" s="17"/>
      <c r="G387" s="17"/>
      <c r="AL387" s="28">
        <v>-0.18</v>
      </c>
      <c r="AM387" s="28">
        <v>-0.24</v>
      </c>
      <c r="AN387" s="28"/>
      <c r="AO387" s="28"/>
    </row>
    <row r="388">
      <c r="D388" s="17"/>
      <c r="E388" s="17"/>
      <c r="F388" s="17"/>
      <c r="G388" s="17"/>
      <c r="AL388" s="28">
        <v>-0.1</v>
      </c>
      <c r="AM388" s="28">
        <v>-0.28</v>
      </c>
      <c r="AN388" s="28"/>
      <c r="AO388" s="28"/>
    </row>
    <row r="389">
      <c r="D389" s="17"/>
      <c r="E389" s="17"/>
      <c r="F389" s="17"/>
      <c r="G389" s="17"/>
      <c r="AL389" s="28">
        <v>-0.35</v>
      </c>
      <c r="AM389" s="28">
        <v>-0.13</v>
      </c>
      <c r="AN389" s="28"/>
      <c r="AO389" s="28"/>
    </row>
    <row r="390">
      <c r="D390" s="17"/>
      <c r="E390" s="17"/>
      <c r="F390" s="17"/>
      <c r="G390" s="17"/>
      <c r="AL390" s="28">
        <v>-0.04</v>
      </c>
      <c r="AM390" s="28">
        <v>-0.02</v>
      </c>
      <c r="AN390" s="28"/>
      <c r="AO390" s="28"/>
    </row>
    <row r="391">
      <c r="D391" s="17"/>
      <c r="E391" s="17"/>
      <c r="F391" s="17"/>
      <c r="G391" s="17"/>
      <c r="AL391" s="28">
        <v>-0.26</v>
      </c>
      <c r="AM391" s="28">
        <v>-0.24</v>
      </c>
      <c r="AN391" s="28"/>
      <c r="AO391" s="28"/>
    </row>
    <row r="392">
      <c r="D392" s="17"/>
      <c r="E392" s="17"/>
      <c r="F392" s="17"/>
      <c r="G392" s="17"/>
      <c r="AL392" s="28">
        <v>-0.18</v>
      </c>
      <c r="AM392" s="28">
        <v>-0.07</v>
      </c>
      <c r="AN392" s="28"/>
      <c r="AO392" s="28"/>
    </row>
    <row r="393">
      <c r="D393" s="17"/>
      <c r="E393" s="17"/>
      <c r="F393" s="17"/>
      <c r="G393" s="17"/>
      <c r="AL393" s="28">
        <v>-0.12</v>
      </c>
      <c r="AM393" s="28">
        <v>-0.15</v>
      </c>
      <c r="AN393" s="28"/>
      <c r="AO393" s="28"/>
    </row>
    <row r="394">
      <c r="D394" s="17"/>
      <c r="E394" s="17"/>
      <c r="F394" s="17"/>
      <c r="G394" s="17"/>
      <c r="AL394" s="28">
        <v>0.05</v>
      </c>
      <c r="AM394" s="28">
        <v>0.02</v>
      </c>
      <c r="AN394" s="28"/>
      <c r="AO394" s="28"/>
    </row>
    <row r="395">
      <c r="D395" s="17"/>
      <c r="E395" s="17"/>
      <c r="F395" s="17"/>
      <c r="G395" s="17"/>
      <c r="AL395" s="28">
        <v>-0.04</v>
      </c>
      <c r="AM395" s="28">
        <v>-0.04</v>
      </c>
      <c r="AN395" s="28"/>
      <c r="AO395" s="28"/>
    </row>
    <row r="396">
      <c r="D396" s="17"/>
      <c r="E396" s="17"/>
      <c r="F396" s="17"/>
      <c r="G396" s="17"/>
      <c r="AL396" s="28">
        <v>-0.09</v>
      </c>
      <c r="AM396" s="28">
        <v>-0.01</v>
      </c>
      <c r="AN396" s="28"/>
      <c r="AO396" s="28"/>
    </row>
    <row r="397">
      <c r="D397" s="17"/>
      <c r="E397" s="17"/>
      <c r="F397" s="17"/>
      <c r="G397" s="17"/>
      <c r="AL397" s="28">
        <v>-0.01</v>
      </c>
      <c r="AM397" s="28">
        <v>-0.17</v>
      </c>
      <c r="AN397" s="28"/>
      <c r="AO397" s="28"/>
    </row>
    <row r="398">
      <c r="D398" s="17"/>
      <c r="E398" s="17"/>
      <c r="F398" s="17"/>
      <c r="G398" s="17"/>
      <c r="AL398" s="28">
        <v>0.0</v>
      </c>
      <c r="AM398" s="28">
        <v>0.03</v>
      </c>
      <c r="AN398" s="28"/>
      <c r="AO398" s="28"/>
    </row>
    <row r="399">
      <c r="D399" s="17"/>
      <c r="E399" s="17"/>
      <c r="F399" s="17"/>
      <c r="G399" s="17"/>
      <c r="AL399" s="28">
        <v>-0.14</v>
      </c>
      <c r="AM399" s="28">
        <v>-0.16</v>
      </c>
      <c r="AN399" s="28"/>
      <c r="AO399" s="28"/>
    </row>
    <row r="400">
      <c r="D400" s="17"/>
      <c r="E400" s="17"/>
      <c r="F400" s="17"/>
      <c r="G400" s="17"/>
      <c r="AL400" s="28">
        <v>-0.2</v>
      </c>
      <c r="AM400" s="28">
        <v>0.06</v>
      </c>
      <c r="AN400" s="28"/>
      <c r="AO400" s="28"/>
    </row>
    <row r="401">
      <c r="D401" s="17"/>
      <c r="E401" s="17"/>
      <c r="F401" s="17"/>
      <c r="G401" s="17"/>
      <c r="AL401" s="28">
        <v>-0.17</v>
      </c>
      <c r="AM401" s="28">
        <v>-0.05</v>
      </c>
      <c r="AN401" s="28"/>
      <c r="AO401" s="28"/>
    </row>
    <row r="402">
      <c r="D402" s="17"/>
      <c r="E402" s="17"/>
      <c r="F402" s="17"/>
      <c r="G402" s="17"/>
      <c r="AL402" s="28">
        <v>-0.06</v>
      </c>
      <c r="AM402" s="28">
        <v>-0.19</v>
      </c>
      <c r="AN402" s="28"/>
      <c r="AO402" s="28"/>
    </row>
    <row r="403">
      <c r="D403" s="17"/>
      <c r="E403" s="17"/>
      <c r="F403" s="17"/>
      <c r="G403" s="17"/>
      <c r="AL403" s="28">
        <v>-0.04</v>
      </c>
      <c r="AM403" s="28">
        <v>-0.31</v>
      </c>
      <c r="AN403" s="28"/>
      <c r="AO403" s="28"/>
    </row>
    <row r="404">
      <c r="D404" s="17"/>
      <c r="E404" s="17"/>
      <c r="F404" s="17"/>
      <c r="G404" s="17"/>
      <c r="AL404" s="28">
        <v>-0.09</v>
      </c>
      <c r="AM404" s="28">
        <v>-0.06</v>
      </c>
      <c r="AN404" s="28"/>
      <c r="AO404" s="28"/>
    </row>
    <row r="405">
      <c r="D405" s="17"/>
      <c r="E405" s="17"/>
      <c r="F405" s="17"/>
      <c r="G405" s="17"/>
      <c r="AL405" s="28">
        <v>0.0</v>
      </c>
      <c r="AM405" s="28">
        <v>0.0</v>
      </c>
      <c r="AN405" s="28"/>
      <c r="AO405" s="28"/>
    </row>
    <row r="406">
      <c r="D406" s="17"/>
      <c r="E406" s="17"/>
      <c r="F406" s="17"/>
      <c r="G406" s="17"/>
      <c r="AL406" s="28">
        <v>-0.23</v>
      </c>
      <c r="AM406" s="28">
        <v>-0.1</v>
      </c>
      <c r="AN406" s="28"/>
      <c r="AO406" s="28"/>
    </row>
    <row r="407">
      <c r="D407" s="17"/>
      <c r="E407" s="17"/>
      <c r="F407" s="17"/>
      <c r="G407" s="17"/>
      <c r="AL407" s="28">
        <v>-0.29</v>
      </c>
      <c r="AM407" s="28">
        <v>-0.29</v>
      </c>
      <c r="AN407" s="28"/>
      <c r="AO407" s="28"/>
    </row>
    <row r="408">
      <c r="D408" s="17"/>
      <c r="E408" s="17"/>
      <c r="F408" s="17"/>
      <c r="G408" s="17"/>
      <c r="AL408" s="28">
        <v>-0.2</v>
      </c>
      <c r="AM408" s="28">
        <v>-0.3</v>
      </c>
      <c r="AN408" s="28"/>
      <c r="AO408" s="28"/>
    </row>
    <row r="409">
      <c r="D409" s="17"/>
      <c r="E409" s="17"/>
      <c r="F409" s="17"/>
      <c r="G409" s="17"/>
      <c r="AL409" s="28">
        <v>0.02</v>
      </c>
      <c r="AM409" s="28">
        <v>-0.21</v>
      </c>
      <c r="AN409" s="28"/>
      <c r="AO409" s="28"/>
    </row>
    <row r="410">
      <c r="D410" s="17"/>
      <c r="E410" s="17"/>
      <c r="F410" s="17"/>
      <c r="G410" s="17"/>
      <c r="AL410" s="28">
        <v>-0.15</v>
      </c>
      <c r="AM410" s="28">
        <v>-0.14</v>
      </c>
      <c r="AN410" s="28"/>
      <c r="AO410" s="28"/>
    </row>
    <row r="411">
      <c r="D411" s="17"/>
      <c r="E411" s="17"/>
      <c r="F411" s="17"/>
      <c r="G411" s="17"/>
      <c r="AL411" s="28">
        <v>-0.01</v>
      </c>
      <c r="AM411" s="28">
        <v>-0.38</v>
      </c>
      <c r="AN411" s="28"/>
      <c r="AO411" s="28"/>
    </row>
    <row r="412">
      <c r="D412" s="17"/>
      <c r="E412" s="17"/>
      <c r="F412" s="17"/>
      <c r="G412" s="17"/>
      <c r="AL412" s="28">
        <v>-0.07</v>
      </c>
      <c r="AM412" s="28">
        <v>-0.2</v>
      </c>
      <c r="AN412" s="28"/>
      <c r="AO412" s="28"/>
    </row>
    <row r="413">
      <c r="D413" s="17"/>
      <c r="E413" s="17"/>
      <c r="F413" s="17"/>
      <c r="G413" s="17"/>
      <c r="AL413" s="28">
        <v>0.05</v>
      </c>
      <c r="AM413" s="28">
        <v>-0.41</v>
      </c>
      <c r="AN413" s="28"/>
      <c r="AO413" s="28"/>
    </row>
    <row r="414">
      <c r="D414" s="17"/>
      <c r="E414" s="17"/>
      <c r="F414" s="17"/>
      <c r="G414" s="17"/>
      <c r="AL414" s="28">
        <v>-0.15</v>
      </c>
      <c r="AM414" s="28">
        <v>-0.13</v>
      </c>
      <c r="AN414" s="28"/>
      <c r="AO414" s="28"/>
    </row>
    <row r="415">
      <c r="D415" s="17"/>
      <c r="E415" s="17"/>
      <c r="F415" s="17"/>
      <c r="G415" s="17"/>
      <c r="AL415" s="28">
        <v>-0.16</v>
      </c>
      <c r="AM415" s="28">
        <v>-0.19</v>
      </c>
      <c r="AN415" s="28"/>
      <c r="AO415" s="28"/>
    </row>
    <row r="416">
      <c r="D416" s="17"/>
      <c r="E416" s="17"/>
      <c r="F416" s="17"/>
      <c r="G416" s="17"/>
      <c r="AL416" s="28">
        <v>-0.05</v>
      </c>
      <c r="AM416" s="28">
        <v>-0.31</v>
      </c>
      <c r="AN416" s="28"/>
      <c r="AO416" s="28"/>
    </row>
    <row r="417">
      <c r="D417" s="17"/>
      <c r="E417" s="17"/>
      <c r="F417" s="17"/>
      <c r="G417" s="17"/>
      <c r="AL417" s="28">
        <v>-0.22</v>
      </c>
      <c r="AM417" s="28">
        <v>-0.4</v>
      </c>
      <c r="AN417" s="28"/>
      <c r="AO417" s="28"/>
    </row>
    <row r="418">
      <c r="D418" s="17"/>
      <c r="E418" s="17"/>
      <c r="F418" s="17"/>
      <c r="G418" s="17"/>
      <c r="AL418" s="28">
        <v>-0.12</v>
      </c>
      <c r="AM418" s="28">
        <v>-0.37</v>
      </c>
      <c r="AN418" s="28"/>
      <c r="AO418" s="28"/>
    </row>
    <row r="419">
      <c r="D419" s="17"/>
      <c r="E419" s="17"/>
      <c r="F419" s="17"/>
      <c r="G419" s="17"/>
      <c r="AL419" s="28">
        <v>0.01</v>
      </c>
      <c r="AM419" s="28">
        <v>-0.31</v>
      </c>
      <c r="AN419" s="28"/>
      <c r="AO419" s="28"/>
    </row>
    <row r="420">
      <c r="D420" s="17"/>
      <c r="E420" s="17"/>
      <c r="F420" s="17"/>
      <c r="G420" s="17"/>
      <c r="AL420" s="28">
        <v>-0.06</v>
      </c>
      <c r="AM420" s="28">
        <v>-0.24</v>
      </c>
      <c r="AN420" s="28"/>
      <c r="AO420" s="28"/>
    </row>
    <row r="421">
      <c r="D421" s="17"/>
      <c r="E421" s="17"/>
      <c r="F421" s="17"/>
      <c r="G421" s="17"/>
      <c r="AL421" s="28">
        <v>-0.19</v>
      </c>
      <c r="AM421" s="28">
        <v>-0.31</v>
      </c>
      <c r="AN421" s="28"/>
      <c r="AO421" s="28"/>
    </row>
    <row r="422">
      <c r="D422" s="17"/>
      <c r="E422" s="17"/>
      <c r="F422" s="17"/>
      <c r="G422" s="17"/>
      <c r="AL422" s="28">
        <v>-0.01</v>
      </c>
      <c r="AM422" s="28">
        <v>-0.31</v>
      </c>
      <c r="AN422" s="28"/>
      <c r="AO422" s="28"/>
    </row>
    <row r="423">
      <c r="D423" s="17"/>
      <c r="E423" s="17"/>
      <c r="F423" s="17"/>
      <c r="G423" s="17"/>
      <c r="AL423" s="28">
        <v>-0.33</v>
      </c>
      <c r="AM423" s="28">
        <v>-0.21</v>
      </c>
      <c r="AN423" s="28"/>
      <c r="AO423" s="28"/>
    </row>
    <row r="424">
      <c r="D424" s="17"/>
      <c r="E424" s="17"/>
      <c r="F424" s="17"/>
      <c r="G424" s="17"/>
      <c r="AL424" s="28">
        <v>-0.24</v>
      </c>
      <c r="AM424" s="28">
        <v>-0.16</v>
      </c>
      <c r="AN424" s="28"/>
      <c r="AO424" s="28"/>
    </row>
    <row r="425">
      <c r="D425" s="17"/>
      <c r="E425" s="17"/>
      <c r="F425" s="17"/>
      <c r="G425" s="17"/>
      <c r="AL425" s="28">
        <v>-0.32</v>
      </c>
      <c r="AM425" s="28">
        <v>-0.38</v>
      </c>
      <c r="AN425" s="28"/>
      <c r="AO425" s="28"/>
    </row>
    <row r="426">
      <c r="D426" s="17"/>
      <c r="E426" s="17"/>
      <c r="F426" s="17"/>
      <c r="G426" s="17"/>
      <c r="AL426" s="28">
        <v>0.17</v>
      </c>
      <c r="AM426" s="28">
        <v>-0.15</v>
      </c>
      <c r="AN426" s="28"/>
      <c r="AO426" s="28"/>
    </row>
    <row r="427">
      <c r="D427" s="17"/>
      <c r="E427" s="17"/>
      <c r="F427" s="17"/>
      <c r="G427" s="17"/>
      <c r="AL427" s="28">
        <v>-0.04</v>
      </c>
      <c r="AM427" s="28">
        <v>0.0</v>
      </c>
      <c r="AN427" s="28"/>
      <c r="AO427" s="28"/>
    </row>
    <row r="428">
      <c r="D428" s="17"/>
      <c r="E428" s="17"/>
      <c r="F428" s="17"/>
      <c r="G428" s="17"/>
      <c r="AL428" s="28">
        <v>0.0</v>
      </c>
      <c r="AM428" s="28">
        <v>-0.09</v>
      </c>
      <c r="AN428" s="28"/>
      <c r="AO428" s="28"/>
    </row>
    <row r="429">
      <c r="D429" s="17"/>
      <c r="E429" s="17"/>
      <c r="F429" s="17"/>
      <c r="G429" s="17"/>
      <c r="AL429" s="28">
        <v>-0.15</v>
      </c>
      <c r="AM429" s="28">
        <v>-0.36</v>
      </c>
      <c r="AN429" s="28"/>
      <c r="AO429" s="28"/>
    </row>
    <row r="430">
      <c r="D430" s="17"/>
      <c r="E430" s="17"/>
      <c r="F430" s="17"/>
      <c r="G430" s="17"/>
      <c r="AL430" s="28">
        <v>-0.01</v>
      </c>
      <c r="AM430" s="28">
        <v>-0.11</v>
      </c>
      <c r="AN430" s="28"/>
      <c r="AO430" s="28"/>
    </row>
    <row r="431">
      <c r="D431" s="17"/>
      <c r="E431" s="17"/>
      <c r="F431" s="17"/>
      <c r="G431" s="17"/>
      <c r="AL431" s="28">
        <v>-0.16</v>
      </c>
      <c r="AM431" s="28">
        <v>-0.13</v>
      </c>
      <c r="AN431" s="28"/>
      <c r="AO431" s="28"/>
    </row>
    <row r="432">
      <c r="D432" s="17"/>
      <c r="E432" s="17"/>
      <c r="F432" s="17"/>
      <c r="G432" s="17"/>
      <c r="AL432" s="28">
        <v>-0.12</v>
      </c>
      <c r="AM432" s="28">
        <v>-0.2</v>
      </c>
      <c r="AN432" s="28"/>
      <c r="AO432" s="28"/>
    </row>
    <row r="433">
      <c r="D433" s="17"/>
      <c r="E433" s="17"/>
      <c r="F433" s="17"/>
      <c r="G433" s="17"/>
      <c r="AL433" s="28">
        <v>-0.1</v>
      </c>
      <c r="AM433" s="28">
        <v>-0.28</v>
      </c>
      <c r="AN433" s="28"/>
      <c r="AO433" s="28"/>
    </row>
    <row r="434">
      <c r="D434" s="17"/>
      <c r="E434" s="17"/>
      <c r="F434" s="17"/>
      <c r="G434" s="17"/>
      <c r="AL434" s="28">
        <v>0.05</v>
      </c>
      <c r="AM434" s="28">
        <v>-0.18</v>
      </c>
      <c r="AN434" s="28"/>
      <c r="AO434" s="28"/>
    </row>
    <row r="435">
      <c r="D435" s="17"/>
      <c r="E435" s="17"/>
      <c r="F435" s="17"/>
      <c r="G435" s="17"/>
      <c r="AL435" s="28">
        <v>0.01</v>
      </c>
      <c r="AM435" s="28">
        <v>-0.13</v>
      </c>
      <c r="AN435" s="28"/>
      <c r="AO435" s="28"/>
    </row>
    <row r="436">
      <c r="D436" s="17"/>
      <c r="E436" s="17"/>
      <c r="F436" s="17"/>
      <c r="G436" s="17"/>
      <c r="AL436" s="28">
        <v>-0.09</v>
      </c>
      <c r="AM436" s="28">
        <v>-0.13</v>
      </c>
      <c r="AN436" s="28"/>
      <c r="AO436" s="28"/>
    </row>
    <row r="437">
      <c r="D437" s="17"/>
      <c r="E437" s="17"/>
      <c r="F437" s="17"/>
      <c r="G437" s="17"/>
      <c r="AL437" s="28">
        <v>-0.07</v>
      </c>
      <c r="AM437" s="28">
        <v>-0.11</v>
      </c>
      <c r="AN437" s="28"/>
      <c r="AO437" s="28"/>
    </row>
    <row r="438">
      <c r="D438" s="17"/>
      <c r="E438" s="17"/>
      <c r="F438" s="17"/>
      <c r="G438" s="17"/>
      <c r="AL438" s="28">
        <v>-0.26</v>
      </c>
      <c r="AM438" s="28">
        <v>-0.29</v>
      </c>
      <c r="AN438" s="28"/>
      <c r="AO438" s="28"/>
    </row>
    <row r="439">
      <c r="D439" s="17"/>
      <c r="E439" s="17"/>
      <c r="F439" s="17"/>
      <c r="G439" s="17"/>
      <c r="AL439" s="28">
        <v>-0.24</v>
      </c>
      <c r="AM439" s="28">
        <v>-0.33</v>
      </c>
      <c r="AN439" s="28"/>
      <c r="AO439" s="28"/>
    </row>
    <row r="440">
      <c r="D440" s="17"/>
      <c r="E440" s="17"/>
      <c r="F440" s="17"/>
      <c r="G440" s="17"/>
      <c r="AL440" s="28">
        <v>-0.03</v>
      </c>
      <c r="AM440" s="28">
        <v>-0.25</v>
      </c>
      <c r="AN440" s="28"/>
      <c r="AO440" s="28"/>
    </row>
    <row r="441">
      <c r="D441" s="17"/>
      <c r="E441" s="17"/>
      <c r="F441" s="17"/>
      <c r="G441" s="17"/>
      <c r="AL441" s="28">
        <v>-0.25</v>
      </c>
      <c r="AM441" s="28">
        <v>-0.41</v>
      </c>
      <c r="AN441" s="28"/>
      <c r="AO441" s="28"/>
    </row>
    <row r="442">
      <c r="D442" s="17"/>
      <c r="E442" s="17"/>
      <c r="F442" s="17"/>
      <c r="G442" s="17"/>
      <c r="AL442" s="28">
        <v>-0.01</v>
      </c>
      <c r="AM442" s="28">
        <v>-0.04</v>
      </c>
      <c r="AN442" s="28"/>
      <c r="AO442" s="28"/>
    </row>
    <row r="443">
      <c r="D443" s="17"/>
      <c r="E443" s="17"/>
      <c r="F443" s="17"/>
      <c r="G443" s="17"/>
      <c r="AL443" s="28">
        <v>0.05</v>
      </c>
      <c r="AM443" s="28">
        <v>-0.28</v>
      </c>
      <c r="AN443" s="28"/>
      <c r="AO443" s="28"/>
    </row>
    <row r="444">
      <c r="D444" s="17"/>
      <c r="E444" s="17"/>
      <c r="F444" s="17"/>
      <c r="G444" s="17"/>
      <c r="AL444" s="28">
        <v>-0.04</v>
      </c>
      <c r="AM444" s="28">
        <v>-0.1</v>
      </c>
      <c r="AN444" s="28"/>
      <c r="AO444" s="28"/>
    </row>
    <row r="445">
      <c r="D445" s="17"/>
      <c r="E445" s="17"/>
      <c r="F445" s="17"/>
      <c r="G445" s="17"/>
      <c r="AL445" s="28">
        <v>-0.25</v>
      </c>
      <c r="AM445" s="28">
        <v>-0.3</v>
      </c>
      <c r="AN445" s="28"/>
      <c r="AO445" s="28"/>
    </row>
    <row r="446">
      <c r="D446" s="17"/>
      <c r="E446" s="17"/>
      <c r="F446" s="17"/>
      <c r="G446" s="17"/>
      <c r="AL446" s="28">
        <v>-0.23</v>
      </c>
      <c r="AM446" s="28">
        <v>-0.28</v>
      </c>
      <c r="AN446" s="28"/>
      <c r="AO446" s="28"/>
    </row>
    <row r="447">
      <c r="D447" s="17"/>
      <c r="E447" s="17"/>
      <c r="F447" s="17"/>
      <c r="G447" s="17"/>
      <c r="AL447" s="28">
        <v>-0.14</v>
      </c>
      <c r="AM447" s="28">
        <v>-0.26</v>
      </c>
      <c r="AN447" s="28"/>
      <c r="AO447" s="28"/>
    </row>
    <row r="448">
      <c r="D448" s="17"/>
      <c r="E448" s="17"/>
      <c r="F448" s="17"/>
      <c r="G448" s="17"/>
      <c r="AL448" s="28">
        <v>-0.12</v>
      </c>
      <c r="AM448" s="28">
        <v>-0.24</v>
      </c>
      <c r="AN448" s="28"/>
      <c r="AO448" s="28"/>
    </row>
    <row r="449">
      <c r="D449" s="17"/>
      <c r="E449" s="17"/>
      <c r="F449" s="17"/>
      <c r="G449" s="17"/>
      <c r="AL449" s="28">
        <v>-0.17</v>
      </c>
      <c r="AM449" s="28">
        <v>-0.14</v>
      </c>
      <c r="AN449" s="28"/>
      <c r="AO449" s="28"/>
    </row>
    <row r="450">
      <c r="D450" s="17"/>
      <c r="E450" s="17"/>
      <c r="F450" s="17"/>
      <c r="G450" s="17"/>
      <c r="AL450" s="28">
        <v>0.22</v>
      </c>
      <c r="AM450" s="28">
        <v>-0.28</v>
      </c>
      <c r="AN450" s="28"/>
      <c r="AO450" s="28"/>
    </row>
    <row r="451">
      <c r="D451" s="17"/>
      <c r="E451" s="17"/>
      <c r="F451" s="17"/>
      <c r="G451" s="17"/>
      <c r="AL451" s="28">
        <v>0.04</v>
      </c>
      <c r="AM451" s="28">
        <v>-0.23</v>
      </c>
      <c r="AN451" s="28"/>
      <c r="AO451" s="28"/>
    </row>
    <row r="452">
      <c r="D452" s="17"/>
      <c r="E452" s="17"/>
      <c r="F452" s="17"/>
      <c r="G452" s="17"/>
      <c r="AL452" s="28">
        <v>-0.11</v>
      </c>
      <c r="AM452" s="28">
        <v>0.01</v>
      </c>
      <c r="AN452" s="28"/>
      <c r="AO452" s="28"/>
    </row>
    <row r="453">
      <c r="D453" s="17"/>
      <c r="E453" s="17"/>
      <c r="F453" s="17"/>
      <c r="G453" s="17"/>
      <c r="AL453" s="28">
        <v>-0.2</v>
      </c>
      <c r="AM453" s="28">
        <v>-0.4</v>
      </c>
      <c r="AN453" s="28"/>
      <c r="AO453" s="28"/>
    </row>
    <row r="454">
      <c r="D454" s="17"/>
      <c r="E454" s="17"/>
      <c r="F454" s="17"/>
      <c r="G454" s="17"/>
      <c r="AL454" s="28">
        <v>-0.04</v>
      </c>
      <c r="AM454" s="28">
        <v>0.0</v>
      </c>
      <c r="AN454" s="28"/>
      <c r="AO454" s="28"/>
    </row>
    <row r="455">
      <c r="D455" s="17"/>
      <c r="E455" s="17"/>
      <c r="F455" s="17"/>
      <c r="G455" s="17"/>
      <c r="AL455" s="28">
        <v>-0.1</v>
      </c>
      <c r="AM455" s="28">
        <v>-0.45</v>
      </c>
      <c r="AN455" s="28"/>
      <c r="AO455" s="28"/>
    </row>
    <row r="456">
      <c r="D456" s="17"/>
      <c r="E456" s="17"/>
      <c r="F456" s="17"/>
      <c r="G456" s="17"/>
      <c r="AL456" s="28">
        <v>-0.11</v>
      </c>
      <c r="AM456" s="28">
        <v>-0.16</v>
      </c>
      <c r="AN456" s="28"/>
      <c r="AO456" s="28"/>
    </row>
    <row r="457">
      <c r="D457" s="17"/>
      <c r="E457" s="17"/>
      <c r="F457" s="17"/>
      <c r="G457" s="17"/>
      <c r="AL457" s="28">
        <v>-0.13</v>
      </c>
      <c r="AM457" s="28">
        <v>-0.13</v>
      </c>
      <c r="AN457" s="28"/>
      <c r="AO457" s="28"/>
    </row>
    <row r="458">
      <c r="D458" s="17"/>
      <c r="E458" s="17"/>
      <c r="F458" s="17"/>
      <c r="G458" s="17"/>
      <c r="AL458" s="28">
        <v>-0.16</v>
      </c>
      <c r="AM458" s="28">
        <v>-0.19</v>
      </c>
      <c r="AN458" s="28"/>
      <c r="AO458" s="28"/>
    </row>
    <row r="459">
      <c r="D459" s="17"/>
      <c r="E459" s="17"/>
      <c r="F459" s="17"/>
      <c r="G459" s="17"/>
      <c r="AL459" s="28">
        <v>0.09</v>
      </c>
      <c r="AM459" s="28">
        <v>-0.37</v>
      </c>
      <c r="AN459" s="28"/>
      <c r="AO459" s="28"/>
    </row>
    <row r="460">
      <c r="D460" s="17"/>
      <c r="E460" s="17"/>
      <c r="F460" s="17"/>
      <c r="G460" s="17"/>
      <c r="AL460" s="28">
        <v>-0.07</v>
      </c>
      <c r="AM460" s="28">
        <v>-0.19</v>
      </c>
      <c r="AN460" s="28"/>
      <c r="AO460" s="28"/>
    </row>
    <row r="461">
      <c r="D461" s="17"/>
      <c r="E461" s="17"/>
      <c r="F461" s="17"/>
      <c r="G461" s="17"/>
      <c r="AL461" s="28">
        <v>-0.21</v>
      </c>
      <c r="AM461" s="28">
        <v>-0.31</v>
      </c>
      <c r="AN461" s="28"/>
      <c r="AO461" s="28"/>
    </row>
    <row r="462">
      <c r="D462" s="17"/>
      <c r="E462" s="17"/>
      <c r="F462" s="17"/>
      <c r="G462" s="17"/>
      <c r="AL462" s="28">
        <v>0.1</v>
      </c>
      <c r="AM462" s="28">
        <v>-0.16</v>
      </c>
      <c r="AN462" s="28"/>
      <c r="AO462" s="28"/>
    </row>
    <row r="463">
      <c r="D463" s="17"/>
      <c r="E463" s="17"/>
      <c r="F463" s="17"/>
      <c r="G463" s="17"/>
      <c r="AL463" s="28">
        <v>-0.07</v>
      </c>
      <c r="AM463" s="28">
        <v>-0.17</v>
      </c>
      <c r="AN463" s="28"/>
      <c r="AO463" s="28"/>
    </row>
    <row r="464">
      <c r="D464" s="17"/>
      <c r="E464" s="17"/>
      <c r="F464" s="17"/>
      <c r="G464" s="17"/>
      <c r="AL464" s="28">
        <v>-0.11</v>
      </c>
      <c r="AM464" s="28">
        <v>-0.19</v>
      </c>
      <c r="AN464" s="28"/>
      <c r="AO464" s="28"/>
    </row>
    <row r="465">
      <c r="D465" s="17"/>
      <c r="E465" s="17"/>
      <c r="F465" s="17"/>
      <c r="G465" s="17"/>
      <c r="AL465" s="28">
        <v>-0.23</v>
      </c>
      <c r="AM465" s="28">
        <v>-0.26</v>
      </c>
      <c r="AN465" s="28"/>
      <c r="AO465" s="28"/>
    </row>
    <row r="466">
      <c r="D466" s="17"/>
      <c r="E466" s="17"/>
      <c r="F466" s="17"/>
      <c r="G466" s="17"/>
      <c r="AL466" s="28">
        <v>-0.11</v>
      </c>
      <c r="AM466" s="28">
        <v>-0.26</v>
      </c>
      <c r="AN466" s="28"/>
      <c r="AO466" s="28"/>
    </row>
    <row r="467">
      <c r="D467" s="17"/>
      <c r="E467" s="17"/>
      <c r="F467" s="17"/>
      <c r="G467" s="17"/>
      <c r="AL467" s="28">
        <v>-0.16</v>
      </c>
      <c r="AM467" s="28">
        <v>-0.08</v>
      </c>
      <c r="AN467" s="28"/>
      <c r="AO467" s="28"/>
    </row>
    <row r="468">
      <c r="D468" s="17"/>
      <c r="E468" s="17"/>
      <c r="F468" s="17"/>
      <c r="G468" s="17"/>
      <c r="AL468" s="28">
        <v>-0.05</v>
      </c>
      <c r="AM468" s="28">
        <v>0.03</v>
      </c>
      <c r="AN468" s="28"/>
      <c r="AO468" s="28"/>
    </row>
    <row r="469">
      <c r="D469" s="17"/>
      <c r="E469" s="17"/>
      <c r="F469" s="17"/>
      <c r="G469" s="17"/>
      <c r="AL469" s="28">
        <v>-0.05</v>
      </c>
      <c r="AM469" s="28">
        <v>0.01</v>
      </c>
      <c r="AN469" s="28"/>
      <c r="AO469" s="28"/>
    </row>
    <row r="470">
      <c r="D470" s="17"/>
      <c r="E470" s="17"/>
      <c r="F470" s="17"/>
      <c r="G470" s="17"/>
      <c r="AL470" s="28">
        <v>0.02</v>
      </c>
      <c r="AM470" s="28">
        <v>-0.22</v>
      </c>
      <c r="AN470" s="28"/>
      <c r="AO470" s="28"/>
    </row>
    <row r="471">
      <c r="D471" s="17"/>
      <c r="E471" s="17"/>
      <c r="F471" s="17"/>
      <c r="G471" s="17"/>
      <c r="AL471" s="28">
        <v>-0.16</v>
      </c>
      <c r="AM471" s="28">
        <v>-0.32</v>
      </c>
      <c r="AN471" s="28"/>
      <c r="AO471" s="28"/>
    </row>
    <row r="472">
      <c r="D472" s="17"/>
      <c r="E472" s="17"/>
      <c r="F472" s="17"/>
      <c r="G472" s="17"/>
      <c r="AL472" s="28">
        <v>-0.19</v>
      </c>
      <c r="AM472" s="28">
        <v>-0.25</v>
      </c>
      <c r="AN472" s="28"/>
      <c r="AO472" s="28"/>
    </row>
    <row r="473">
      <c r="D473" s="17"/>
      <c r="E473" s="17"/>
      <c r="F473" s="17"/>
      <c r="G473" s="17"/>
      <c r="AL473" s="28">
        <v>-0.43</v>
      </c>
      <c r="AM473" s="28">
        <v>-0.28</v>
      </c>
      <c r="AN473" s="28"/>
      <c r="AO473" s="28"/>
    </row>
    <row r="474">
      <c r="D474" s="17"/>
      <c r="E474" s="17"/>
      <c r="F474" s="17"/>
      <c r="G474" s="17"/>
      <c r="AL474" s="28">
        <v>-0.19</v>
      </c>
      <c r="AM474" s="28">
        <v>-0.18</v>
      </c>
      <c r="AN474" s="28"/>
      <c r="AO474" s="28"/>
    </row>
    <row r="475">
      <c r="D475" s="17"/>
      <c r="E475" s="17"/>
      <c r="F475" s="17"/>
      <c r="G475" s="17"/>
      <c r="AL475" s="28">
        <v>-0.23</v>
      </c>
      <c r="AM475" s="28">
        <v>-0.44</v>
      </c>
      <c r="AN475" s="28"/>
      <c r="AO475" s="28"/>
    </row>
    <row r="476">
      <c r="D476" s="17"/>
      <c r="E476" s="17"/>
      <c r="F476" s="17"/>
      <c r="G476" s="17"/>
      <c r="AL476" s="28">
        <v>-0.06</v>
      </c>
      <c r="AM476" s="28">
        <v>-0.25</v>
      </c>
      <c r="AN476" s="28"/>
      <c r="AO476" s="28"/>
    </row>
    <row r="477">
      <c r="D477" s="17"/>
      <c r="E477" s="17"/>
      <c r="F477" s="17"/>
      <c r="G477" s="17"/>
      <c r="AL477" s="28">
        <v>-0.23</v>
      </c>
      <c r="AM477" s="28">
        <v>-0.33</v>
      </c>
      <c r="AN477" s="28"/>
      <c r="AO477" s="28"/>
    </row>
    <row r="478">
      <c r="D478" s="17"/>
      <c r="E478" s="17"/>
      <c r="F478" s="17"/>
      <c r="G478" s="17"/>
      <c r="AL478" s="28">
        <v>-0.11</v>
      </c>
      <c r="AM478" s="28">
        <v>-0.37</v>
      </c>
      <c r="AN478" s="28"/>
      <c r="AO478" s="28"/>
    </row>
    <row r="479">
      <c r="D479" s="17"/>
      <c r="E479" s="17"/>
      <c r="F479" s="17"/>
      <c r="G479" s="17"/>
      <c r="AL479" s="28">
        <v>-0.31</v>
      </c>
      <c r="AM479" s="28">
        <v>-0.26</v>
      </c>
      <c r="AN479" s="28"/>
      <c r="AO479" s="28"/>
    </row>
    <row r="480">
      <c r="D480" s="17"/>
      <c r="E480" s="17"/>
      <c r="F480" s="17"/>
      <c r="G480" s="17"/>
      <c r="AL480" s="28">
        <v>-0.24</v>
      </c>
      <c r="AM480" s="28">
        <v>-0.24</v>
      </c>
      <c r="AN480" s="28"/>
      <c r="AO480" s="28"/>
    </row>
    <row r="481">
      <c r="D481" s="17"/>
      <c r="E481" s="17"/>
      <c r="F481" s="17"/>
      <c r="G481" s="17"/>
      <c r="AL481" s="28">
        <v>-0.24</v>
      </c>
      <c r="AM481" s="28">
        <v>-0.37</v>
      </c>
      <c r="AN481" s="28"/>
      <c r="AO481" s="28"/>
    </row>
    <row r="482">
      <c r="D482" s="17"/>
      <c r="E482" s="17"/>
      <c r="F482" s="17"/>
      <c r="G482" s="17"/>
      <c r="AL482" s="28">
        <v>-0.19</v>
      </c>
      <c r="AM482" s="28">
        <v>-0.09</v>
      </c>
      <c r="AN482" s="28"/>
      <c r="AO482" s="28"/>
    </row>
    <row r="483">
      <c r="D483" s="17"/>
      <c r="E483" s="17"/>
      <c r="F483" s="17"/>
      <c r="G483" s="17"/>
      <c r="AL483" s="28">
        <v>0.0</v>
      </c>
      <c r="AM483" s="28">
        <v>-0.49</v>
      </c>
      <c r="AN483" s="28"/>
      <c r="AO483" s="28"/>
    </row>
    <row r="484">
      <c r="D484" s="17"/>
      <c r="E484" s="17"/>
      <c r="F484" s="17"/>
      <c r="G484" s="17"/>
      <c r="AL484" s="28">
        <v>0.02</v>
      </c>
      <c r="AM484" s="28">
        <v>0.0</v>
      </c>
      <c r="AN484" s="28"/>
      <c r="AO484" s="28"/>
    </row>
    <row r="485">
      <c r="D485" s="17"/>
      <c r="E485" s="17"/>
      <c r="F485" s="17"/>
      <c r="G485" s="17"/>
      <c r="AL485" s="28">
        <v>-0.21</v>
      </c>
      <c r="AM485" s="28">
        <v>-0.07</v>
      </c>
      <c r="AN485" s="28"/>
      <c r="AO485" s="28"/>
    </row>
    <row r="486">
      <c r="D486" s="17"/>
      <c r="E486" s="17"/>
      <c r="F486" s="17"/>
      <c r="G486" s="17"/>
      <c r="AL486" s="28">
        <v>0.06</v>
      </c>
      <c r="AM486" s="28">
        <v>-0.12</v>
      </c>
      <c r="AN486" s="28"/>
      <c r="AO486" s="28"/>
    </row>
    <row r="487">
      <c r="D487" s="17"/>
      <c r="E487" s="17"/>
      <c r="F487" s="17"/>
      <c r="G487" s="17"/>
      <c r="AL487" s="28">
        <v>-0.11</v>
      </c>
      <c r="AM487" s="28">
        <v>-0.16</v>
      </c>
      <c r="AN487" s="28"/>
      <c r="AO487" s="28"/>
    </row>
    <row r="488">
      <c r="D488" s="17"/>
      <c r="E488" s="17"/>
      <c r="F488" s="17"/>
      <c r="G488" s="17"/>
      <c r="AL488" s="28">
        <v>-0.27</v>
      </c>
      <c r="AM488" s="28">
        <v>-0.25</v>
      </c>
      <c r="AN488" s="28"/>
      <c r="AO488" s="28"/>
    </row>
    <row r="489">
      <c r="D489" s="17"/>
      <c r="E489" s="17"/>
      <c r="F489" s="17"/>
      <c r="G489" s="17"/>
      <c r="AL489" s="28">
        <v>-0.31</v>
      </c>
      <c r="AM489" s="28">
        <v>-0.16</v>
      </c>
      <c r="AN489" s="28"/>
      <c r="AO489" s="28"/>
    </row>
    <row r="490">
      <c r="D490" s="17"/>
      <c r="E490" s="17"/>
      <c r="F490" s="17"/>
      <c r="G490" s="17"/>
      <c r="AL490" s="28">
        <v>-0.05</v>
      </c>
      <c r="AM490" s="28">
        <v>-0.09</v>
      </c>
      <c r="AN490" s="28"/>
      <c r="AO490" s="28"/>
    </row>
    <row r="491">
      <c r="D491" s="17"/>
      <c r="E491" s="17"/>
      <c r="F491" s="17"/>
      <c r="G491" s="17"/>
      <c r="AL491" s="28">
        <v>-0.14</v>
      </c>
      <c r="AM491" s="28">
        <v>-0.08</v>
      </c>
      <c r="AN491" s="28"/>
      <c r="AO491" s="28"/>
    </row>
    <row r="492">
      <c r="D492" s="17"/>
      <c r="E492" s="17"/>
      <c r="F492" s="17"/>
      <c r="G492" s="17"/>
      <c r="AL492" s="28">
        <v>-0.14</v>
      </c>
      <c r="AM492" s="28">
        <v>0.0</v>
      </c>
      <c r="AN492" s="28"/>
      <c r="AO492" s="28"/>
    </row>
    <row r="493">
      <c r="D493" s="17"/>
      <c r="E493" s="17"/>
      <c r="F493" s="17"/>
      <c r="G493" s="17"/>
      <c r="AL493" s="28">
        <v>-0.25</v>
      </c>
      <c r="AM493" s="28">
        <v>-0.21</v>
      </c>
      <c r="AN493" s="28"/>
      <c r="AO493" s="28"/>
    </row>
    <row r="494">
      <c r="D494" s="17"/>
      <c r="E494" s="17"/>
      <c r="F494" s="17"/>
      <c r="G494" s="17"/>
      <c r="AL494" s="28">
        <v>-0.08</v>
      </c>
      <c r="AM494" s="28">
        <v>-0.25</v>
      </c>
      <c r="AN494" s="28"/>
      <c r="AO494" s="28"/>
    </row>
    <row r="495">
      <c r="D495" s="17"/>
      <c r="E495" s="17"/>
      <c r="F495" s="17"/>
      <c r="G495" s="17"/>
      <c r="AL495" s="28">
        <v>-0.02</v>
      </c>
      <c r="AM495" s="28">
        <v>-0.28</v>
      </c>
      <c r="AN495" s="28"/>
      <c r="AO495" s="28"/>
    </row>
    <row r="496">
      <c r="D496" s="17"/>
      <c r="E496" s="17"/>
      <c r="F496" s="17"/>
      <c r="G496" s="17"/>
      <c r="AL496" s="28">
        <v>-0.22</v>
      </c>
      <c r="AM496" s="28">
        <v>-0.08</v>
      </c>
      <c r="AN496" s="28"/>
      <c r="AO496" s="28"/>
    </row>
    <row r="497">
      <c r="D497" s="17"/>
      <c r="E497" s="17"/>
      <c r="F497" s="17"/>
      <c r="G497" s="17"/>
      <c r="AL497" s="28">
        <v>-0.08</v>
      </c>
      <c r="AM497" s="28">
        <v>-0.09</v>
      </c>
      <c r="AN497" s="28"/>
      <c r="AO497" s="28"/>
    </row>
    <row r="498">
      <c r="D498" s="17"/>
      <c r="E498" s="17"/>
      <c r="F498" s="17"/>
      <c r="G498" s="17"/>
      <c r="AL498" s="28">
        <v>0.2</v>
      </c>
      <c r="AM498" s="28">
        <v>-0.39</v>
      </c>
      <c r="AN498" s="28"/>
      <c r="AO498" s="28"/>
    </row>
    <row r="499">
      <c r="D499" s="17"/>
      <c r="E499" s="17"/>
      <c r="F499" s="17"/>
      <c r="G499" s="17"/>
      <c r="AL499" s="28">
        <v>0.13</v>
      </c>
      <c r="AM499" s="28">
        <v>-0.17</v>
      </c>
      <c r="AN499" s="28"/>
      <c r="AO499" s="28"/>
    </row>
    <row r="500">
      <c r="D500" s="17"/>
      <c r="E500" s="17"/>
      <c r="F500" s="17"/>
      <c r="G500" s="17"/>
      <c r="AL500" s="28">
        <v>-0.08</v>
      </c>
      <c r="AM500" s="28">
        <v>0.01</v>
      </c>
      <c r="AN500" s="28"/>
      <c r="AO500" s="28"/>
    </row>
    <row r="501">
      <c r="D501" s="17"/>
      <c r="E501" s="17"/>
      <c r="F501" s="17"/>
      <c r="G501" s="17"/>
      <c r="AL501" s="28">
        <v>-0.12</v>
      </c>
      <c r="AM501" s="28">
        <v>-0.16</v>
      </c>
      <c r="AN501" s="28"/>
      <c r="AO501" s="28"/>
    </row>
    <row r="502">
      <c r="D502" s="17"/>
      <c r="E502" s="17"/>
      <c r="F502" s="17"/>
      <c r="G502" s="17"/>
      <c r="AL502" s="28">
        <v>-0.26</v>
      </c>
      <c r="AM502" s="28">
        <v>-0.08</v>
      </c>
      <c r="AN502" s="28"/>
      <c r="AO502" s="28"/>
    </row>
    <row r="503">
      <c r="D503" s="17"/>
      <c r="E503" s="17"/>
      <c r="F503" s="17"/>
      <c r="G503" s="17"/>
      <c r="AL503" s="28">
        <v>-0.25</v>
      </c>
      <c r="AM503" s="28">
        <v>-0.12</v>
      </c>
      <c r="AN503" s="28"/>
      <c r="AO503" s="28"/>
    </row>
    <row r="504">
      <c r="D504" s="17"/>
      <c r="E504" s="17"/>
      <c r="F504" s="17"/>
      <c r="G504" s="17"/>
      <c r="AL504" s="28">
        <v>0.0</v>
      </c>
      <c r="AM504" s="28">
        <v>-0.18</v>
      </c>
      <c r="AN504" s="28"/>
      <c r="AO504" s="28"/>
    </row>
    <row r="505">
      <c r="D505" s="17"/>
      <c r="E505" s="17"/>
      <c r="F505" s="17"/>
      <c r="G505" s="17"/>
      <c r="AL505" s="28">
        <v>-0.29</v>
      </c>
      <c r="AM505" s="28">
        <v>-0.08</v>
      </c>
      <c r="AN505" s="28"/>
      <c r="AO505" s="28"/>
    </row>
    <row r="506">
      <c r="D506" s="17"/>
      <c r="E506" s="17"/>
      <c r="F506" s="17"/>
      <c r="G506" s="17"/>
      <c r="AM506" s="28">
        <v>-0.41</v>
      </c>
      <c r="AN506" s="28"/>
      <c r="AO506" s="28"/>
    </row>
    <row r="507">
      <c r="D507" s="17"/>
      <c r="E507" s="17"/>
      <c r="F507" s="17"/>
      <c r="G507" s="17"/>
      <c r="AM507" s="28">
        <v>-0.23</v>
      </c>
      <c r="AN507" s="28"/>
      <c r="AO507" s="28"/>
    </row>
    <row r="508">
      <c r="D508" s="17"/>
      <c r="E508" s="17"/>
      <c r="F508" s="17"/>
      <c r="G508" s="17"/>
      <c r="AM508" s="28">
        <v>-0.22</v>
      </c>
      <c r="AN508" s="28"/>
      <c r="AO508" s="28"/>
    </row>
    <row r="509">
      <c r="D509" s="17"/>
      <c r="E509" s="17"/>
      <c r="F509" s="17"/>
      <c r="G509" s="17"/>
      <c r="AM509" s="28">
        <v>-0.22</v>
      </c>
      <c r="AN509" s="28"/>
      <c r="AO509" s="28"/>
    </row>
    <row r="510">
      <c r="D510" s="17"/>
      <c r="E510" s="17"/>
      <c r="F510" s="17"/>
      <c r="G510" s="17"/>
      <c r="AM510" s="28">
        <v>-0.34</v>
      </c>
      <c r="AN510" s="28"/>
      <c r="AO510" s="28"/>
    </row>
    <row r="511">
      <c r="D511" s="17"/>
      <c r="E511" s="17"/>
      <c r="F511" s="17"/>
      <c r="G511" s="17"/>
      <c r="AM511" s="28">
        <v>-0.44</v>
      </c>
      <c r="AN511" s="28"/>
      <c r="AO511" s="28"/>
    </row>
    <row r="512">
      <c r="D512" s="17"/>
      <c r="E512" s="17"/>
      <c r="F512" s="17"/>
      <c r="G512" s="17"/>
      <c r="AM512" s="28">
        <v>-0.13</v>
      </c>
      <c r="AN512" s="28"/>
      <c r="AO512" s="28"/>
    </row>
    <row r="513">
      <c r="D513" s="17"/>
      <c r="E513" s="17"/>
      <c r="F513" s="17"/>
      <c r="G513" s="17"/>
      <c r="AM513" s="28">
        <v>-0.19</v>
      </c>
      <c r="AN513" s="28"/>
      <c r="AO513" s="28"/>
    </row>
    <row r="514">
      <c r="D514" s="17"/>
      <c r="E514" s="17"/>
      <c r="F514" s="17"/>
      <c r="G514" s="17"/>
      <c r="AM514" s="28">
        <v>-0.21</v>
      </c>
      <c r="AN514" s="28"/>
      <c r="AO514" s="28"/>
    </row>
    <row r="515">
      <c r="D515" s="17"/>
      <c r="E515" s="17"/>
      <c r="F515" s="17"/>
      <c r="G515" s="17"/>
      <c r="AM515" s="28">
        <v>-0.32</v>
      </c>
      <c r="AN515" s="28"/>
      <c r="AO515" s="28"/>
    </row>
    <row r="516">
      <c r="D516" s="17"/>
      <c r="E516" s="17"/>
      <c r="F516" s="17"/>
      <c r="G516" s="17"/>
      <c r="AM516" s="28">
        <v>0.04</v>
      </c>
      <c r="AN516" s="28"/>
      <c r="AO516" s="28"/>
    </row>
    <row r="517">
      <c r="D517" s="17"/>
      <c r="E517" s="17"/>
      <c r="F517" s="17"/>
      <c r="G517" s="17"/>
      <c r="AM517" s="28">
        <v>-0.08</v>
      </c>
      <c r="AN517" s="28"/>
      <c r="AO517" s="28"/>
    </row>
    <row r="518">
      <c r="D518" s="17"/>
      <c r="E518" s="17"/>
      <c r="F518" s="17"/>
      <c r="G518" s="17"/>
      <c r="AM518" s="28">
        <v>-0.19</v>
      </c>
      <c r="AN518" s="28"/>
      <c r="AO518" s="28"/>
    </row>
    <row r="519">
      <c r="D519" s="17"/>
      <c r="E519" s="17"/>
      <c r="F519" s="17"/>
      <c r="G519" s="17"/>
      <c r="AM519" s="28">
        <v>-0.16</v>
      </c>
      <c r="AN519" s="28"/>
      <c r="AO519" s="28"/>
    </row>
    <row r="520">
      <c r="D520" s="17"/>
      <c r="E520" s="17"/>
      <c r="F520" s="17"/>
      <c r="G520" s="17"/>
      <c r="AM520" s="28">
        <v>-0.02</v>
      </c>
      <c r="AN520" s="28"/>
      <c r="AO520" s="28"/>
    </row>
    <row r="521">
      <c r="D521" s="17"/>
      <c r="E521" s="17"/>
      <c r="F521" s="17"/>
      <c r="G521" s="17"/>
      <c r="AM521" s="28">
        <v>-0.26</v>
      </c>
      <c r="AN521" s="28"/>
      <c r="AO521" s="28"/>
    </row>
    <row r="522">
      <c r="D522" s="17"/>
      <c r="E522" s="17"/>
      <c r="F522" s="17"/>
      <c r="G522" s="17"/>
      <c r="AM522" s="28">
        <v>-0.13</v>
      </c>
      <c r="AN522" s="28"/>
      <c r="AO522" s="28"/>
    </row>
    <row r="523">
      <c r="D523" s="17"/>
      <c r="E523" s="17"/>
      <c r="F523" s="17"/>
      <c r="G523" s="17"/>
      <c r="AM523" s="28">
        <v>-0.17</v>
      </c>
      <c r="AN523" s="28"/>
      <c r="AO523" s="28"/>
    </row>
    <row r="524">
      <c r="D524" s="17"/>
      <c r="E524" s="17"/>
      <c r="F524" s="17"/>
      <c r="G524" s="17"/>
      <c r="AM524" s="28">
        <v>0.08</v>
      </c>
      <c r="AN524" s="28"/>
      <c r="AO524" s="28"/>
    </row>
    <row r="525">
      <c r="D525" s="17"/>
      <c r="E525" s="17"/>
      <c r="F525" s="17"/>
      <c r="G525" s="17"/>
      <c r="AM525" s="28">
        <v>-0.01</v>
      </c>
      <c r="AN525" s="28"/>
      <c r="AO525" s="28"/>
    </row>
    <row r="526">
      <c r="D526" s="17"/>
      <c r="E526" s="17"/>
      <c r="F526" s="17"/>
      <c r="G526" s="17"/>
      <c r="AM526" s="28">
        <v>-0.12</v>
      </c>
      <c r="AN526" s="28"/>
      <c r="AO526" s="28"/>
    </row>
    <row r="527">
      <c r="D527" s="17"/>
      <c r="E527" s="17"/>
      <c r="F527" s="17"/>
      <c r="G527" s="17"/>
      <c r="AM527" s="28">
        <v>-0.27</v>
      </c>
      <c r="AN527" s="28"/>
      <c r="AO527" s="28"/>
    </row>
    <row r="528">
      <c r="D528" s="17"/>
      <c r="E528" s="17"/>
      <c r="F528" s="17"/>
      <c r="G528" s="17"/>
      <c r="AM528" s="28">
        <v>-0.08</v>
      </c>
      <c r="AN528" s="28"/>
      <c r="AO528" s="28"/>
    </row>
    <row r="529">
      <c r="D529" s="17"/>
      <c r="E529" s="17"/>
      <c r="F529" s="17"/>
      <c r="G529" s="17"/>
      <c r="AM529" s="28">
        <v>0.02</v>
      </c>
      <c r="AN529" s="28"/>
      <c r="AO529" s="28"/>
    </row>
    <row r="530">
      <c r="D530" s="17"/>
      <c r="E530" s="17"/>
      <c r="F530" s="17"/>
      <c r="G530" s="17"/>
      <c r="AM530" s="28">
        <v>0.06</v>
      </c>
      <c r="AN530" s="28"/>
      <c r="AO530" s="28"/>
    </row>
    <row r="531">
      <c r="D531" s="17"/>
      <c r="E531" s="17"/>
      <c r="F531" s="17"/>
      <c r="G531" s="17"/>
      <c r="AM531" s="28">
        <v>-0.28</v>
      </c>
      <c r="AN531" s="28"/>
      <c r="AO531" s="28"/>
    </row>
    <row r="532">
      <c r="D532" s="17"/>
      <c r="E532" s="17"/>
      <c r="F532" s="17"/>
      <c r="G532" s="17"/>
      <c r="AM532" s="28">
        <v>0.04</v>
      </c>
      <c r="AN532" s="28"/>
      <c r="AO532" s="28"/>
    </row>
    <row r="533">
      <c r="D533" s="17"/>
      <c r="E533" s="17"/>
      <c r="F533" s="17"/>
      <c r="G533" s="17"/>
      <c r="AM533" s="28">
        <v>-0.08</v>
      </c>
      <c r="AN533" s="28"/>
      <c r="AO533" s="28"/>
    </row>
    <row r="534">
      <c r="D534" s="17"/>
      <c r="E534" s="17"/>
      <c r="F534" s="17"/>
      <c r="G534" s="17"/>
      <c r="AM534" s="28">
        <v>-0.23</v>
      </c>
      <c r="AN534" s="28"/>
      <c r="AO534" s="28"/>
    </row>
    <row r="535">
      <c r="D535" s="17"/>
      <c r="E535" s="17"/>
      <c r="F535" s="17"/>
      <c r="G535" s="17"/>
      <c r="AM535" s="28">
        <v>-0.17</v>
      </c>
      <c r="AN535" s="28"/>
      <c r="AO535" s="28"/>
    </row>
    <row r="536">
      <c r="D536" s="17"/>
      <c r="E536" s="17"/>
      <c r="F536" s="17"/>
      <c r="G536" s="17"/>
      <c r="AM536" s="28">
        <v>-0.15</v>
      </c>
      <c r="AN536" s="28"/>
      <c r="AO536" s="28"/>
    </row>
    <row r="537">
      <c r="D537" s="17"/>
      <c r="E537" s="17"/>
      <c r="F537" s="17"/>
      <c r="G537" s="17"/>
      <c r="AM537" s="28">
        <v>-0.25</v>
      </c>
      <c r="AN537" s="28"/>
      <c r="AO537" s="28"/>
    </row>
    <row r="538">
      <c r="D538" s="17"/>
      <c r="E538" s="17"/>
      <c r="F538" s="17"/>
      <c r="G538" s="17"/>
      <c r="AM538" s="28">
        <v>-0.05</v>
      </c>
      <c r="AN538" s="28"/>
      <c r="AO538" s="28"/>
    </row>
    <row r="539">
      <c r="D539" s="17"/>
      <c r="E539" s="17"/>
      <c r="F539" s="17"/>
      <c r="G539" s="17"/>
      <c r="AM539" s="28">
        <v>-0.03</v>
      </c>
      <c r="AN539" s="28"/>
      <c r="AO539" s="28"/>
    </row>
    <row r="540">
      <c r="D540" s="17"/>
      <c r="E540" s="17"/>
      <c r="F540" s="17"/>
      <c r="G540" s="17"/>
      <c r="AM540" s="28">
        <v>-0.1</v>
      </c>
      <c r="AN540" s="28"/>
      <c r="AO540" s="28"/>
    </row>
    <row r="541">
      <c r="D541" s="17"/>
      <c r="E541" s="17"/>
      <c r="F541" s="17"/>
      <c r="G541" s="17"/>
      <c r="AM541" s="28">
        <v>-0.16</v>
      </c>
      <c r="AN541" s="28"/>
      <c r="AO541" s="28"/>
    </row>
    <row r="542">
      <c r="D542" s="17"/>
      <c r="E542" s="17"/>
      <c r="F542" s="17"/>
      <c r="G542" s="17"/>
      <c r="AM542" s="28">
        <v>-0.09</v>
      </c>
      <c r="AN542" s="28"/>
      <c r="AO542" s="28"/>
    </row>
    <row r="543">
      <c r="D543" s="17"/>
      <c r="E543" s="17"/>
      <c r="F543" s="17"/>
      <c r="G543" s="17"/>
      <c r="AM543" s="28">
        <v>-0.14</v>
      </c>
      <c r="AN543" s="28"/>
      <c r="AO543" s="28"/>
    </row>
    <row r="544">
      <c r="D544" s="17"/>
      <c r="E544" s="17"/>
      <c r="F544" s="17"/>
      <c r="G544" s="17"/>
      <c r="AM544" s="28">
        <v>-0.2</v>
      </c>
      <c r="AN544" s="28"/>
      <c r="AO544" s="28"/>
    </row>
    <row r="545">
      <c r="D545" s="17"/>
      <c r="E545" s="17"/>
      <c r="F545" s="17"/>
      <c r="G545" s="17"/>
      <c r="AM545" s="28">
        <v>-0.26</v>
      </c>
      <c r="AN545" s="28"/>
      <c r="AO545" s="28"/>
    </row>
    <row r="546">
      <c r="D546" s="17"/>
      <c r="E546" s="17"/>
      <c r="F546" s="17"/>
      <c r="G546" s="17"/>
      <c r="AM546" s="28">
        <v>-0.06</v>
      </c>
      <c r="AN546" s="28"/>
      <c r="AO546" s="28"/>
    </row>
    <row r="547">
      <c r="D547" s="17"/>
      <c r="E547" s="17"/>
      <c r="F547" s="17"/>
      <c r="G547" s="17"/>
      <c r="AM547" s="28">
        <v>-0.18</v>
      </c>
      <c r="AN547" s="28"/>
      <c r="AO547" s="28"/>
    </row>
    <row r="548">
      <c r="D548" s="17"/>
      <c r="E548" s="17"/>
      <c r="F548" s="17"/>
      <c r="G548" s="17"/>
      <c r="AM548" s="28">
        <v>0.04</v>
      </c>
      <c r="AN548" s="28"/>
      <c r="AO548" s="28"/>
    </row>
    <row r="549">
      <c r="D549" s="17"/>
      <c r="E549" s="17"/>
      <c r="F549" s="17"/>
      <c r="G549" s="17"/>
      <c r="AM549" s="28">
        <v>-0.19</v>
      </c>
      <c r="AN549" s="28"/>
      <c r="AO549" s="28"/>
    </row>
    <row r="550">
      <c r="D550" s="17"/>
      <c r="E550" s="17"/>
      <c r="F550" s="17"/>
      <c r="G550" s="17"/>
      <c r="AM550" s="28">
        <v>-0.31</v>
      </c>
      <c r="AN550" s="28"/>
      <c r="AO550" s="28"/>
    </row>
    <row r="551">
      <c r="D551" s="17"/>
      <c r="E551" s="17"/>
      <c r="F551" s="17"/>
      <c r="G551" s="17"/>
      <c r="AM551" s="28">
        <v>-0.14</v>
      </c>
      <c r="AN551" s="28"/>
      <c r="AO551" s="28"/>
    </row>
    <row r="552">
      <c r="D552" s="17"/>
      <c r="E552" s="17"/>
      <c r="F552" s="17"/>
      <c r="G552" s="17"/>
      <c r="AM552" s="28">
        <v>-0.12</v>
      </c>
      <c r="AN552" s="28"/>
      <c r="AO552" s="28"/>
    </row>
    <row r="553">
      <c r="D553" s="17"/>
      <c r="E553" s="17"/>
      <c r="F553" s="17"/>
      <c r="G553" s="17"/>
      <c r="AM553" s="28">
        <v>-0.12</v>
      </c>
      <c r="AN553" s="28"/>
      <c r="AO553" s="28"/>
    </row>
    <row r="554">
      <c r="D554" s="17"/>
      <c r="E554" s="17"/>
      <c r="F554" s="17"/>
      <c r="G554" s="17"/>
      <c r="AM554" s="28">
        <v>-0.17</v>
      </c>
      <c r="AN554" s="28"/>
      <c r="AO554" s="28"/>
    </row>
    <row r="555">
      <c r="D555" s="17"/>
      <c r="E555" s="17"/>
      <c r="F555" s="17"/>
      <c r="G555" s="17"/>
      <c r="AM555" s="28">
        <v>-0.06</v>
      </c>
      <c r="AN555" s="28"/>
      <c r="AO555" s="28"/>
    </row>
    <row r="556">
      <c r="D556" s="17"/>
      <c r="E556" s="17"/>
      <c r="F556" s="17"/>
      <c r="G556" s="17"/>
      <c r="AM556" s="28">
        <v>0.03</v>
      </c>
      <c r="AN556" s="28"/>
      <c r="AO556" s="28"/>
    </row>
    <row r="557">
      <c r="D557" s="17"/>
      <c r="E557" s="17"/>
      <c r="F557" s="17"/>
      <c r="G557" s="17"/>
      <c r="AM557" s="28">
        <v>-0.21</v>
      </c>
      <c r="AN557" s="28"/>
      <c r="AO557" s="28"/>
    </row>
    <row r="558">
      <c r="D558" s="17"/>
      <c r="E558" s="17"/>
      <c r="F558" s="17"/>
      <c r="G558" s="17"/>
      <c r="AM558" s="28">
        <v>-0.23</v>
      </c>
      <c r="AN558" s="28"/>
      <c r="AO558" s="28"/>
    </row>
    <row r="559">
      <c r="D559" s="17"/>
      <c r="E559" s="17"/>
      <c r="F559" s="17"/>
      <c r="G559" s="17"/>
      <c r="AM559" s="28">
        <v>-0.11</v>
      </c>
      <c r="AN559" s="28"/>
      <c r="AO559" s="28"/>
    </row>
    <row r="560">
      <c r="D560" s="17"/>
      <c r="E560" s="17"/>
      <c r="F560" s="17"/>
      <c r="G560" s="17"/>
      <c r="AM560" s="28">
        <v>-0.1</v>
      </c>
      <c r="AN560" s="28"/>
      <c r="AO560" s="28"/>
    </row>
    <row r="561">
      <c r="D561" s="17"/>
      <c r="E561" s="17"/>
      <c r="F561" s="17"/>
      <c r="G561" s="17"/>
      <c r="AM561" s="28">
        <v>-0.1</v>
      </c>
      <c r="AN561" s="28"/>
      <c r="AO561" s="28"/>
    </row>
    <row r="562">
      <c r="D562" s="17"/>
      <c r="E562" s="17"/>
      <c r="F562" s="17"/>
      <c r="G562" s="17"/>
      <c r="AM562" s="28">
        <v>-0.22</v>
      </c>
      <c r="AN562" s="28"/>
      <c r="AO562" s="28"/>
    </row>
    <row r="563">
      <c r="D563" s="17"/>
      <c r="E563" s="17"/>
      <c r="F563" s="17"/>
      <c r="G563" s="17"/>
      <c r="AM563" s="28">
        <v>-0.14</v>
      </c>
      <c r="AN563" s="28"/>
      <c r="AO563" s="28"/>
    </row>
    <row r="564">
      <c r="D564" s="17"/>
      <c r="E564" s="17"/>
      <c r="F564" s="17"/>
      <c r="G564" s="17"/>
      <c r="AM564" s="28">
        <v>0.05</v>
      </c>
      <c r="AN564" s="28"/>
      <c r="AO564" s="28"/>
    </row>
    <row r="565">
      <c r="D565" s="17"/>
      <c r="E565" s="17"/>
      <c r="F565" s="17"/>
      <c r="G565" s="17"/>
      <c r="AM565" s="28">
        <v>-0.15</v>
      </c>
      <c r="AN565" s="28"/>
      <c r="AO565" s="28"/>
    </row>
    <row r="566">
      <c r="D566" s="17"/>
      <c r="E566" s="17"/>
      <c r="F566" s="17"/>
      <c r="G566" s="17"/>
      <c r="AM566" s="28">
        <v>0.03</v>
      </c>
      <c r="AN566" s="28"/>
      <c r="AO566" s="28"/>
    </row>
    <row r="567">
      <c r="D567" s="17"/>
      <c r="E567" s="17"/>
      <c r="F567" s="17"/>
      <c r="G567" s="17"/>
      <c r="AM567" s="28">
        <v>-0.22</v>
      </c>
      <c r="AN567" s="28"/>
      <c r="AO567" s="28"/>
    </row>
    <row r="568">
      <c r="D568" s="17"/>
      <c r="E568" s="17"/>
      <c r="F568" s="17"/>
      <c r="G568" s="17"/>
      <c r="AM568" s="28">
        <v>-0.14</v>
      </c>
      <c r="AN568" s="28"/>
      <c r="AO568" s="28"/>
    </row>
    <row r="569">
      <c r="D569" s="17"/>
      <c r="E569" s="17"/>
      <c r="F569" s="17"/>
      <c r="G569" s="17"/>
      <c r="AM569" s="28">
        <v>-0.28</v>
      </c>
      <c r="AN569" s="28"/>
      <c r="AO569" s="28"/>
    </row>
    <row r="570">
      <c r="D570" s="17"/>
      <c r="E570" s="17"/>
      <c r="F570" s="17"/>
      <c r="G570" s="17"/>
      <c r="AM570" s="28">
        <v>0.07</v>
      </c>
      <c r="AN570" s="28"/>
      <c r="AO570" s="28"/>
    </row>
    <row r="571">
      <c r="D571" s="17"/>
      <c r="E571" s="17"/>
      <c r="F571" s="17"/>
      <c r="G571" s="17"/>
      <c r="AM571" s="28">
        <v>-0.18</v>
      </c>
      <c r="AN571" s="28"/>
      <c r="AO571" s="28"/>
    </row>
    <row r="572">
      <c r="D572" s="17"/>
      <c r="E572" s="17"/>
      <c r="F572" s="17"/>
      <c r="G572" s="17"/>
      <c r="AM572" s="28">
        <v>-0.02</v>
      </c>
      <c r="AN572" s="28"/>
      <c r="AO572" s="28"/>
    </row>
    <row r="573">
      <c r="D573" s="17"/>
      <c r="E573" s="17"/>
      <c r="F573" s="17"/>
      <c r="G573" s="17"/>
      <c r="AM573" s="28">
        <v>0.04</v>
      </c>
      <c r="AN573" s="28"/>
      <c r="AO573" s="28"/>
    </row>
    <row r="574">
      <c r="D574" s="17"/>
      <c r="E574" s="17"/>
      <c r="F574" s="17"/>
      <c r="G574" s="17"/>
      <c r="AM574" s="28">
        <v>-0.12</v>
      </c>
      <c r="AN574" s="28"/>
      <c r="AO574" s="28"/>
    </row>
    <row r="575">
      <c r="D575" s="17"/>
      <c r="E575" s="17"/>
      <c r="F575" s="17"/>
      <c r="G575" s="17"/>
      <c r="AM575" s="28">
        <v>-0.13</v>
      </c>
      <c r="AN575" s="28"/>
      <c r="AO575" s="28"/>
    </row>
    <row r="576">
      <c r="D576" s="17"/>
      <c r="E576" s="17"/>
      <c r="F576" s="17"/>
      <c r="G576" s="17"/>
      <c r="AM576" s="28">
        <v>-0.18</v>
      </c>
      <c r="AN576" s="28"/>
      <c r="AO576" s="28"/>
    </row>
    <row r="577">
      <c r="D577" s="17"/>
      <c r="E577" s="17"/>
      <c r="F577" s="17"/>
      <c r="G577" s="17"/>
      <c r="AM577" s="28">
        <v>-0.08</v>
      </c>
      <c r="AN577" s="28"/>
      <c r="AO577" s="28"/>
    </row>
    <row r="578">
      <c r="D578" s="17"/>
      <c r="E578" s="17"/>
      <c r="F578" s="17"/>
      <c r="G578" s="17"/>
      <c r="AM578" s="28">
        <v>0.02</v>
      </c>
      <c r="AN578" s="28"/>
      <c r="AO578" s="28"/>
    </row>
    <row r="579">
      <c r="D579" s="17"/>
      <c r="E579" s="17"/>
      <c r="F579" s="17"/>
      <c r="G579" s="17"/>
      <c r="AM579" s="28">
        <v>-0.05</v>
      </c>
      <c r="AN579" s="28"/>
      <c r="AO579" s="28"/>
    </row>
    <row r="580">
      <c r="D580" s="17"/>
      <c r="E580" s="17"/>
      <c r="F580" s="17"/>
      <c r="G580" s="17"/>
      <c r="AM580" s="28">
        <v>-0.05</v>
      </c>
      <c r="AN580" s="28"/>
      <c r="AO580" s="28"/>
    </row>
    <row r="581">
      <c r="D581" s="17"/>
      <c r="E581" s="17"/>
      <c r="F581" s="17"/>
      <c r="G581" s="17"/>
      <c r="AM581" s="28">
        <v>-0.17</v>
      </c>
      <c r="AN581" s="28"/>
      <c r="AO581" s="28"/>
    </row>
    <row r="582">
      <c r="D582" s="17"/>
      <c r="E582" s="17"/>
      <c r="F582" s="17"/>
      <c r="G582" s="17"/>
      <c r="AM582" s="28">
        <v>-0.17</v>
      </c>
      <c r="AN582" s="28"/>
      <c r="AO582" s="28"/>
    </row>
    <row r="583">
      <c r="D583" s="17"/>
      <c r="E583" s="17"/>
      <c r="F583" s="17"/>
      <c r="G583" s="17"/>
      <c r="AM583" s="28">
        <v>-0.24</v>
      </c>
      <c r="AN583" s="28"/>
      <c r="AO583" s="28"/>
    </row>
    <row r="584">
      <c r="D584" s="17"/>
      <c r="E584" s="17"/>
      <c r="F584" s="17"/>
      <c r="G584" s="17"/>
      <c r="AM584" s="28">
        <v>-0.17</v>
      </c>
      <c r="AN584" s="28"/>
      <c r="AO584" s="28"/>
    </row>
    <row r="585">
      <c r="D585" s="17"/>
      <c r="E585" s="17"/>
      <c r="F585" s="17"/>
      <c r="G585" s="17"/>
      <c r="AM585" s="28">
        <v>-0.24</v>
      </c>
      <c r="AN585" s="28"/>
      <c r="AO585" s="28"/>
    </row>
    <row r="586">
      <c r="D586" s="17"/>
      <c r="E586" s="17"/>
      <c r="F586" s="17"/>
      <c r="G586" s="17"/>
      <c r="AM586" s="28">
        <v>-0.14</v>
      </c>
      <c r="AN586" s="28"/>
      <c r="AO586" s="28"/>
    </row>
    <row r="587">
      <c r="D587" s="17"/>
      <c r="E587" s="17"/>
      <c r="F587" s="17"/>
      <c r="G587" s="17"/>
      <c r="AM587" s="28">
        <v>-0.17</v>
      </c>
      <c r="AN587" s="28"/>
      <c r="AO587" s="28"/>
    </row>
    <row r="588">
      <c r="D588" s="17"/>
      <c r="E588" s="17"/>
      <c r="F588" s="17"/>
      <c r="G588" s="17"/>
      <c r="AM588" s="28">
        <v>-0.1</v>
      </c>
      <c r="AN588" s="28"/>
      <c r="AO588" s="28"/>
    </row>
    <row r="589">
      <c r="D589" s="17"/>
      <c r="E589" s="17"/>
      <c r="F589" s="17"/>
      <c r="G589" s="17"/>
      <c r="AM589" s="28">
        <v>-0.03</v>
      </c>
      <c r="AN589" s="28"/>
      <c r="AO589" s="28"/>
    </row>
    <row r="590">
      <c r="D590" s="17"/>
      <c r="E590" s="17"/>
      <c r="F590" s="17"/>
      <c r="G590" s="17"/>
      <c r="AM590" s="28">
        <v>-0.15</v>
      </c>
      <c r="AN590" s="28"/>
      <c r="AO590" s="28"/>
    </row>
    <row r="591">
      <c r="D591" s="17"/>
      <c r="E591" s="17"/>
      <c r="F591" s="17"/>
      <c r="G591" s="17"/>
      <c r="AM591" s="28">
        <v>-0.17</v>
      </c>
      <c r="AN591" s="28"/>
      <c r="AO591" s="28"/>
    </row>
    <row r="592">
      <c r="D592" s="17"/>
      <c r="E592" s="17"/>
      <c r="F592" s="17"/>
      <c r="G592" s="17"/>
      <c r="AM592" s="28">
        <v>-0.1</v>
      </c>
      <c r="AN592" s="28"/>
      <c r="AO592" s="28"/>
    </row>
    <row r="593">
      <c r="D593" s="17"/>
      <c r="E593" s="17"/>
      <c r="F593" s="17"/>
      <c r="G593" s="17"/>
      <c r="AM593" s="28">
        <v>-0.14</v>
      </c>
      <c r="AN593" s="28"/>
      <c r="AO593" s="28"/>
    </row>
    <row r="594">
      <c r="D594" s="17"/>
      <c r="E594" s="17"/>
      <c r="F594" s="17"/>
      <c r="G594" s="17"/>
      <c r="AM594" s="28">
        <v>-0.17</v>
      </c>
      <c r="AN594" s="28"/>
      <c r="AO594" s="28"/>
    </row>
    <row r="595">
      <c r="D595" s="17"/>
      <c r="E595" s="17"/>
      <c r="F595" s="17"/>
      <c r="G595" s="17"/>
      <c r="AM595" s="28">
        <v>-0.24</v>
      </c>
      <c r="AN595" s="28"/>
      <c r="AO595" s="28"/>
    </row>
    <row r="596">
      <c r="D596" s="17"/>
      <c r="E596" s="17"/>
      <c r="F596" s="17"/>
      <c r="G596" s="17"/>
      <c r="AM596" s="28">
        <v>-0.02</v>
      </c>
      <c r="AN596" s="28"/>
      <c r="AO596" s="28"/>
    </row>
    <row r="597">
      <c r="D597" s="17"/>
      <c r="E597" s="17"/>
      <c r="F597" s="17"/>
      <c r="G597" s="17"/>
      <c r="AM597" s="28">
        <v>-0.05</v>
      </c>
      <c r="AN597" s="28"/>
      <c r="AO597" s="28"/>
    </row>
    <row r="598">
      <c r="D598" s="17"/>
      <c r="E598" s="17"/>
      <c r="F598" s="17"/>
      <c r="G598" s="17"/>
      <c r="AM598" s="28">
        <v>-0.25</v>
      </c>
      <c r="AN598" s="28"/>
      <c r="AO598" s="28"/>
    </row>
    <row r="599">
      <c r="D599" s="17"/>
      <c r="E599" s="17"/>
      <c r="F599" s="17"/>
      <c r="G599" s="17"/>
      <c r="AM599" s="28">
        <v>-0.28</v>
      </c>
      <c r="AN599" s="28"/>
      <c r="AO599" s="28"/>
    </row>
    <row r="600">
      <c r="D600" s="17"/>
      <c r="E600" s="17"/>
      <c r="F600" s="17"/>
      <c r="G600" s="17"/>
      <c r="AM600" s="28">
        <v>-0.25</v>
      </c>
      <c r="AN600" s="28"/>
      <c r="AO600" s="28"/>
    </row>
    <row r="601">
      <c r="D601" s="17"/>
      <c r="E601" s="17"/>
      <c r="F601" s="17"/>
      <c r="G601" s="17"/>
      <c r="AM601" s="28">
        <v>-0.48</v>
      </c>
      <c r="AN601" s="28"/>
      <c r="AO601" s="28"/>
    </row>
    <row r="602">
      <c r="D602" s="17"/>
      <c r="E602" s="17"/>
      <c r="F602" s="17"/>
      <c r="G602" s="17"/>
      <c r="AM602" s="28">
        <v>-0.19</v>
      </c>
      <c r="AN602" s="28"/>
      <c r="AO602" s="28"/>
    </row>
    <row r="603">
      <c r="D603" s="17"/>
      <c r="E603" s="17"/>
      <c r="F603" s="17"/>
      <c r="G603" s="17"/>
      <c r="AM603" s="28">
        <v>-0.36</v>
      </c>
      <c r="AN603" s="28"/>
      <c r="AO603" s="28"/>
    </row>
    <row r="604">
      <c r="D604" s="17"/>
      <c r="E604" s="17"/>
      <c r="F604" s="17"/>
      <c r="G604" s="17"/>
      <c r="AM604" s="28">
        <v>-0.09</v>
      </c>
      <c r="AN604" s="28"/>
      <c r="AO604" s="28"/>
    </row>
    <row r="605">
      <c r="D605" s="17"/>
      <c r="E605" s="17"/>
      <c r="F605" s="17"/>
      <c r="G605" s="17"/>
      <c r="AM605" s="28">
        <v>-0.08</v>
      </c>
      <c r="AN605" s="28"/>
      <c r="AO605" s="28"/>
    </row>
    <row r="606">
      <c r="D606" s="17"/>
      <c r="E606" s="17"/>
      <c r="F606" s="17"/>
      <c r="G606" s="17"/>
    </row>
    <row r="607">
      <c r="D607" s="17"/>
      <c r="E607" s="17"/>
      <c r="F607" s="17"/>
      <c r="G607" s="17"/>
    </row>
    <row r="608">
      <c r="D608" s="17"/>
      <c r="E608" s="17"/>
      <c r="F608" s="17"/>
      <c r="G608" s="17"/>
    </row>
    <row r="609">
      <c r="D609" s="17"/>
      <c r="E609" s="17"/>
      <c r="F609" s="17"/>
      <c r="G609" s="17"/>
    </row>
    <row r="610">
      <c r="D610" s="17"/>
      <c r="E610" s="17"/>
      <c r="F610" s="17"/>
      <c r="G610" s="17"/>
    </row>
    <row r="611">
      <c r="D611" s="17"/>
      <c r="E611" s="17"/>
      <c r="F611" s="17"/>
      <c r="G611" s="17"/>
    </row>
    <row r="612">
      <c r="D612" s="17"/>
      <c r="E612" s="17"/>
      <c r="F612" s="17"/>
      <c r="G612" s="17"/>
    </row>
    <row r="613">
      <c r="D613" s="17"/>
      <c r="E613" s="17"/>
      <c r="F613" s="17"/>
      <c r="G613" s="17"/>
    </row>
    <row r="614">
      <c r="D614" s="17"/>
      <c r="E614" s="17"/>
      <c r="F614" s="17"/>
      <c r="G614" s="17"/>
    </row>
    <row r="615">
      <c r="D615" s="17"/>
      <c r="E615" s="17"/>
      <c r="F615" s="17"/>
      <c r="G615" s="17"/>
    </row>
    <row r="616">
      <c r="D616" s="17"/>
      <c r="E616" s="17"/>
      <c r="F616" s="17"/>
      <c r="G616" s="17"/>
    </row>
    <row r="617">
      <c r="D617" s="17"/>
      <c r="E617" s="17"/>
      <c r="F617" s="17"/>
      <c r="G617" s="17"/>
    </row>
    <row r="618">
      <c r="D618" s="17"/>
      <c r="E618" s="17"/>
      <c r="F618" s="17"/>
      <c r="G618" s="17"/>
    </row>
    <row r="619">
      <c r="D619" s="17"/>
      <c r="E619" s="17"/>
      <c r="F619" s="17"/>
      <c r="G619" s="17"/>
    </row>
    <row r="620">
      <c r="D620" s="17"/>
      <c r="E620" s="17"/>
      <c r="F620" s="17"/>
      <c r="G620" s="17"/>
    </row>
    <row r="621">
      <c r="D621" s="17"/>
      <c r="E621" s="17"/>
      <c r="F621" s="17"/>
      <c r="G621" s="17"/>
    </row>
    <row r="622">
      <c r="D622" s="17"/>
      <c r="E622" s="17"/>
      <c r="F622" s="17"/>
      <c r="G622" s="17"/>
    </row>
    <row r="623">
      <c r="D623" s="17"/>
      <c r="E623" s="17"/>
      <c r="F623" s="17"/>
      <c r="G623" s="17"/>
    </row>
    <row r="624">
      <c r="D624" s="17"/>
      <c r="E624" s="17"/>
      <c r="F624" s="17"/>
      <c r="G624" s="17"/>
    </row>
    <row r="625">
      <c r="D625" s="17"/>
      <c r="E625" s="17"/>
      <c r="F625" s="17"/>
      <c r="G625" s="17"/>
    </row>
    <row r="626">
      <c r="D626" s="17"/>
      <c r="E626" s="17"/>
      <c r="F626" s="17"/>
      <c r="G626" s="17"/>
    </row>
    <row r="627">
      <c r="D627" s="17"/>
      <c r="E627" s="17"/>
      <c r="F627" s="17"/>
      <c r="G627" s="17"/>
    </row>
    <row r="628">
      <c r="D628" s="17"/>
      <c r="E628" s="17"/>
      <c r="F628" s="17"/>
      <c r="G628" s="17"/>
    </row>
    <row r="629">
      <c r="D629" s="17"/>
      <c r="E629" s="17"/>
      <c r="F629" s="17"/>
      <c r="G629" s="17"/>
    </row>
    <row r="630">
      <c r="D630" s="17"/>
      <c r="E630" s="17"/>
      <c r="F630" s="17"/>
      <c r="G630" s="17"/>
    </row>
    <row r="631">
      <c r="D631" s="17"/>
      <c r="E631" s="17"/>
      <c r="F631" s="17"/>
      <c r="G631" s="17"/>
    </row>
    <row r="632">
      <c r="D632" s="17"/>
      <c r="E632" s="17"/>
      <c r="F632" s="17"/>
      <c r="G632" s="17"/>
    </row>
    <row r="633">
      <c r="D633" s="17"/>
      <c r="E633" s="17"/>
      <c r="F633" s="17"/>
      <c r="G633" s="17"/>
    </row>
    <row r="634">
      <c r="D634" s="17"/>
      <c r="E634" s="17"/>
      <c r="F634" s="17"/>
      <c r="G634" s="17"/>
    </row>
    <row r="635">
      <c r="D635" s="17"/>
      <c r="E635" s="17"/>
      <c r="F635" s="17"/>
      <c r="G635" s="17"/>
    </row>
    <row r="636">
      <c r="D636" s="17"/>
      <c r="E636" s="17"/>
      <c r="F636" s="17"/>
      <c r="G636" s="17"/>
    </row>
    <row r="637">
      <c r="D637" s="17"/>
      <c r="E637" s="17"/>
      <c r="F637" s="17"/>
      <c r="G637" s="17"/>
    </row>
    <row r="638">
      <c r="D638" s="17"/>
      <c r="E638" s="17"/>
      <c r="F638" s="17"/>
      <c r="G638" s="17"/>
    </row>
    <row r="639">
      <c r="D639" s="17"/>
      <c r="E639" s="17"/>
      <c r="F639" s="17"/>
      <c r="G639" s="17"/>
    </row>
    <row r="640">
      <c r="D640" s="17"/>
      <c r="E640" s="17"/>
      <c r="F640" s="17"/>
      <c r="G640" s="17"/>
    </row>
    <row r="641">
      <c r="D641" s="17"/>
      <c r="E641" s="17"/>
      <c r="F641" s="17"/>
      <c r="G641" s="17"/>
    </row>
    <row r="642">
      <c r="D642" s="17"/>
      <c r="E642" s="17"/>
      <c r="F642" s="17"/>
      <c r="G642" s="17"/>
    </row>
    <row r="643">
      <c r="D643" s="17"/>
      <c r="E643" s="17"/>
      <c r="F643" s="17"/>
      <c r="G643" s="17"/>
    </row>
    <row r="644">
      <c r="D644" s="17"/>
      <c r="E644" s="17"/>
      <c r="F644" s="17"/>
      <c r="G644" s="17"/>
    </row>
    <row r="645">
      <c r="D645" s="17"/>
      <c r="E645" s="17"/>
      <c r="F645" s="17"/>
      <c r="G645" s="17"/>
    </row>
    <row r="646">
      <c r="D646" s="17"/>
      <c r="E646" s="17"/>
      <c r="F646" s="17"/>
      <c r="G646" s="17"/>
    </row>
    <row r="647">
      <c r="D647" s="17"/>
      <c r="E647" s="17"/>
      <c r="F647" s="17"/>
      <c r="G647" s="17"/>
    </row>
    <row r="648">
      <c r="D648" s="17"/>
      <c r="E648" s="17"/>
      <c r="F648" s="17"/>
      <c r="G648" s="17"/>
    </row>
    <row r="649">
      <c r="D649" s="17"/>
      <c r="E649" s="17"/>
      <c r="F649" s="17"/>
      <c r="G649" s="17"/>
    </row>
    <row r="650">
      <c r="D650" s="17"/>
      <c r="E650" s="17"/>
      <c r="F650" s="17"/>
      <c r="G650" s="17"/>
    </row>
    <row r="651">
      <c r="D651" s="17"/>
      <c r="E651" s="17"/>
      <c r="F651" s="17"/>
      <c r="G651" s="17"/>
    </row>
    <row r="652">
      <c r="D652" s="17"/>
      <c r="E652" s="17"/>
      <c r="F652" s="17"/>
      <c r="G652" s="17"/>
    </row>
    <row r="653">
      <c r="D653" s="17"/>
      <c r="E653" s="17"/>
      <c r="F653" s="17"/>
      <c r="G653" s="17"/>
    </row>
    <row r="654">
      <c r="D654" s="17"/>
      <c r="E654" s="17"/>
      <c r="F654" s="17"/>
      <c r="G654" s="17"/>
    </row>
    <row r="655">
      <c r="D655" s="17"/>
      <c r="E655" s="17"/>
      <c r="F655" s="17"/>
      <c r="G655" s="17"/>
    </row>
    <row r="656">
      <c r="D656" s="17"/>
      <c r="E656" s="17"/>
      <c r="F656" s="17"/>
      <c r="G656" s="17"/>
    </row>
    <row r="657">
      <c r="D657" s="17"/>
      <c r="E657" s="17"/>
      <c r="F657" s="17"/>
      <c r="G657" s="17"/>
    </row>
    <row r="658">
      <c r="D658" s="17"/>
      <c r="E658" s="17"/>
      <c r="F658" s="17"/>
      <c r="G658" s="17"/>
    </row>
    <row r="659">
      <c r="D659" s="17"/>
      <c r="E659" s="17"/>
      <c r="F659" s="17"/>
      <c r="G659" s="17"/>
    </row>
    <row r="660">
      <c r="D660" s="17"/>
      <c r="E660" s="17"/>
      <c r="F660" s="17"/>
      <c r="G660" s="17"/>
    </row>
    <row r="661">
      <c r="D661" s="17"/>
      <c r="E661" s="17"/>
      <c r="F661" s="17"/>
      <c r="G661" s="17"/>
    </row>
    <row r="662">
      <c r="D662" s="17"/>
      <c r="E662" s="17"/>
      <c r="F662" s="17"/>
      <c r="G662" s="17"/>
    </row>
    <row r="663">
      <c r="D663" s="17"/>
      <c r="E663" s="17"/>
      <c r="F663" s="17"/>
      <c r="G663" s="17"/>
    </row>
    <row r="664">
      <c r="D664" s="17"/>
      <c r="E664" s="17"/>
      <c r="F664" s="17"/>
      <c r="G664" s="17"/>
    </row>
    <row r="665">
      <c r="D665" s="17"/>
      <c r="E665" s="17"/>
      <c r="F665" s="17"/>
      <c r="G665" s="17"/>
    </row>
    <row r="666">
      <c r="D666" s="17"/>
      <c r="E666" s="17"/>
      <c r="F666" s="17"/>
      <c r="G666" s="17"/>
    </row>
    <row r="667">
      <c r="D667" s="17"/>
      <c r="E667" s="17"/>
      <c r="F667" s="17"/>
      <c r="G667" s="17"/>
    </row>
    <row r="668">
      <c r="D668" s="17"/>
      <c r="E668" s="17"/>
      <c r="F668" s="17"/>
      <c r="G668" s="17"/>
    </row>
    <row r="669">
      <c r="D669" s="17"/>
      <c r="E669" s="17"/>
      <c r="F669" s="17"/>
      <c r="G669" s="17"/>
    </row>
    <row r="670">
      <c r="D670" s="17"/>
      <c r="E670" s="17"/>
      <c r="F670" s="17"/>
      <c r="G670" s="17"/>
    </row>
    <row r="671">
      <c r="D671" s="17"/>
      <c r="E671" s="17"/>
      <c r="F671" s="17"/>
      <c r="G671" s="17"/>
    </row>
    <row r="672">
      <c r="D672" s="17"/>
      <c r="E672" s="17"/>
      <c r="F672" s="17"/>
      <c r="G672" s="17"/>
    </row>
    <row r="673">
      <c r="D673" s="17"/>
      <c r="E673" s="17"/>
      <c r="F673" s="17"/>
      <c r="G673" s="17"/>
    </row>
    <row r="674">
      <c r="D674" s="17"/>
      <c r="E674" s="17"/>
      <c r="F674" s="17"/>
      <c r="G674" s="17"/>
    </row>
    <row r="675">
      <c r="D675" s="17"/>
      <c r="E675" s="17"/>
      <c r="F675" s="17"/>
      <c r="G675" s="17"/>
    </row>
    <row r="676">
      <c r="D676" s="17"/>
      <c r="E676" s="17"/>
      <c r="F676" s="17"/>
      <c r="G676" s="17"/>
    </row>
    <row r="677">
      <c r="D677" s="17"/>
      <c r="E677" s="17"/>
      <c r="F677" s="17"/>
      <c r="G677" s="17"/>
    </row>
    <row r="678">
      <c r="D678" s="17"/>
      <c r="E678" s="17"/>
      <c r="F678" s="17"/>
      <c r="G678" s="17"/>
    </row>
    <row r="679">
      <c r="D679" s="17"/>
      <c r="E679" s="17"/>
      <c r="F679" s="17"/>
      <c r="G679" s="17"/>
    </row>
    <row r="680">
      <c r="D680" s="17"/>
      <c r="E680" s="17"/>
      <c r="F680" s="17"/>
      <c r="G680" s="17"/>
    </row>
    <row r="681">
      <c r="D681" s="17"/>
      <c r="E681" s="17"/>
      <c r="F681" s="17"/>
      <c r="G681" s="17"/>
    </row>
    <row r="682">
      <c r="D682" s="17"/>
      <c r="E682" s="17"/>
      <c r="F682" s="17"/>
      <c r="G682" s="17"/>
    </row>
    <row r="683">
      <c r="D683" s="17"/>
      <c r="E683" s="17"/>
      <c r="F683" s="17"/>
      <c r="G683" s="17"/>
    </row>
    <row r="684">
      <c r="D684" s="17"/>
      <c r="E684" s="17"/>
      <c r="F684" s="17"/>
      <c r="G684" s="17"/>
    </row>
    <row r="685">
      <c r="D685" s="17"/>
      <c r="E685" s="17"/>
      <c r="F685" s="17"/>
      <c r="G685" s="17"/>
    </row>
    <row r="686">
      <c r="D686" s="17"/>
      <c r="E686" s="17"/>
      <c r="F686" s="17"/>
      <c r="G686" s="17"/>
    </row>
    <row r="687">
      <c r="D687" s="17"/>
      <c r="E687" s="17"/>
      <c r="F687" s="17"/>
      <c r="G687" s="17"/>
    </row>
    <row r="688">
      <c r="D688" s="17"/>
      <c r="E688" s="17"/>
      <c r="F688" s="17"/>
      <c r="G688" s="17"/>
    </row>
    <row r="689">
      <c r="D689" s="17"/>
      <c r="E689" s="17"/>
      <c r="F689" s="17"/>
      <c r="G689" s="17"/>
    </row>
    <row r="690">
      <c r="D690" s="17"/>
      <c r="E690" s="17"/>
      <c r="F690" s="17"/>
      <c r="G690" s="17"/>
    </row>
    <row r="691">
      <c r="D691" s="17"/>
      <c r="E691" s="17"/>
      <c r="F691" s="17"/>
      <c r="G691" s="17"/>
    </row>
    <row r="692">
      <c r="D692" s="17"/>
      <c r="E692" s="17"/>
      <c r="F692" s="17"/>
      <c r="G692" s="17"/>
    </row>
    <row r="693">
      <c r="D693" s="17"/>
      <c r="E693" s="17"/>
      <c r="F693" s="17"/>
      <c r="G693" s="17"/>
    </row>
    <row r="694">
      <c r="D694" s="17"/>
      <c r="E694" s="17"/>
      <c r="F694" s="17"/>
      <c r="G694" s="17"/>
    </row>
    <row r="695">
      <c r="D695" s="17"/>
      <c r="E695" s="17"/>
      <c r="F695" s="17"/>
      <c r="G695" s="17"/>
    </row>
    <row r="696">
      <c r="D696" s="17"/>
      <c r="E696" s="17"/>
      <c r="F696" s="17"/>
      <c r="G696" s="17"/>
    </row>
    <row r="697">
      <c r="D697" s="17"/>
      <c r="E697" s="17"/>
      <c r="F697" s="17"/>
      <c r="G697" s="17"/>
    </row>
    <row r="698">
      <c r="D698" s="17"/>
      <c r="E698" s="17"/>
      <c r="F698" s="17"/>
      <c r="G698" s="17"/>
    </row>
    <row r="699">
      <c r="D699" s="17"/>
      <c r="E699" s="17"/>
      <c r="F699" s="17"/>
      <c r="G699" s="17"/>
    </row>
    <row r="700">
      <c r="D700" s="17"/>
      <c r="E700" s="17"/>
      <c r="F700" s="17"/>
      <c r="G700" s="17"/>
    </row>
    <row r="701">
      <c r="D701" s="17"/>
      <c r="E701" s="17"/>
      <c r="F701" s="17"/>
      <c r="G701" s="17"/>
    </row>
    <row r="702">
      <c r="D702" s="17"/>
      <c r="E702" s="17"/>
      <c r="F702" s="17"/>
      <c r="G702" s="17"/>
    </row>
    <row r="703">
      <c r="D703" s="17"/>
      <c r="E703" s="17"/>
      <c r="F703" s="17"/>
      <c r="G703" s="17"/>
    </row>
    <row r="704">
      <c r="D704" s="17"/>
      <c r="E704" s="17"/>
      <c r="F704" s="17"/>
      <c r="G704" s="17"/>
    </row>
    <row r="705">
      <c r="D705" s="17"/>
      <c r="E705" s="17"/>
      <c r="F705" s="17"/>
      <c r="G705" s="17"/>
    </row>
    <row r="706">
      <c r="D706" s="17"/>
      <c r="E706" s="17"/>
      <c r="F706" s="17"/>
      <c r="G706" s="17"/>
    </row>
    <row r="707">
      <c r="D707" s="17"/>
      <c r="E707" s="17"/>
      <c r="F707" s="17"/>
      <c r="G707" s="17"/>
    </row>
    <row r="708">
      <c r="D708" s="17"/>
      <c r="E708" s="17"/>
      <c r="F708" s="17"/>
      <c r="G708" s="17"/>
    </row>
    <row r="709">
      <c r="D709" s="17"/>
      <c r="E709" s="17"/>
      <c r="F709" s="17"/>
      <c r="G709" s="17"/>
    </row>
    <row r="710">
      <c r="D710" s="17"/>
      <c r="E710" s="17"/>
      <c r="F710" s="17"/>
      <c r="G710" s="17"/>
    </row>
    <row r="711">
      <c r="D711" s="17"/>
      <c r="E711" s="17"/>
      <c r="F711" s="17"/>
      <c r="G711" s="17"/>
    </row>
    <row r="712">
      <c r="D712" s="17"/>
      <c r="E712" s="17"/>
      <c r="F712" s="17"/>
      <c r="G712" s="17"/>
    </row>
    <row r="713">
      <c r="D713" s="17"/>
      <c r="E713" s="17"/>
      <c r="F713" s="17"/>
      <c r="G713" s="17"/>
    </row>
    <row r="714">
      <c r="D714" s="17"/>
      <c r="E714" s="17"/>
      <c r="F714" s="17"/>
      <c r="G714" s="17"/>
    </row>
    <row r="715">
      <c r="D715" s="17"/>
      <c r="E715" s="17"/>
      <c r="F715" s="17"/>
      <c r="G715" s="17"/>
    </row>
    <row r="716">
      <c r="D716" s="17"/>
      <c r="E716" s="17"/>
      <c r="F716" s="17"/>
      <c r="G716" s="17"/>
    </row>
    <row r="717">
      <c r="D717" s="17"/>
      <c r="E717" s="17"/>
      <c r="F717" s="17"/>
      <c r="G717" s="17"/>
    </row>
    <row r="718">
      <c r="D718" s="17"/>
      <c r="E718" s="17"/>
      <c r="F718" s="17"/>
      <c r="G718" s="17"/>
    </row>
    <row r="719">
      <c r="D719" s="17"/>
      <c r="E719" s="17"/>
      <c r="F719" s="17"/>
      <c r="G719" s="17"/>
    </row>
    <row r="720">
      <c r="D720" s="17"/>
      <c r="E720" s="17"/>
      <c r="F720" s="17"/>
      <c r="G720" s="17"/>
    </row>
    <row r="721">
      <c r="D721" s="17"/>
      <c r="E721" s="17"/>
      <c r="F721" s="17"/>
      <c r="G721" s="17"/>
    </row>
    <row r="722">
      <c r="D722" s="17"/>
      <c r="E722" s="17"/>
      <c r="F722" s="17"/>
      <c r="G722" s="17"/>
    </row>
    <row r="723">
      <c r="D723" s="17"/>
      <c r="E723" s="17"/>
      <c r="F723" s="17"/>
      <c r="G723" s="17"/>
    </row>
    <row r="724">
      <c r="D724" s="17"/>
      <c r="E724" s="17"/>
      <c r="F724" s="17"/>
      <c r="G724" s="17"/>
    </row>
    <row r="725">
      <c r="D725" s="17"/>
      <c r="E725" s="17"/>
      <c r="F725" s="17"/>
      <c r="G725" s="17"/>
    </row>
    <row r="726">
      <c r="D726" s="17"/>
      <c r="E726" s="17"/>
      <c r="F726" s="17"/>
      <c r="G726" s="17"/>
    </row>
    <row r="727">
      <c r="D727" s="17"/>
      <c r="E727" s="17"/>
      <c r="F727" s="17"/>
      <c r="G727" s="17"/>
    </row>
    <row r="728">
      <c r="D728" s="17"/>
      <c r="E728" s="17"/>
      <c r="F728" s="17"/>
      <c r="G728" s="17"/>
    </row>
    <row r="729">
      <c r="D729" s="17"/>
      <c r="E729" s="17"/>
      <c r="F729" s="17"/>
      <c r="G729" s="17"/>
    </row>
    <row r="730">
      <c r="D730" s="17"/>
      <c r="E730" s="17"/>
      <c r="F730" s="17"/>
      <c r="G730" s="17"/>
    </row>
    <row r="731">
      <c r="D731" s="17"/>
      <c r="E731" s="17"/>
      <c r="F731" s="17"/>
      <c r="G731" s="17"/>
    </row>
    <row r="732">
      <c r="D732" s="17"/>
      <c r="E732" s="17"/>
      <c r="F732" s="17"/>
      <c r="G732" s="17"/>
    </row>
    <row r="733">
      <c r="D733" s="17"/>
      <c r="E733" s="17"/>
      <c r="F733" s="17"/>
      <c r="G733" s="17"/>
    </row>
    <row r="734">
      <c r="D734" s="17"/>
      <c r="E734" s="17"/>
      <c r="F734" s="17"/>
      <c r="G734" s="17"/>
    </row>
    <row r="735">
      <c r="D735" s="17"/>
      <c r="E735" s="17"/>
      <c r="F735" s="17"/>
      <c r="G735" s="17"/>
    </row>
    <row r="736">
      <c r="D736" s="17"/>
      <c r="E736" s="17"/>
      <c r="F736" s="17"/>
      <c r="G736" s="17"/>
    </row>
    <row r="737">
      <c r="D737" s="17"/>
      <c r="E737" s="17"/>
      <c r="F737" s="17"/>
      <c r="G737" s="17"/>
    </row>
    <row r="738">
      <c r="D738" s="17"/>
      <c r="E738" s="17"/>
      <c r="F738" s="17"/>
      <c r="G738" s="17"/>
    </row>
    <row r="739">
      <c r="D739" s="17"/>
      <c r="E739" s="17"/>
      <c r="F739" s="17"/>
      <c r="G739" s="17"/>
    </row>
    <row r="740">
      <c r="D740" s="17"/>
      <c r="E740" s="17"/>
      <c r="F740" s="17"/>
      <c r="G740" s="17"/>
    </row>
    <row r="741">
      <c r="D741" s="17"/>
      <c r="E741" s="17"/>
      <c r="F741" s="17"/>
      <c r="G741" s="17"/>
    </row>
    <row r="742">
      <c r="D742" s="17"/>
      <c r="E742" s="17"/>
      <c r="F742" s="17"/>
      <c r="G742" s="17"/>
    </row>
    <row r="743">
      <c r="D743" s="17"/>
      <c r="E743" s="17"/>
      <c r="F743" s="17"/>
      <c r="G743" s="17"/>
    </row>
    <row r="744">
      <c r="D744" s="17"/>
      <c r="E744" s="17"/>
      <c r="F744" s="17"/>
      <c r="G744" s="17"/>
    </row>
    <row r="745">
      <c r="D745" s="17"/>
      <c r="E745" s="17"/>
      <c r="F745" s="17"/>
      <c r="G745" s="17"/>
    </row>
    <row r="746">
      <c r="D746" s="17"/>
      <c r="E746" s="17"/>
      <c r="F746" s="17"/>
      <c r="G746" s="17"/>
    </row>
    <row r="747">
      <c r="D747" s="17"/>
      <c r="E747" s="17"/>
      <c r="F747" s="17"/>
      <c r="G747" s="17"/>
    </row>
    <row r="748">
      <c r="D748" s="17"/>
      <c r="E748" s="17"/>
      <c r="F748" s="17"/>
      <c r="G748" s="17"/>
    </row>
    <row r="749">
      <c r="D749" s="17"/>
      <c r="E749" s="17"/>
      <c r="F749" s="17"/>
      <c r="G749" s="17"/>
    </row>
    <row r="750">
      <c r="D750" s="17"/>
      <c r="E750" s="17"/>
      <c r="F750" s="17"/>
      <c r="G750" s="17"/>
    </row>
    <row r="751">
      <c r="D751" s="17"/>
      <c r="E751" s="17"/>
      <c r="F751" s="17"/>
      <c r="G751" s="17"/>
    </row>
    <row r="752">
      <c r="D752" s="17"/>
      <c r="E752" s="17"/>
      <c r="F752" s="17"/>
      <c r="G752" s="17"/>
    </row>
    <row r="753">
      <c r="D753" s="17"/>
      <c r="E753" s="17"/>
      <c r="F753" s="17"/>
      <c r="G753" s="17"/>
    </row>
    <row r="754">
      <c r="D754" s="17"/>
      <c r="E754" s="17"/>
      <c r="F754" s="17"/>
      <c r="G754" s="17"/>
    </row>
    <row r="755">
      <c r="D755" s="17"/>
      <c r="E755" s="17"/>
      <c r="F755" s="17"/>
      <c r="G755" s="17"/>
    </row>
    <row r="756">
      <c r="D756" s="17"/>
      <c r="E756" s="17"/>
      <c r="F756" s="17"/>
      <c r="G756" s="17"/>
    </row>
    <row r="757">
      <c r="D757" s="17"/>
      <c r="E757" s="17"/>
      <c r="F757" s="17"/>
      <c r="G757" s="17"/>
    </row>
    <row r="758">
      <c r="D758" s="17"/>
      <c r="E758" s="17"/>
      <c r="F758" s="17"/>
      <c r="G758" s="17"/>
    </row>
    <row r="759">
      <c r="D759" s="17"/>
      <c r="E759" s="17"/>
      <c r="F759" s="17"/>
      <c r="G759" s="17"/>
    </row>
    <row r="760">
      <c r="D760" s="17"/>
      <c r="E760" s="17"/>
      <c r="F760" s="17"/>
      <c r="G760" s="17"/>
    </row>
    <row r="761">
      <c r="D761" s="17"/>
      <c r="E761" s="17"/>
      <c r="F761" s="17"/>
      <c r="G761" s="17"/>
    </row>
    <row r="762">
      <c r="D762" s="17"/>
      <c r="E762" s="17"/>
      <c r="F762" s="17"/>
      <c r="G762" s="17"/>
    </row>
    <row r="763">
      <c r="D763" s="17"/>
      <c r="E763" s="17"/>
      <c r="F763" s="17"/>
      <c r="G763" s="17"/>
    </row>
    <row r="764">
      <c r="D764" s="17"/>
      <c r="E764" s="17"/>
      <c r="F764" s="17"/>
      <c r="G764" s="17"/>
    </row>
    <row r="765">
      <c r="D765" s="17"/>
      <c r="E765" s="17"/>
      <c r="F765" s="17"/>
      <c r="G765" s="17"/>
    </row>
    <row r="766">
      <c r="D766" s="17"/>
      <c r="E766" s="17"/>
      <c r="F766" s="17"/>
      <c r="G766" s="17"/>
    </row>
    <row r="767">
      <c r="D767" s="17"/>
      <c r="E767" s="17"/>
      <c r="F767" s="17"/>
      <c r="G767" s="17"/>
    </row>
    <row r="768">
      <c r="D768" s="17"/>
      <c r="E768" s="17"/>
      <c r="F768" s="17"/>
      <c r="G768" s="17"/>
    </row>
    <row r="769">
      <c r="D769" s="17"/>
      <c r="E769" s="17"/>
      <c r="F769" s="17"/>
      <c r="G769" s="17"/>
    </row>
    <row r="770">
      <c r="D770" s="17"/>
      <c r="E770" s="17"/>
      <c r="F770" s="17"/>
      <c r="G770" s="17"/>
    </row>
    <row r="771">
      <c r="D771" s="17"/>
      <c r="E771" s="17"/>
      <c r="F771" s="17"/>
      <c r="G771" s="17"/>
    </row>
    <row r="772">
      <c r="D772" s="17"/>
      <c r="E772" s="17"/>
      <c r="F772" s="17"/>
      <c r="G772" s="17"/>
    </row>
    <row r="773">
      <c r="D773" s="17"/>
      <c r="E773" s="17"/>
      <c r="F773" s="17"/>
      <c r="G773" s="17"/>
    </row>
    <row r="774">
      <c r="D774" s="17"/>
      <c r="E774" s="17"/>
      <c r="F774" s="17"/>
      <c r="G774" s="17"/>
    </row>
    <row r="775">
      <c r="D775" s="17"/>
      <c r="E775" s="17"/>
      <c r="F775" s="17"/>
      <c r="G775" s="17"/>
    </row>
    <row r="776">
      <c r="D776" s="17"/>
      <c r="E776" s="17"/>
      <c r="F776" s="17"/>
      <c r="G776" s="17"/>
    </row>
    <row r="777">
      <c r="D777" s="17"/>
      <c r="E777" s="17"/>
      <c r="F777" s="17"/>
      <c r="G777" s="17"/>
    </row>
    <row r="778">
      <c r="D778" s="17"/>
      <c r="E778" s="17"/>
      <c r="F778" s="17"/>
      <c r="G778" s="17"/>
    </row>
    <row r="779">
      <c r="D779" s="17"/>
      <c r="E779" s="17"/>
      <c r="F779" s="17"/>
      <c r="G779" s="17"/>
    </row>
    <row r="780">
      <c r="D780" s="17"/>
      <c r="E780" s="17"/>
      <c r="F780" s="17"/>
      <c r="G780" s="17"/>
    </row>
    <row r="781">
      <c r="D781" s="17"/>
      <c r="E781" s="17"/>
      <c r="F781" s="17"/>
      <c r="G781" s="17"/>
    </row>
    <row r="782">
      <c r="D782" s="17"/>
      <c r="E782" s="17"/>
      <c r="F782" s="17"/>
      <c r="G782" s="17"/>
    </row>
    <row r="783">
      <c r="D783" s="17"/>
      <c r="E783" s="17"/>
      <c r="F783" s="17"/>
      <c r="G783" s="17"/>
    </row>
    <row r="784">
      <c r="D784" s="17"/>
      <c r="E784" s="17"/>
      <c r="F784" s="17"/>
      <c r="G784" s="17"/>
    </row>
    <row r="785">
      <c r="D785" s="17"/>
      <c r="E785" s="17"/>
      <c r="F785" s="17"/>
      <c r="G785" s="17"/>
    </row>
    <row r="786">
      <c r="D786" s="17"/>
      <c r="E786" s="17"/>
      <c r="F786" s="17"/>
      <c r="G786" s="17"/>
    </row>
    <row r="787">
      <c r="D787" s="17"/>
      <c r="E787" s="17"/>
      <c r="F787" s="17"/>
      <c r="G787" s="17"/>
    </row>
    <row r="788">
      <c r="D788" s="17"/>
      <c r="E788" s="17"/>
      <c r="F788" s="17"/>
      <c r="G788" s="17"/>
    </row>
    <row r="789">
      <c r="D789" s="17"/>
      <c r="E789" s="17"/>
      <c r="F789" s="17"/>
      <c r="G789" s="17"/>
    </row>
    <row r="790">
      <c r="D790" s="17"/>
      <c r="E790" s="17"/>
      <c r="F790" s="17"/>
      <c r="G790" s="17"/>
    </row>
    <row r="791">
      <c r="D791" s="17"/>
      <c r="E791" s="17"/>
      <c r="F791" s="17"/>
      <c r="G791" s="17"/>
    </row>
    <row r="792">
      <c r="D792" s="17"/>
      <c r="E792" s="17"/>
      <c r="F792" s="17"/>
      <c r="G792" s="17"/>
    </row>
    <row r="793">
      <c r="D793" s="17"/>
      <c r="E793" s="17"/>
      <c r="F793" s="17"/>
      <c r="G793" s="17"/>
    </row>
    <row r="794">
      <c r="D794" s="17"/>
      <c r="E794" s="17"/>
      <c r="F794" s="17"/>
      <c r="G794" s="17"/>
    </row>
    <row r="795">
      <c r="D795" s="17"/>
      <c r="E795" s="17"/>
      <c r="F795" s="17"/>
      <c r="G795" s="17"/>
    </row>
    <row r="796">
      <c r="D796" s="17"/>
      <c r="E796" s="17"/>
      <c r="F796" s="17"/>
      <c r="G796" s="17"/>
    </row>
    <row r="797">
      <c r="D797" s="17"/>
      <c r="E797" s="17"/>
      <c r="F797" s="17"/>
      <c r="G797" s="17"/>
    </row>
    <row r="798">
      <c r="D798" s="17"/>
      <c r="E798" s="17"/>
      <c r="F798" s="17"/>
      <c r="G798" s="17"/>
    </row>
    <row r="799">
      <c r="D799" s="17"/>
      <c r="E799" s="17"/>
      <c r="F799" s="17"/>
      <c r="G799" s="17"/>
    </row>
    <row r="800">
      <c r="D800" s="17"/>
      <c r="E800" s="17"/>
      <c r="F800" s="17"/>
      <c r="G800" s="17"/>
    </row>
    <row r="801">
      <c r="D801" s="17"/>
      <c r="E801" s="17"/>
      <c r="F801" s="17"/>
      <c r="G801" s="17"/>
    </row>
    <row r="802">
      <c r="D802" s="17"/>
      <c r="E802" s="17"/>
      <c r="F802" s="17"/>
      <c r="G802" s="17"/>
    </row>
    <row r="803">
      <c r="D803" s="17"/>
      <c r="E803" s="17"/>
      <c r="F803" s="17"/>
      <c r="G803" s="17"/>
    </row>
    <row r="804">
      <c r="D804" s="17"/>
      <c r="E804" s="17"/>
      <c r="F804" s="17"/>
      <c r="G804" s="17"/>
    </row>
    <row r="805">
      <c r="D805" s="17"/>
      <c r="E805" s="17"/>
      <c r="F805" s="17"/>
      <c r="G805" s="17"/>
    </row>
    <row r="806">
      <c r="D806" s="17"/>
      <c r="E806" s="17"/>
      <c r="F806" s="17"/>
      <c r="G806" s="17"/>
    </row>
    <row r="807">
      <c r="D807" s="17"/>
      <c r="E807" s="17"/>
      <c r="F807" s="17"/>
      <c r="G807" s="17"/>
    </row>
    <row r="808">
      <c r="D808" s="17"/>
      <c r="E808" s="17"/>
      <c r="F808" s="17"/>
      <c r="G808" s="17"/>
    </row>
    <row r="809">
      <c r="D809" s="17"/>
      <c r="E809" s="17"/>
      <c r="F809" s="17"/>
      <c r="G809" s="17"/>
    </row>
    <row r="810">
      <c r="D810" s="17"/>
      <c r="E810" s="17"/>
      <c r="F810" s="17"/>
      <c r="G810" s="17"/>
    </row>
    <row r="811">
      <c r="D811" s="17"/>
      <c r="E811" s="17"/>
      <c r="F811" s="17"/>
      <c r="G811" s="17"/>
    </row>
    <row r="812">
      <c r="D812" s="17"/>
      <c r="E812" s="17"/>
      <c r="F812" s="17"/>
      <c r="G812" s="17"/>
    </row>
    <row r="813">
      <c r="D813" s="17"/>
      <c r="E813" s="17"/>
      <c r="F813" s="17"/>
      <c r="G813" s="17"/>
    </row>
    <row r="814">
      <c r="D814" s="17"/>
      <c r="E814" s="17"/>
      <c r="F814" s="17"/>
      <c r="G814" s="17"/>
    </row>
    <row r="815">
      <c r="D815" s="17"/>
      <c r="E815" s="17"/>
      <c r="F815" s="17"/>
      <c r="G815" s="17"/>
    </row>
    <row r="816">
      <c r="D816" s="17"/>
      <c r="E816" s="17"/>
      <c r="F816" s="17"/>
      <c r="G816" s="17"/>
    </row>
    <row r="817">
      <c r="D817" s="17"/>
      <c r="E817" s="17"/>
      <c r="F817" s="17"/>
      <c r="G817" s="17"/>
    </row>
    <row r="818">
      <c r="D818" s="17"/>
      <c r="E818" s="17"/>
      <c r="F818" s="17"/>
      <c r="G818" s="17"/>
    </row>
    <row r="819">
      <c r="D819" s="17"/>
      <c r="E819" s="17"/>
      <c r="F819" s="17"/>
      <c r="G819" s="17"/>
    </row>
    <row r="820">
      <c r="D820" s="17"/>
      <c r="E820" s="17"/>
      <c r="F820" s="17"/>
      <c r="G820" s="17"/>
    </row>
    <row r="821">
      <c r="D821" s="17"/>
      <c r="E821" s="17"/>
      <c r="F821" s="17"/>
      <c r="G821" s="17"/>
    </row>
    <row r="822">
      <c r="D822" s="17"/>
      <c r="E822" s="17"/>
      <c r="F822" s="17"/>
      <c r="G822" s="17"/>
    </row>
    <row r="823">
      <c r="D823" s="17"/>
      <c r="E823" s="17"/>
      <c r="F823" s="17"/>
      <c r="G823" s="17"/>
    </row>
    <row r="824">
      <c r="D824" s="17"/>
      <c r="E824" s="17"/>
      <c r="F824" s="17"/>
      <c r="G824" s="17"/>
    </row>
    <row r="825">
      <c r="D825" s="17"/>
      <c r="E825" s="17"/>
      <c r="F825" s="17"/>
      <c r="G825" s="17"/>
    </row>
    <row r="826">
      <c r="D826" s="17"/>
      <c r="E826" s="17"/>
      <c r="F826" s="17"/>
      <c r="G826" s="17"/>
    </row>
    <row r="827">
      <c r="D827" s="17"/>
      <c r="E827" s="17"/>
      <c r="F827" s="17"/>
      <c r="G827" s="17"/>
    </row>
    <row r="828">
      <c r="D828" s="17"/>
      <c r="E828" s="17"/>
      <c r="F828" s="17"/>
      <c r="G828" s="17"/>
    </row>
    <row r="829">
      <c r="D829" s="17"/>
      <c r="E829" s="17"/>
      <c r="F829" s="17"/>
      <c r="G829" s="17"/>
    </row>
    <row r="830">
      <c r="D830" s="17"/>
      <c r="E830" s="17"/>
      <c r="F830" s="17"/>
      <c r="G830" s="17"/>
    </row>
    <row r="831">
      <c r="D831" s="17"/>
      <c r="E831" s="17"/>
      <c r="F831" s="17"/>
      <c r="G831" s="17"/>
    </row>
    <row r="832">
      <c r="D832" s="17"/>
      <c r="E832" s="17"/>
      <c r="F832" s="17"/>
      <c r="G832" s="17"/>
    </row>
    <row r="833">
      <c r="D833" s="17"/>
      <c r="E833" s="17"/>
      <c r="F833" s="17"/>
      <c r="G833" s="17"/>
    </row>
    <row r="834">
      <c r="D834" s="17"/>
      <c r="E834" s="17"/>
      <c r="F834" s="17"/>
      <c r="G834" s="17"/>
    </row>
    <row r="835">
      <c r="D835" s="17"/>
      <c r="E835" s="17"/>
      <c r="F835" s="17"/>
      <c r="G835" s="17"/>
    </row>
    <row r="836">
      <c r="D836" s="17"/>
      <c r="E836" s="17"/>
      <c r="F836" s="17"/>
      <c r="G836" s="17"/>
    </row>
    <row r="837">
      <c r="D837" s="17"/>
      <c r="E837" s="17"/>
      <c r="F837" s="17"/>
      <c r="G837" s="17"/>
    </row>
    <row r="838">
      <c r="D838" s="17"/>
      <c r="E838" s="17"/>
      <c r="F838" s="17"/>
      <c r="G838" s="17"/>
    </row>
    <row r="839">
      <c r="D839" s="17"/>
      <c r="E839" s="17"/>
      <c r="F839" s="17"/>
      <c r="G839" s="17"/>
    </row>
    <row r="840">
      <c r="D840" s="17"/>
      <c r="E840" s="17"/>
      <c r="F840" s="17"/>
      <c r="G840" s="17"/>
    </row>
    <row r="841">
      <c r="D841" s="17"/>
      <c r="E841" s="17"/>
      <c r="F841" s="17"/>
      <c r="G841" s="17"/>
    </row>
    <row r="842">
      <c r="D842" s="17"/>
      <c r="E842" s="17"/>
      <c r="F842" s="17"/>
      <c r="G842" s="17"/>
    </row>
    <row r="843">
      <c r="D843" s="17"/>
      <c r="E843" s="17"/>
      <c r="F843" s="17"/>
      <c r="G843" s="17"/>
    </row>
    <row r="844">
      <c r="D844" s="17"/>
      <c r="E844" s="17"/>
      <c r="F844" s="17"/>
      <c r="G844" s="17"/>
    </row>
  </sheetData>
  <conditionalFormatting sqref="P6:Q65 S6:S65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B6"/>
    <hyperlink r:id="rId2" ref="B1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35"/>
      <c r="G1" s="35"/>
      <c r="H1" s="35"/>
      <c r="I1" s="35"/>
      <c r="J1" s="35"/>
      <c r="K1" s="35"/>
      <c r="L1" s="35"/>
      <c r="M1" s="38"/>
      <c r="N1" s="35"/>
      <c r="O1" s="38"/>
      <c r="P1" s="38"/>
      <c r="Q1" s="31"/>
    </row>
    <row r="2">
      <c r="A2" s="39">
        <v>48.0</v>
      </c>
      <c r="B2" s="40" t="s">
        <v>15</v>
      </c>
      <c r="C2" s="41">
        <v>45679.0</v>
      </c>
      <c r="D2" s="28">
        <v>395.0</v>
      </c>
      <c r="E2" s="28" t="s">
        <v>13</v>
      </c>
      <c r="F2" s="28">
        <v>57.9999999999999</v>
      </c>
      <c r="G2" s="42"/>
      <c r="H2" s="42"/>
      <c r="I2" s="42"/>
      <c r="J2" s="42"/>
      <c r="K2" s="42">
        <v>2.0</v>
      </c>
      <c r="L2" s="42">
        <v>153.7</v>
      </c>
      <c r="M2" s="43">
        <v>3507.81</v>
      </c>
      <c r="N2" s="28">
        <v>30.0</v>
      </c>
      <c r="O2" s="42"/>
      <c r="P2" s="42">
        <v>22.82244632400781</v>
      </c>
      <c r="Q2" s="40">
        <v>9.0</v>
      </c>
    </row>
    <row r="3">
      <c r="A3" s="28">
        <v>55.0</v>
      </c>
      <c r="B3" s="40" t="s">
        <v>17</v>
      </c>
      <c r="C3" s="41">
        <v>45679.0</v>
      </c>
      <c r="D3" s="28">
        <v>724.0</v>
      </c>
      <c r="E3" s="28" t="s">
        <v>13</v>
      </c>
      <c r="F3" s="42">
        <v>61.0</v>
      </c>
      <c r="G3" s="42"/>
      <c r="H3" s="42"/>
      <c r="I3" s="42"/>
      <c r="J3" s="42"/>
      <c r="K3" s="42">
        <v>7.0</v>
      </c>
      <c r="L3" s="42">
        <v>174.21</v>
      </c>
      <c r="M3" s="42">
        <v>1825.8099999999997</v>
      </c>
      <c r="N3" s="42">
        <v>30.0</v>
      </c>
      <c r="O3" s="42"/>
      <c r="P3" s="42">
        <v>10.480512025716088</v>
      </c>
      <c r="Q3" s="40">
        <v>9.0</v>
      </c>
    </row>
    <row r="4">
      <c r="A4" s="28">
        <v>59.0</v>
      </c>
      <c r="B4" s="28" t="s">
        <v>19</v>
      </c>
      <c r="C4" s="41">
        <v>45680.0</v>
      </c>
      <c r="D4" s="28">
        <v>1051.0</v>
      </c>
      <c r="E4" s="28" t="s">
        <v>13</v>
      </c>
      <c r="F4" s="42">
        <v>62.0</v>
      </c>
      <c r="G4" s="42"/>
      <c r="H4" s="42"/>
      <c r="I4" s="42"/>
      <c r="J4" s="42"/>
      <c r="K4" s="42">
        <v>3.0</v>
      </c>
      <c r="L4" s="42">
        <v>171.72</v>
      </c>
      <c r="M4" s="44">
        <v>5053.5599999999995</v>
      </c>
      <c r="N4" s="42">
        <v>25.0</v>
      </c>
      <c r="O4" s="42"/>
      <c r="P4" s="42">
        <v>29.429070580013974</v>
      </c>
      <c r="Q4" s="40">
        <v>7.5</v>
      </c>
    </row>
    <row r="5">
      <c r="A5" s="16">
        <v>77.0</v>
      </c>
      <c r="B5" s="16" t="s">
        <v>20</v>
      </c>
      <c r="C5" s="10">
        <v>45677.0</v>
      </c>
      <c r="D5" s="12">
        <v>931.0</v>
      </c>
      <c r="E5" s="12" t="s">
        <v>13</v>
      </c>
      <c r="F5" s="28">
        <v>60.0</v>
      </c>
      <c r="G5" s="28"/>
      <c r="H5" s="28"/>
      <c r="I5" s="28"/>
      <c r="J5" s="28"/>
      <c r="K5" s="28">
        <v>11.0</v>
      </c>
      <c r="L5" s="28">
        <v>190.1</v>
      </c>
      <c r="M5" s="45">
        <f>2.59+
1339.47+
236.53
</f>
        <v>1578.59</v>
      </c>
      <c r="N5" s="28">
        <v>40.0</v>
      </c>
      <c r="O5" s="42"/>
      <c r="P5" s="42">
        <f t="shared" ref="P5:P6" si="1">M5/L5</f>
        <v>8.303997896</v>
      </c>
    </row>
    <row r="6">
      <c r="A6" s="16">
        <v>148.0</v>
      </c>
      <c r="B6" s="16" t="s">
        <v>21</v>
      </c>
      <c r="C6" s="10">
        <v>45677.0</v>
      </c>
      <c r="D6" s="12">
        <v>112.0</v>
      </c>
      <c r="E6" s="12" t="s">
        <v>13</v>
      </c>
      <c r="L6" s="46">
        <v>127.26</v>
      </c>
      <c r="M6" s="47">
        <f>1920.79+
729.18+
-17.44
</f>
        <v>2632.53</v>
      </c>
      <c r="N6" s="28">
        <v>40.0</v>
      </c>
      <c r="O6" s="42"/>
      <c r="P6" s="42">
        <f t="shared" si="1"/>
        <v>20.68623291</v>
      </c>
    </row>
    <row r="7">
      <c r="M7" s="48"/>
      <c r="O7" s="48"/>
      <c r="P7" s="48"/>
    </row>
    <row r="8">
      <c r="F8" s="49"/>
      <c r="G8" s="49"/>
      <c r="H8" s="49"/>
      <c r="I8" s="49"/>
      <c r="J8" s="49"/>
      <c r="K8" s="49"/>
      <c r="L8" s="49"/>
      <c r="M8" s="42"/>
      <c r="N8" s="49"/>
      <c r="O8" s="42"/>
      <c r="P8" s="42"/>
    </row>
    <row r="9">
      <c r="F9" s="49"/>
      <c r="G9" s="49"/>
      <c r="H9" s="49"/>
      <c r="I9" s="49"/>
      <c r="J9" s="49"/>
      <c r="K9" s="49"/>
      <c r="L9" s="49"/>
      <c r="M9" s="42"/>
      <c r="N9" s="49"/>
      <c r="O9" s="42"/>
      <c r="P9" s="42"/>
    </row>
    <row r="10">
      <c r="F10" s="49"/>
      <c r="G10" s="49"/>
      <c r="H10" s="49"/>
      <c r="I10" s="49"/>
      <c r="J10" s="49"/>
      <c r="K10" s="49"/>
      <c r="L10" s="49"/>
      <c r="M10" s="42"/>
      <c r="N10" s="49"/>
      <c r="O10" s="42"/>
      <c r="P10" s="42"/>
    </row>
    <row r="11">
      <c r="E11" s="30" t="s">
        <v>42</v>
      </c>
      <c r="L11" s="28" t="s">
        <v>43</v>
      </c>
      <c r="M11" s="43" t="s">
        <v>44</v>
      </c>
      <c r="N11" s="27" t="s">
        <v>45</v>
      </c>
      <c r="O11" s="48"/>
      <c r="P11" s="48"/>
    </row>
    <row r="12">
      <c r="E12" s="30" t="s">
        <v>46</v>
      </c>
      <c r="L12" s="28" t="s">
        <v>47</v>
      </c>
      <c r="M12" s="43" t="s">
        <v>48</v>
      </c>
      <c r="N12" s="27" t="s">
        <v>49</v>
      </c>
      <c r="O12" s="48"/>
      <c r="P12" s="48"/>
    </row>
    <row r="13">
      <c r="M13" s="48"/>
      <c r="O13" s="48"/>
      <c r="P13" s="48"/>
    </row>
    <row r="14">
      <c r="F14" s="49"/>
      <c r="G14" s="49"/>
      <c r="H14" s="49"/>
      <c r="I14" s="49"/>
      <c r="J14" s="49"/>
      <c r="K14" s="49"/>
      <c r="L14" s="49"/>
      <c r="M14" s="42"/>
      <c r="N14" s="49"/>
      <c r="O14" s="42"/>
      <c r="P14" s="42"/>
    </row>
    <row r="15">
      <c r="F15" s="49"/>
      <c r="G15" s="49"/>
      <c r="H15" s="49"/>
      <c r="I15" s="49"/>
      <c r="J15" s="49"/>
      <c r="K15" s="49"/>
      <c r="L15" s="49"/>
      <c r="M15" s="42"/>
      <c r="N15" s="49"/>
      <c r="O15" s="42"/>
      <c r="P15" s="42"/>
    </row>
    <row r="16">
      <c r="A16" s="50">
        <v>48.0</v>
      </c>
      <c r="B16" s="51" t="s">
        <v>15</v>
      </c>
      <c r="C16" s="41">
        <v>45679.0</v>
      </c>
      <c r="D16" s="29">
        <v>1363.0</v>
      </c>
      <c r="E16" s="28" t="s">
        <v>13</v>
      </c>
      <c r="F16" s="28">
        <v>57.5213675213675</v>
      </c>
      <c r="G16" s="42"/>
      <c r="H16" s="42"/>
      <c r="I16" s="42"/>
      <c r="J16" s="42"/>
      <c r="K16" s="42">
        <v>5.99999999999999</v>
      </c>
      <c r="L16" s="42">
        <v>127.72</v>
      </c>
      <c r="M16" s="42">
        <v>958.71</v>
      </c>
      <c r="N16" s="28">
        <v>40.0</v>
      </c>
      <c r="O16" s="42"/>
      <c r="P16" s="42">
        <v>7.50634199812089</v>
      </c>
      <c r="Q16" s="40">
        <v>12.0</v>
      </c>
    </row>
    <row r="17">
      <c r="A17" s="28">
        <v>55.0</v>
      </c>
      <c r="B17" s="40" t="s">
        <v>17</v>
      </c>
      <c r="C17" s="41">
        <v>45679.0</v>
      </c>
      <c r="D17" s="28">
        <v>724.0</v>
      </c>
      <c r="E17" s="28" t="s">
        <v>13</v>
      </c>
      <c r="F17" s="42">
        <v>57.7626974489822</v>
      </c>
      <c r="G17" s="42"/>
      <c r="H17" s="42"/>
      <c r="I17" s="42"/>
      <c r="J17" s="42"/>
      <c r="K17" s="42">
        <v>7.0</v>
      </c>
      <c r="L17" s="42">
        <v>174.21</v>
      </c>
      <c r="M17" s="42">
        <v>1825.8099999999997</v>
      </c>
      <c r="N17" s="42">
        <v>30.0</v>
      </c>
      <c r="O17" s="42"/>
      <c r="P17" s="42">
        <v>10.480512025716088</v>
      </c>
      <c r="Q17" s="40">
        <v>9.0</v>
      </c>
    </row>
    <row r="18">
      <c r="A18" s="28">
        <v>59.0</v>
      </c>
      <c r="B18" s="28" t="s">
        <v>19</v>
      </c>
      <c r="C18" s="41">
        <v>45680.0</v>
      </c>
      <c r="D18" s="28">
        <v>935.0</v>
      </c>
      <c r="E18" s="28" t="s">
        <v>13</v>
      </c>
      <c r="F18" s="42">
        <v>61.8147668934429</v>
      </c>
      <c r="G18" s="42"/>
      <c r="H18" s="42"/>
      <c r="I18" s="42"/>
      <c r="J18" s="42"/>
      <c r="K18" s="42">
        <v>5.0</v>
      </c>
      <c r="L18" s="42">
        <v>149.66</v>
      </c>
      <c r="M18" s="42">
        <v>8422.4</v>
      </c>
      <c r="N18" s="42"/>
      <c r="O18" s="42"/>
      <c r="P18" s="42">
        <v>56.27689429373246</v>
      </c>
      <c r="Q18" s="40">
        <v>0.0</v>
      </c>
    </row>
    <row r="19">
      <c r="A19" s="29">
        <v>77.0</v>
      </c>
      <c r="B19" s="29" t="s">
        <v>20</v>
      </c>
      <c r="C19" s="41">
        <v>45677.0</v>
      </c>
      <c r="D19" s="29">
        <v>47.0</v>
      </c>
      <c r="E19" s="28" t="s">
        <v>13</v>
      </c>
      <c r="F19" s="42">
        <v>60.7563651137594</v>
      </c>
      <c r="G19" s="42"/>
      <c r="H19" s="42"/>
      <c r="I19" s="42"/>
      <c r="J19" s="42"/>
      <c r="K19" s="42">
        <v>12.0</v>
      </c>
      <c r="L19" s="42">
        <v>152.96</v>
      </c>
      <c r="M19" s="42">
        <v>2356.64</v>
      </c>
      <c r="N19" s="28">
        <v>60.0</v>
      </c>
      <c r="O19" s="42"/>
      <c r="P19" s="42">
        <v>15.406903765690375</v>
      </c>
      <c r="Q19" s="40">
        <v>18.0</v>
      </c>
    </row>
    <row r="20">
      <c r="A20" s="28">
        <v>148.0</v>
      </c>
      <c r="B20" s="28" t="s">
        <v>21</v>
      </c>
      <c r="C20" s="41">
        <v>45677.0</v>
      </c>
      <c r="D20" s="28">
        <v>1475.0</v>
      </c>
      <c r="E20" s="28" t="s">
        <v>13</v>
      </c>
      <c r="F20" s="42">
        <v>56.4173196363555</v>
      </c>
      <c r="G20" s="42"/>
      <c r="H20" s="42"/>
      <c r="I20" s="42"/>
      <c r="J20" s="42"/>
      <c r="K20" s="42">
        <v>6.99999999999999</v>
      </c>
      <c r="L20" s="42">
        <v>101.46</v>
      </c>
      <c r="M20" s="42">
        <v>795.72</v>
      </c>
      <c r="N20" s="28">
        <v>30.0</v>
      </c>
      <c r="O20" s="42"/>
      <c r="P20" s="42">
        <v>7.842696629213484</v>
      </c>
      <c r="Q20" s="40">
        <v>9.0</v>
      </c>
    </row>
    <row r="21">
      <c r="M21" s="48"/>
      <c r="O21" s="48"/>
      <c r="P21" s="48"/>
    </row>
    <row r="24">
      <c r="C24" s="35" t="s">
        <v>50</v>
      </c>
    </row>
    <row r="25">
      <c r="C25" s="46" t="s">
        <v>51</v>
      </c>
    </row>
    <row r="26">
      <c r="C26" s="52" t="s">
        <v>52</v>
      </c>
    </row>
    <row r="27">
      <c r="C27" s="53" t="s">
        <v>53</v>
      </c>
    </row>
    <row r="28">
      <c r="C28" s="29" t="s">
        <v>54</v>
      </c>
    </row>
    <row r="30">
      <c r="C30" s="54" t="s">
        <v>55</v>
      </c>
    </row>
    <row r="31">
      <c r="C31" s="35" t="s">
        <v>56</v>
      </c>
      <c r="L31" s="35" t="s">
        <v>49</v>
      </c>
      <c r="Q31" s="35" t="s">
        <v>57</v>
      </c>
      <c r="Z31" s="35" t="s">
        <v>48</v>
      </c>
      <c r="AH31" s="35" t="s">
        <v>58</v>
      </c>
    </row>
    <row r="32">
      <c r="C32" s="55">
        <v>1243.0</v>
      </c>
      <c r="D32" s="35">
        <v>52.0</v>
      </c>
      <c r="E32" s="35">
        <v>1146.0</v>
      </c>
      <c r="F32" s="35">
        <v>860.0</v>
      </c>
      <c r="G32" s="28">
        <v>1444.0</v>
      </c>
      <c r="H32" s="28">
        <v>1257.0</v>
      </c>
      <c r="I32" s="28">
        <v>408.0</v>
      </c>
      <c r="J32" s="28">
        <v>1146.0</v>
      </c>
      <c r="L32" s="56">
        <v>1494.0</v>
      </c>
      <c r="M32" s="57">
        <v>1339.0</v>
      </c>
      <c r="N32" s="57">
        <v>1338.0</v>
      </c>
      <c r="O32" s="28">
        <v>1359.0</v>
      </c>
      <c r="Q32" s="55">
        <v>916.0</v>
      </c>
      <c r="R32" s="35">
        <v>176.0</v>
      </c>
      <c r="S32" s="58">
        <v>364.0</v>
      </c>
      <c r="T32" s="35">
        <v>734.0</v>
      </c>
      <c r="U32" s="35">
        <v>807.0</v>
      </c>
      <c r="V32" s="35">
        <v>806.0</v>
      </c>
      <c r="W32" s="28">
        <v>1375.0</v>
      </c>
      <c r="X32" s="29">
        <v>808.0</v>
      </c>
      <c r="Z32" s="46">
        <v>565.0</v>
      </c>
      <c r="AA32" s="28">
        <v>44.0</v>
      </c>
      <c r="AB32" s="28">
        <v>56.0</v>
      </c>
      <c r="AC32" s="52">
        <v>728.0</v>
      </c>
      <c r="AD32" s="28">
        <v>795.0</v>
      </c>
      <c r="AE32" s="28">
        <v>59.0</v>
      </c>
      <c r="AF32" s="53">
        <v>1447.0</v>
      </c>
      <c r="AH32" s="55">
        <v>38.0</v>
      </c>
      <c r="AI32" s="35">
        <v>217.0</v>
      </c>
      <c r="AJ32" s="35">
        <v>229.0</v>
      </c>
      <c r="AK32" s="35">
        <v>245.0</v>
      </c>
      <c r="AL32" s="35">
        <v>930.0</v>
      </c>
      <c r="AM32" s="52">
        <v>447.0</v>
      </c>
      <c r="AN32" s="28">
        <v>561.0</v>
      </c>
      <c r="AO32" s="28">
        <v>44.0</v>
      </c>
      <c r="AP32" s="29">
        <v>194.0</v>
      </c>
    </row>
    <row r="33">
      <c r="C33" s="59">
        <f t="shared" ref="C33:J33" si="2">SUM(C34:C47)</f>
        <v>2.25</v>
      </c>
      <c r="D33" s="40">
        <f t="shared" si="2"/>
        <v>-12.37</v>
      </c>
      <c r="E33" s="40">
        <f t="shared" si="2"/>
        <v>-24.21</v>
      </c>
      <c r="F33" s="40">
        <f t="shared" si="2"/>
        <v>11.79</v>
      </c>
      <c r="G33" s="40">
        <f t="shared" si="2"/>
        <v>-15.52</v>
      </c>
      <c r="H33" s="40">
        <f t="shared" si="2"/>
        <v>-8.53</v>
      </c>
      <c r="I33" s="40">
        <f t="shared" si="2"/>
        <v>-4.23</v>
      </c>
      <c r="J33" s="40">
        <f t="shared" si="2"/>
        <v>-24.21</v>
      </c>
      <c r="L33" s="59">
        <f>SUM(L34:L51)</f>
        <v>-1.5</v>
      </c>
      <c r="M33" s="40">
        <f t="shared" ref="M33:O33" si="3">SUM(M34:M47)</f>
        <v>24.31</v>
      </c>
      <c r="N33" s="40">
        <f t="shared" si="3"/>
        <v>31.5</v>
      </c>
      <c r="O33" s="40">
        <f t="shared" si="3"/>
        <v>-5.84</v>
      </c>
      <c r="Q33" s="59">
        <f>SUM(Q34:Q51)</f>
        <v>-7.31</v>
      </c>
      <c r="R33" s="40">
        <f t="shared" ref="R33:W33" si="4">SUM(R34:R47)</f>
        <v>-20.51</v>
      </c>
      <c r="S33" s="60">
        <f t="shared" si="4"/>
        <v>-10.26</v>
      </c>
      <c r="T33" s="40">
        <f t="shared" si="4"/>
        <v>7.35</v>
      </c>
      <c r="U33" s="40">
        <f t="shared" si="4"/>
        <v>17.63</v>
      </c>
      <c r="V33" s="40">
        <f t="shared" si="4"/>
        <v>4.01</v>
      </c>
      <c r="W33" s="40">
        <f t="shared" si="4"/>
        <v>-18.07</v>
      </c>
      <c r="X33" s="51"/>
      <c r="Z33" s="40">
        <f t="shared" ref="Z33:AF33" si="5">SUM(Z34:Z101)</f>
        <v>-14.05</v>
      </c>
      <c r="AA33" s="40">
        <f t="shared" si="5"/>
        <v>18.35</v>
      </c>
      <c r="AB33" s="40">
        <f t="shared" si="5"/>
        <v>17.99</v>
      </c>
      <c r="AC33" s="60">
        <f t="shared" si="5"/>
        <v>13.54</v>
      </c>
      <c r="AD33" s="40">
        <f t="shared" si="5"/>
        <v>-12.75</v>
      </c>
      <c r="AE33" s="40">
        <f t="shared" si="5"/>
        <v>2</v>
      </c>
      <c r="AF33" s="61">
        <f t="shared" si="5"/>
        <v>22.18</v>
      </c>
      <c r="AH33" s="59">
        <f t="shared" ref="AH33:AO33" si="6">SUM(AH34:AH49)</f>
        <v>4</v>
      </c>
      <c r="AI33" s="40">
        <f t="shared" si="6"/>
        <v>-23.73</v>
      </c>
      <c r="AJ33" s="40">
        <f t="shared" si="6"/>
        <v>-49.24</v>
      </c>
      <c r="AK33" s="40">
        <f t="shared" si="6"/>
        <v>-59.85</v>
      </c>
      <c r="AL33" s="40">
        <f t="shared" si="6"/>
        <v>16.48</v>
      </c>
      <c r="AM33" s="60">
        <f t="shared" si="6"/>
        <v>1.43</v>
      </c>
      <c r="AN33" s="40">
        <f t="shared" si="6"/>
        <v>-17.53</v>
      </c>
      <c r="AO33" s="61">
        <f t="shared" si="6"/>
        <v>-19.7</v>
      </c>
    </row>
    <row r="34">
      <c r="C34" s="46">
        <v>5.02</v>
      </c>
      <c r="D34" s="28">
        <v>-4.03</v>
      </c>
      <c r="E34" s="28">
        <v>-4.1</v>
      </c>
      <c r="F34" s="28">
        <v>5.45</v>
      </c>
      <c r="G34" s="28">
        <v>4.25</v>
      </c>
      <c r="H34" s="28">
        <v>5.13</v>
      </c>
      <c r="I34" s="28">
        <v>5.13</v>
      </c>
      <c r="J34" s="28">
        <v>-4.1</v>
      </c>
      <c r="L34" s="46">
        <v>-4.2</v>
      </c>
      <c r="M34" s="28">
        <v>-5.95</v>
      </c>
      <c r="N34" s="28">
        <v>-4.77</v>
      </c>
      <c r="Q34" s="46">
        <v>-4.13</v>
      </c>
      <c r="R34" s="28">
        <v>-4.63</v>
      </c>
      <c r="S34" s="52">
        <v>-4.23</v>
      </c>
      <c r="T34" s="28">
        <v>-3.89</v>
      </c>
      <c r="U34" s="28">
        <v>-3.73</v>
      </c>
      <c r="V34" s="28">
        <v>-4.14</v>
      </c>
      <c r="W34" s="28">
        <v>-4.94</v>
      </c>
      <c r="X34" s="51"/>
      <c r="Z34" s="46">
        <v>1.43</v>
      </c>
      <c r="AA34" s="28">
        <v>1.9</v>
      </c>
      <c r="AB34" s="28">
        <v>1.9</v>
      </c>
      <c r="AC34" s="52">
        <v>1.94</v>
      </c>
      <c r="AD34" s="28">
        <v>1.93</v>
      </c>
      <c r="AE34" s="28">
        <v>1.88</v>
      </c>
      <c r="AF34" s="53">
        <v>1.5</v>
      </c>
      <c r="AH34" s="46">
        <v>14.41</v>
      </c>
      <c r="AI34" s="28">
        <v>-6.68</v>
      </c>
      <c r="AJ34" s="28">
        <v>-6.12</v>
      </c>
      <c r="AK34" s="28">
        <v>-5.47</v>
      </c>
      <c r="AL34" s="28">
        <v>-3.91</v>
      </c>
      <c r="AM34" s="52">
        <v>4.85</v>
      </c>
      <c r="AN34" s="28">
        <v>-6.38</v>
      </c>
      <c r="AO34" s="28">
        <v>-6.99</v>
      </c>
    </row>
    <row r="35">
      <c r="C35" s="46">
        <v>-6.5</v>
      </c>
      <c r="D35" s="28">
        <v>-6.7</v>
      </c>
      <c r="E35" s="28">
        <v>-7.34</v>
      </c>
      <c r="F35" s="28">
        <v>-6.92</v>
      </c>
      <c r="G35" s="28">
        <v>-4.1</v>
      </c>
      <c r="H35" s="28">
        <v>-6.16</v>
      </c>
      <c r="I35" s="28">
        <v>-6.38</v>
      </c>
      <c r="J35" s="28">
        <v>-7.34</v>
      </c>
      <c r="L35" s="46">
        <v>8.48</v>
      </c>
      <c r="M35" s="28">
        <v>-3.97</v>
      </c>
      <c r="N35" s="28">
        <v>-4.28</v>
      </c>
      <c r="Q35" s="46">
        <v>-3.67</v>
      </c>
      <c r="R35" s="28">
        <v>-3.81</v>
      </c>
      <c r="S35" s="52">
        <v>-3.51</v>
      </c>
      <c r="T35" s="28">
        <v>-4.64</v>
      </c>
      <c r="U35" s="28">
        <v>-4.0</v>
      </c>
      <c r="V35" s="28">
        <v>-4.94</v>
      </c>
      <c r="W35" s="28">
        <v>-4.28</v>
      </c>
      <c r="X35" s="51"/>
      <c r="Z35" s="46">
        <v>-4.37</v>
      </c>
      <c r="AA35" s="28">
        <v>-3.89</v>
      </c>
      <c r="AB35" s="28">
        <v>-4.13</v>
      </c>
      <c r="AC35" s="52">
        <v>2.84</v>
      </c>
      <c r="AD35" s="28">
        <v>-4.48</v>
      </c>
      <c r="AE35" s="28">
        <v>-4.76</v>
      </c>
      <c r="AF35" s="53">
        <v>-4.74</v>
      </c>
      <c r="AH35" s="46">
        <v>3.22</v>
      </c>
      <c r="AI35" s="28">
        <v>2.86</v>
      </c>
      <c r="AJ35" s="28">
        <v>-4.16</v>
      </c>
      <c r="AK35" s="28">
        <v>-4.35</v>
      </c>
      <c r="AL35" s="28">
        <v>3.8</v>
      </c>
      <c r="AM35" s="52">
        <v>-7.2</v>
      </c>
      <c r="AN35" s="28">
        <v>-7.06</v>
      </c>
      <c r="AO35" s="28">
        <v>-6.43</v>
      </c>
    </row>
    <row r="36">
      <c r="C36" s="46">
        <v>-5.0</v>
      </c>
      <c r="D36" s="28">
        <v>-4.67</v>
      </c>
      <c r="E36" s="28">
        <v>-4.61</v>
      </c>
      <c r="F36" s="28">
        <v>-4.73</v>
      </c>
      <c r="G36" s="28">
        <v>-4.07</v>
      </c>
      <c r="H36" s="28">
        <v>-4.46</v>
      </c>
      <c r="I36" s="28">
        <v>-4.36</v>
      </c>
      <c r="J36" s="28">
        <v>-4.61</v>
      </c>
      <c r="L36" s="46">
        <v>-3.96</v>
      </c>
      <c r="M36" s="28">
        <v>-4.58</v>
      </c>
      <c r="N36" s="28">
        <v>-4.4</v>
      </c>
      <c r="Q36" s="46">
        <v>5.18</v>
      </c>
      <c r="R36" s="28">
        <v>4.74</v>
      </c>
      <c r="S36" s="52">
        <v>4.49</v>
      </c>
      <c r="T36" s="28">
        <v>5.46</v>
      </c>
      <c r="U36" s="28">
        <v>4.72</v>
      </c>
      <c r="V36" s="28">
        <v>5.93</v>
      </c>
      <c r="W36" s="28">
        <v>5.81</v>
      </c>
      <c r="X36" s="51"/>
      <c r="Z36" s="46">
        <v>5.91</v>
      </c>
      <c r="AA36" s="28">
        <v>8.73</v>
      </c>
      <c r="AB36" s="28">
        <v>6.9</v>
      </c>
      <c r="AC36" s="52">
        <v>5.87</v>
      </c>
      <c r="AD36" s="28">
        <v>6.2</v>
      </c>
      <c r="AE36" s="28">
        <v>5.88</v>
      </c>
      <c r="AF36" s="53">
        <v>10.11</v>
      </c>
      <c r="AH36" s="46">
        <v>-4.23</v>
      </c>
      <c r="AI36" s="28">
        <v>4.55</v>
      </c>
      <c r="AJ36" s="28">
        <v>-4.34</v>
      </c>
      <c r="AK36" s="28">
        <v>3.98</v>
      </c>
      <c r="AL36" s="28">
        <v>3.97</v>
      </c>
      <c r="AM36" s="52">
        <v>2.68</v>
      </c>
      <c r="AN36" s="28">
        <v>-5.26</v>
      </c>
      <c r="AO36" s="28">
        <v>-6.72</v>
      </c>
    </row>
    <row r="37">
      <c r="C37" s="46">
        <v>-5.74</v>
      </c>
      <c r="D37" s="28">
        <v>-5.1</v>
      </c>
      <c r="E37" s="28">
        <v>-6.56</v>
      </c>
      <c r="F37" s="28">
        <v>-7.33</v>
      </c>
      <c r="G37" s="28">
        <v>-3.92</v>
      </c>
      <c r="H37" s="28">
        <v>-5.48</v>
      </c>
      <c r="I37" s="28">
        <v>-6.06</v>
      </c>
      <c r="J37" s="28">
        <v>-6.56</v>
      </c>
      <c r="L37" s="46">
        <v>3.05</v>
      </c>
      <c r="M37" s="28">
        <v>3.72</v>
      </c>
      <c r="N37" s="28">
        <v>3.79</v>
      </c>
      <c r="Q37" s="46">
        <v>3.5</v>
      </c>
      <c r="R37" s="28">
        <v>3.67</v>
      </c>
      <c r="S37" s="52">
        <v>3.26</v>
      </c>
      <c r="T37" s="28">
        <v>3.77</v>
      </c>
      <c r="U37" s="28">
        <v>3.35</v>
      </c>
      <c r="V37" s="28">
        <v>3.61</v>
      </c>
      <c r="W37" s="28">
        <v>3.67</v>
      </c>
      <c r="X37" s="51"/>
      <c r="Z37" s="46">
        <v>-4.19</v>
      </c>
      <c r="AA37" s="28">
        <v>-5.45</v>
      </c>
      <c r="AB37" s="28">
        <v>-4.89</v>
      </c>
      <c r="AC37" s="52">
        <v>6.75</v>
      </c>
      <c r="AD37" s="28">
        <v>-3.99</v>
      </c>
      <c r="AE37" s="28">
        <v>-3.56</v>
      </c>
      <c r="AF37" s="53">
        <v>-5.75</v>
      </c>
      <c r="AH37" s="46">
        <v>5.93</v>
      </c>
      <c r="AI37" s="28">
        <v>-5.54</v>
      </c>
      <c r="AJ37" s="28">
        <v>-5.06</v>
      </c>
      <c r="AK37" s="28">
        <v>-5.72</v>
      </c>
      <c r="AL37" s="28">
        <v>5.92</v>
      </c>
      <c r="AM37" s="52">
        <v>-4.57</v>
      </c>
      <c r="AN37" s="28">
        <v>-4.66</v>
      </c>
      <c r="AO37" s="28">
        <v>-4.28</v>
      </c>
    </row>
    <row r="38">
      <c r="C38" s="46">
        <v>-3.53</v>
      </c>
      <c r="D38" s="28">
        <v>-5.53</v>
      </c>
      <c r="E38" s="28">
        <v>-4.42</v>
      </c>
      <c r="F38" s="28">
        <v>-4.36</v>
      </c>
      <c r="G38" s="28">
        <v>-3.55</v>
      </c>
      <c r="H38" s="28">
        <v>-3.67</v>
      </c>
      <c r="I38" s="28">
        <v>-4.36</v>
      </c>
      <c r="J38" s="28">
        <v>-4.42</v>
      </c>
      <c r="L38" s="46">
        <v>3.23</v>
      </c>
      <c r="M38" s="28">
        <v>4.02</v>
      </c>
      <c r="N38" s="28">
        <v>4.04</v>
      </c>
      <c r="Q38" s="46">
        <v>-5.17</v>
      </c>
      <c r="R38" s="28">
        <v>-5.11</v>
      </c>
      <c r="S38" s="52">
        <v>-4.67</v>
      </c>
      <c r="T38" s="28">
        <v>-5.46</v>
      </c>
      <c r="U38" s="28">
        <v>-4.61</v>
      </c>
      <c r="V38" s="28">
        <v>-6.09</v>
      </c>
      <c r="W38" s="28">
        <v>-4.06</v>
      </c>
      <c r="X38" s="51"/>
      <c r="Z38" s="46">
        <v>-5.4</v>
      </c>
      <c r="AA38" s="28">
        <v>-4.57</v>
      </c>
      <c r="AB38" s="28">
        <v>12.62</v>
      </c>
      <c r="AC38" s="52">
        <v>-5.27</v>
      </c>
      <c r="AD38" s="28">
        <v>-4.65</v>
      </c>
      <c r="AE38" s="28">
        <v>-4.74</v>
      </c>
      <c r="AF38" s="53">
        <v>10.93</v>
      </c>
      <c r="AH38" s="46">
        <v>-4.97</v>
      </c>
      <c r="AI38" s="28">
        <v>-4.29</v>
      </c>
      <c r="AJ38" s="28">
        <v>-4.91</v>
      </c>
      <c r="AK38" s="28">
        <v>-4.51</v>
      </c>
      <c r="AL38" s="28">
        <v>-5.38</v>
      </c>
      <c r="AM38" s="52">
        <v>5.67</v>
      </c>
      <c r="AN38" s="28">
        <v>5.83</v>
      </c>
      <c r="AO38" s="28">
        <v>4.72</v>
      </c>
    </row>
    <row r="39">
      <c r="C39" s="46">
        <v>2.94</v>
      </c>
      <c r="D39" s="28">
        <v>4.1</v>
      </c>
      <c r="E39" s="28">
        <v>3.28</v>
      </c>
      <c r="F39" s="28">
        <v>3.1</v>
      </c>
      <c r="G39" s="28">
        <v>2.95</v>
      </c>
      <c r="H39" s="28">
        <v>2.94</v>
      </c>
      <c r="I39" s="28">
        <v>3.04</v>
      </c>
      <c r="J39" s="28">
        <v>3.28</v>
      </c>
      <c r="L39" s="46">
        <v>-5.06</v>
      </c>
      <c r="M39" s="28">
        <v>-5.52</v>
      </c>
      <c r="N39" s="28">
        <v>-4.97</v>
      </c>
      <c r="Q39" s="46">
        <v>0.78</v>
      </c>
      <c r="R39" s="28">
        <v>0.65</v>
      </c>
      <c r="S39" s="52">
        <v>0.63</v>
      </c>
      <c r="T39" s="28">
        <v>0.59</v>
      </c>
      <c r="U39" s="28">
        <v>0.49</v>
      </c>
      <c r="V39" s="28">
        <v>0.68</v>
      </c>
      <c r="W39" s="28">
        <v>0.72</v>
      </c>
      <c r="X39" s="51"/>
      <c r="Z39" s="46">
        <v>0.88</v>
      </c>
      <c r="AA39" s="28">
        <v>0.99</v>
      </c>
      <c r="AB39" s="28">
        <v>1.05</v>
      </c>
      <c r="AC39" s="52">
        <v>1.01</v>
      </c>
      <c r="AD39" s="28">
        <v>1.1</v>
      </c>
      <c r="AE39" s="28">
        <v>1.1</v>
      </c>
      <c r="AF39" s="53">
        <v>1.26</v>
      </c>
      <c r="AH39" s="46">
        <v>1.62</v>
      </c>
      <c r="AI39" s="28">
        <v>1.68</v>
      </c>
      <c r="AJ39" s="28">
        <v>1.99</v>
      </c>
      <c r="AK39" s="28">
        <v>1.61</v>
      </c>
      <c r="AL39" s="28">
        <v>-5.49</v>
      </c>
      <c r="AM39" s="60"/>
    </row>
    <row r="40">
      <c r="C40" s="46">
        <v>3.54</v>
      </c>
      <c r="D40" s="28">
        <v>-4.79</v>
      </c>
      <c r="E40" s="28">
        <v>-4.01</v>
      </c>
      <c r="F40" s="28">
        <v>3.51</v>
      </c>
      <c r="G40" s="28">
        <v>3.67</v>
      </c>
      <c r="H40" s="28">
        <v>3.51</v>
      </c>
      <c r="I40" s="28">
        <v>-3.97</v>
      </c>
      <c r="J40" s="28">
        <v>-4.01</v>
      </c>
      <c r="L40" s="46">
        <v>9.71</v>
      </c>
      <c r="M40" s="28">
        <v>9.2</v>
      </c>
      <c r="N40" s="28">
        <v>10.68</v>
      </c>
      <c r="O40" s="62">
        <v>-3.99</v>
      </c>
      <c r="Q40" s="46">
        <v>-4.39</v>
      </c>
      <c r="R40" s="28">
        <v>-3.73</v>
      </c>
      <c r="S40" s="52">
        <v>-3.39</v>
      </c>
      <c r="T40" s="28">
        <v>10.35</v>
      </c>
      <c r="U40" s="28">
        <v>10.49</v>
      </c>
      <c r="V40" s="28">
        <v>11.22</v>
      </c>
      <c r="W40" s="28">
        <v>-5.09</v>
      </c>
      <c r="X40" s="51"/>
      <c r="Z40" s="46">
        <v>-5.16</v>
      </c>
      <c r="AA40" s="28">
        <v>-5.86</v>
      </c>
      <c r="AB40" s="28">
        <v>-6.14</v>
      </c>
      <c r="AC40" s="52">
        <v>-4.26</v>
      </c>
      <c r="AD40" s="28">
        <v>-4.39</v>
      </c>
      <c r="AE40" s="28">
        <v>-4.49</v>
      </c>
      <c r="AF40" s="53">
        <v>-7.84</v>
      </c>
      <c r="AH40" s="46">
        <v>-3.82</v>
      </c>
      <c r="AI40" s="28">
        <v>-4.56</v>
      </c>
      <c r="AJ40" s="28">
        <v>-4.58</v>
      </c>
      <c r="AK40" s="28">
        <v>-4.1</v>
      </c>
      <c r="AL40" s="28">
        <v>5.23</v>
      </c>
      <c r="AM40" s="60"/>
    </row>
    <row r="41">
      <c r="C41" s="46">
        <v>1.93</v>
      </c>
      <c r="D41" s="28">
        <v>1.56</v>
      </c>
      <c r="E41" s="28">
        <v>2.13</v>
      </c>
      <c r="F41" s="28">
        <v>2.12</v>
      </c>
      <c r="G41" s="28">
        <v>1.48</v>
      </c>
      <c r="H41" s="28">
        <v>1.79</v>
      </c>
      <c r="I41" s="28">
        <v>1.89</v>
      </c>
      <c r="J41" s="28">
        <v>2.13</v>
      </c>
      <c r="L41" s="46">
        <v>4.38</v>
      </c>
      <c r="M41" s="28">
        <v>5.3</v>
      </c>
      <c r="N41" s="28">
        <v>5.59</v>
      </c>
      <c r="O41" s="62">
        <v>-6.03</v>
      </c>
      <c r="Q41" s="46">
        <v>-3.63</v>
      </c>
      <c r="R41" s="28">
        <v>-3.58</v>
      </c>
      <c r="S41" s="52">
        <v>-3.52</v>
      </c>
      <c r="T41" s="28">
        <v>-3.79</v>
      </c>
      <c r="U41" s="28">
        <v>9.56</v>
      </c>
      <c r="V41" s="28">
        <v>-3.82</v>
      </c>
      <c r="W41" s="28">
        <v>10.73</v>
      </c>
      <c r="X41" s="51"/>
      <c r="Z41" s="46">
        <v>-4.28</v>
      </c>
      <c r="AA41" s="28">
        <v>-5.2</v>
      </c>
      <c r="AB41" s="28">
        <v>-6.18</v>
      </c>
      <c r="AC41" s="52">
        <v>-3.99</v>
      </c>
      <c r="AD41" s="28">
        <v>-4.22</v>
      </c>
      <c r="AE41" s="28">
        <v>-5.61</v>
      </c>
      <c r="AF41" s="53">
        <v>-6.46</v>
      </c>
      <c r="AH41" s="46">
        <v>1.72</v>
      </c>
      <c r="AI41" s="28">
        <v>1.78</v>
      </c>
      <c r="AJ41" s="28">
        <v>1.91</v>
      </c>
      <c r="AK41" s="28">
        <v>-3.61</v>
      </c>
      <c r="AL41" s="28">
        <v>2.05</v>
      </c>
      <c r="AM41" s="60"/>
    </row>
    <row r="42">
      <c r="C42" s="46">
        <v>-3.39</v>
      </c>
      <c r="D42" s="28">
        <v>-4.03</v>
      </c>
      <c r="E42" s="28">
        <v>-5.23</v>
      </c>
      <c r="F42" s="28">
        <v>8.14</v>
      </c>
      <c r="G42" s="28">
        <v>-3.5</v>
      </c>
      <c r="H42" s="28">
        <v>-3.55</v>
      </c>
      <c r="I42" s="28">
        <v>9.42</v>
      </c>
      <c r="J42" s="28">
        <v>-5.23</v>
      </c>
      <c r="L42" s="46">
        <v>-5.33</v>
      </c>
      <c r="M42" s="28">
        <v>-6.77</v>
      </c>
      <c r="N42" s="28">
        <v>-6.57</v>
      </c>
      <c r="O42" s="62">
        <v>4.88</v>
      </c>
      <c r="Q42" s="46">
        <v>3.14</v>
      </c>
      <c r="R42" s="28">
        <v>2.57</v>
      </c>
      <c r="S42" s="52">
        <v>2.55</v>
      </c>
      <c r="T42" s="28">
        <v>2.59</v>
      </c>
      <c r="U42" s="28">
        <v>2.52</v>
      </c>
      <c r="V42" s="28">
        <v>3.38</v>
      </c>
      <c r="W42" s="28">
        <v>3.08</v>
      </c>
      <c r="X42" s="51"/>
      <c r="Z42" s="46">
        <v>-4.84</v>
      </c>
      <c r="AA42" s="28">
        <v>-7.4</v>
      </c>
      <c r="AB42" s="28">
        <v>-5.63</v>
      </c>
      <c r="AC42" s="52">
        <v>-5.25</v>
      </c>
      <c r="AD42" s="28">
        <v>-6.18</v>
      </c>
      <c r="AE42" s="28">
        <v>13.69</v>
      </c>
      <c r="AF42" s="53">
        <v>17.74</v>
      </c>
      <c r="AH42" s="46">
        <v>5.2</v>
      </c>
      <c r="AI42" s="28">
        <v>-4.43</v>
      </c>
      <c r="AJ42" s="28">
        <v>-4.42</v>
      </c>
      <c r="AK42" s="28">
        <v>-4.75</v>
      </c>
      <c r="AL42" s="28">
        <v>10.16</v>
      </c>
      <c r="AM42" s="60"/>
    </row>
    <row r="43">
      <c r="C43" s="46">
        <v>8.05</v>
      </c>
      <c r="D43" s="28">
        <v>11.24</v>
      </c>
      <c r="E43" s="28">
        <v>10.59</v>
      </c>
      <c r="F43" s="28">
        <v>7.92</v>
      </c>
      <c r="G43" s="28">
        <v>-3.75</v>
      </c>
      <c r="H43" s="28">
        <v>-3.7</v>
      </c>
      <c r="I43" s="28">
        <v>-3.75</v>
      </c>
      <c r="J43" s="28">
        <v>10.59</v>
      </c>
      <c r="L43" s="46">
        <v>1.83</v>
      </c>
      <c r="M43" s="28">
        <v>2.39</v>
      </c>
      <c r="N43" s="28">
        <v>2.23</v>
      </c>
      <c r="O43" s="62">
        <v>2.25</v>
      </c>
      <c r="Q43" s="46">
        <v>-3.73</v>
      </c>
      <c r="R43" s="28">
        <v>-3.69</v>
      </c>
      <c r="S43" s="52">
        <v>5.02</v>
      </c>
      <c r="T43" s="28">
        <v>5.06</v>
      </c>
      <c r="U43" s="28">
        <v>5.18</v>
      </c>
      <c r="V43" s="28">
        <v>5.2</v>
      </c>
      <c r="W43" s="28">
        <v>-4.69</v>
      </c>
      <c r="X43" s="51"/>
      <c r="Z43" s="46">
        <v>0.67</v>
      </c>
      <c r="AA43" s="28">
        <v>0.68</v>
      </c>
      <c r="AB43" s="28">
        <v>0.74</v>
      </c>
      <c r="AC43" s="52">
        <v>0.83</v>
      </c>
      <c r="AD43" s="28">
        <v>0.78</v>
      </c>
      <c r="AE43" s="28">
        <v>0.79</v>
      </c>
      <c r="AF43" s="53">
        <v>0.98</v>
      </c>
      <c r="AH43" s="46">
        <v>3.92</v>
      </c>
      <c r="AI43" s="28">
        <v>-5.33</v>
      </c>
      <c r="AJ43" s="28">
        <v>-4.9</v>
      </c>
      <c r="AK43" s="28">
        <v>-4.45</v>
      </c>
      <c r="AL43" s="28">
        <v>4.9</v>
      </c>
      <c r="AM43" s="60"/>
    </row>
    <row r="44">
      <c r="C44" s="46">
        <v>-3.52</v>
      </c>
      <c r="D44" s="28">
        <v>6.64</v>
      </c>
      <c r="E44" s="28">
        <v>-4.38</v>
      </c>
      <c r="F44" s="28">
        <v>6.48</v>
      </c>
      <c r="G44" s="28">
        <v>-3.57</v>
      </c>
      <c r="H44" s="28">
        <v>-3.64</v>
      </c>
      <c r="I44" s="28">
        <v>-3.58</v>
      </c>
      <c r="J44" s="28">
        <v>-4.38</v>
      </c>
      <c r="L44" s="46">
        <v>-4.78</v>
      </c>
      <c r="M44" s="28">
        <v>8.16</v>
      </c>
      <c r="N44" s="28">
        <v>8.84</v>
      </c>
      <c r="O44" s="62">
        <v>-3.65</v>
      </c>
      <c r="Q44" s="46">
        <v>5.26</v>
      </c>
      <c r="R44" s="28">
        <v>5.76</v>
      </c>
      <c r="S44" s="52">
        <v>5.61</v>
      </c>
      <c r="T44" s="28">
        <v>-4.0</v>
      </c>
      <c r="U44" s="28">
        <v>5.58</v>
      </c>
      <c r="V44" s="28">
        <v>6.28</v>
      </c>
      <c r="W44" s="28">
        <v>-4.41</v>
      </c>
      <c r="X44" s="51"/>
      <c r="Z44" s="46">
        <v>-4.35</v>
      </c>
      <c r="AA44" s="28">
        <v>-4.02</v>
      </c>
      <c r="AB44" s="28">
        <v>-5.39</v>
      </c>
      <c r="AC44" s="52">
        <v>-3.74</v>
      </c>
      <c r="AD44" s="28">
        <v>-4.05</v>
      </c>
      <c r="AE44" s="28">
        <v>-5.4</v>
      </c>
      <c r="AF44" s="53">
        <v>-6.54</v>
      </c>
      <c r="AH44" s="46">
        <v>1.71</v>
      </c>
      <c r="AI44" s="28">
        <v>1.65</v>
      </c>
      <c r="AJ44" s="28">
        <v>1.81</v>
      </c>
      <c r="AK44" s="28">
        <v>-4.44</v>
      </c>
      <c r="AL44" s="28">
        <v>1.53</v>
      </c>
      <c r="AM44" s="60"/>
    </row>
    <row r="45">
      <c r="C45" s="46">
        <v>-4.68</v>
      </c>
      <c r="D45" s="28">
        <v>-4.29</v>
      </c>
      <c r="E45" s="28">
        <v>-4.98</v>
      </c>
      <c r="F45" s="28">
        <v>-4.86</v>
      </c>
      <c r="G45" s="28">
        <v>-3.69</v>
      </c>
      <c r="H45" s="28">
        <v>-4.39</v>
      </c>
      <c r="I45" s="28">
        <v>-4.84</v>
      </c>
      <c r="J45" s="28">
        <v>-4.98</v>
      </c>
      <c r="L45" s="46">
        <v>2.03</v>
      </c>
      <c r="M45" s="28">
        <v>2.19</v>
      </c>
      <c r="N45" s="28">
        <v>2.39</v>
      </c>
      <c r="O45" s="62">
        <v>2.19</v>
      </c>
      <c r="Q45" s="46">
        <v>-4.19</v>
      </c>
      <c r="R45" s="28">
        <v>-3.73</v>
      </c>
      <c r="S45" s="52">
        <v>-3.54</v>
      </c>
      <c r="T45" s="28">
        <v>-3.7</v>
      </c>
      <c r="U45" s="28">
        <v>-3.48</v>
      </c>
      <c r="V45" s="28">
        <v>-3.58</v>
      </c>
      <c r="W45" s="28">
        <v>-4.24</v>
      </c>
      <c r="X45" s="51"/>
      <c r="Z45" s="46">
        <v>5.55</v>
      </c>
      <c r="AA45" s="28">
        <v>10.43</v>
      </c>
      <c r="AB45" s="28">
        <v>7.75</v>
      </c>
      <c r="AC45" s="52">
        <v>4.94</v>
      </c>
      <c r="AD45" s="28">
        <v>5.57</v>
      </c>
      <c r="AE45" s="28">
        <v>5.31</v>
      </c>
      <c r="AF45" s="53">
        <v>8.27</v>
      </c>
      <c r="AH45" s="46">
        <v>-8.72</v>
      </c>
      <c r="AI45" s="28">
        <v>-6.08</v>
      </c>
      <c r="AJ45" s="28">
        <v>-5.49</v>
      </c>
      <c r="AK45" s="28">
        <v>-5.37</v>
      </c>
      <c r="AL45" s="28">
        <v>-7.48</v>
      </c>
      <c r="AM45" s="60"/>
    </row>
    <row r="46">
      <c r="C46" s="46">
        <v>6.43</v>
      </c>
      <c r="D46" s="28">
        <v>7.51</v>
      </c>
      <c r="E46" s="28">
        <v>9.05</v>
      </c>
      <c r="F46" s="28">
        <v>6.82</v>
      </c>
      <c r="G46" s="28">
        <v>5.66</v>
      </c>
      <c r="H46" s="28">
        <v>6.39</v>
      </c>
      <c r="I46" s="28">
        <v>6.17</v>
      </c>
      <c r="J46" s="28">
        <v>9.05</v>
      </c>
      <c r="L46" s="46">
        <v>-4.25</v>
      </c>
      <c r="M46" s="28">
        <v>-4.77</v>
      </c>
      <c r="N46" s="28">
        <v>-4.88</v>
      </c>
      <c r="O46" s="62">
        <v>-3.81</v>
      </c>
      <c r="Q46" s="46">
        <v>-4.98</v>
      </c>
      <c r="R46" s="28">
        <v>-4.27</v>
      </c>
      <c r="S46" s="52">
        <v>-3.98</v>
      </c>
      <c r="T46" s="28">
        <v>10.26</v>
      </c>
      <c r="U46" s="28">
        <v>-3.65</v>
      </c>
      <c r="V46" s="28">
        <v>-3.67</v>
      </c>
      <c r="W46" s="28">
        <v>-6.0</v>
      </c>
      <c r="X46" s="51"/>
      <c r="Z46" s="46">
        <v>2.51</v>
      </c>
      <c r="AA46" s="28">
        <v>3.07</v>
      </c>
      <c r="AB46" s="28">
        <v>2.94</v>
      </c>
      <c r="AC46" s="52">
        <v>2.51</v>
      </c>
      <c r="AD46" s="28">
        <v>2.6</v>
      </c>
      <c r="AE46" s="28">
        <v>2.71</v>
      </c>
      <c r="AF46" s="53">
        <v>2.4</v>
      </c>
      <c r="AH46" s="46">
        <v>-7.43</v>
      </c>
      <c r="AI46" s="28">
        <v>-5.53</v>
      </c>
      <c r="AJ46" s="28">
        <v>-4.65</v>
      </c>
      <c r="AK46" s="28">
        <v>-4.36</v>
      </c>
      <c r="AL46" s="28">
        <v>-6.82</v>
      </c>
      <c r="AM46" s="60"/>
    </row>
    <row r="47">
      <c r="C47" s="46">
        <v>6.7</v>
      </c>
      <c r="D47" s="28">
        <v>-4.28</v>
      </c>
      <c r="E47" s="28">
        <v>-3.63</v>
      </c>
      <c r="F47" s="28">
        <v>-3.55</v>
      </c>
      <c r="G47" s="28">
        <v>-3.38</v>
      </c>
      <c r="H47" s="28">
        <v>6.76</v>
      </c>
      <c r="I47" s="28">
        <v>7.42</v>
      </c>
      <c r="J47" s="28">
        <v>-3.63</v>
      </c>
      <c r="L47" s="46">
        <v>-5.54</v>
      </c>
      <c r="M47" s="28">
        <v>20.89</v>
      </c>
      <c r="N47" s="28">
        <v>23.81</v>
      </c>
      <c r="O47" s="62">
        <v>2.32</v>
      </c>
      <c r="Q47" s="46">
        <v>8.72</v>
      </c>
      <c r="R47" s="28">
        <v>-5.35</v>
      </c>
      <c r="S47" s="52">
        <v>-4.98</v>
      </c>
      <c r="T47" s="28">
        <v>-5.25</v>
      </c>
      <c r="U47" s="28">
        <v>-4.79</v>
      </c>
      <c r="V47" s="28">
        <v>-6.05</v>
      </c>
      <c r="W47" s="28">
        <v>-4.37</v>
      </c>
      <c r="X47" s="51"/>
      <c r="Z47" s="46">
        <v>-5.06</v>
      </c>
      <c r="AA47" s="28">
        <v>3.14</v>
      </c>
      <c r="AB47" s="28">
        <v>2.66</v>
      </c>
      <c r="AC47" s="52">
        <v>2.75</v>
      </c>
      <c r="AD47" s="28">
        <v>-4.8</v>
      </c>
      <c r="AE47" s="28">
        <v>-4.34</v>
      </c>
      <c r="AF47" s="53">
        <v>-5.32</v>
      </c>
      <c r="AH47" s="46">
        <v>-6.49</v>
      </c>
      <c r="AI47" s="28">
        <v>15.46</v>
      </c>
      <c r="AJ47" s="28">
        <v>-5.25</v>
      </c>
      <c r="AK47" s="28">
        <v>-5.19</v>
      </c>
      <c r="AL47" s="28">
        <v>-4.18</v>
      </c>
      <c r="AM47" s="60"/>
    </row>
    <row r="48">
      <c r="C48" s="60"/>
      <c r="D48" s="61"/>
      <c r="L48" s="46">
        <v>-4.89</v>
      </c>
      <c r="M48" s="28">
        <v>7.94</v>
      </c>
      <c r="N48" s="28">
        <v>-4.65</v>
      </c>
      <c r="O48" s="62">
        <v>-5.39</v>
      </c>
      <c r="Q48" s="61"/>
      <c r="X48" s="51"/>
      <c r="Z48" s="46">
        <v>3.18</v>
      </c>
      <c r="AA48" s="28">
        <v>4.2</v>
      </c>
      <c r="AB48" s="28">
        <v>-4.34</v>
      </c>
      <c r="AC48" s="52">
        <v>3.35</v>
      </c>
      <c r="AD48" s="28">
        <v>3.22</v>
      </c>
      <c r="AE48" s="28">
        <v>-3.97</v>
      </c>
      <c r="AF48" s="53">
        <v>-6.72</v>
      </c>
      <c r="AH48" s="46">
        <v>-3.96</v>
      </c>
      <c r="AI48" s="28">
        <v>-5.19</v>
      </c>
      <c r="AJ48" s="28">
        <v>-4.44</v>
      </c>
      <c r="AK48" s="28">
        <v>-4.54</v>
      </c>
      <c r="AL48" s="28">
        <v>8.14</v>
      </c>
      <c r="AM48" s="60"/>
    </row>
    <row r="49">
      <c r="C49" s="51"/>
      <c r="L49" s="46">
        <v>-6.86</v>
      </c>
      <c r="M49" s="28">
        <v>-7.74</v>
      </c>
      <c r="N49" s="28">
        <v>-8.66</v>
      </c>
      <c r="O49" s="62">
        <v>-4.23</v>
      </c>
      <c r="Z49" s="46">
        <v>-6.98</v>
      </c>
      <c r="AA49" s="28">
        <v>-8.47</v>
      </c>
      <c r="AB49" s="28">
        <v>-8.71</v>
      </c>
      <c r="AC49" s="52">
        <v>-6.48</v>
      </c>
      <c r="AD49" s="28">
        <v>-7.42</v>
      </c>
      <c r="AE49" s="28">
        <v>-6.5</v>
      </c>
      <c r="AF49" s="53">
        <v>-7.74</v>
      </c>
      <c r="AH49" s="46">
        <v>5.89</v>
      </c>
      <c r="AI49" s="28">
        <v>-4.08</v>
      </c>
      <c r="AJ49" s="28">
        <v>3.37</v>
      </c>
      <c r="AK49" s="28">
        <v>-4.58</v>
      </c>
      <c r="AL49" s="28">
        <v>4.04</v>
      </c>
      <c r="AM49" s="60"/>
    </row>
    <row r="50">
      <c r="L50" s="46">
        <v>15.18</v>
      </c>
      <c r="M50" s="28">
        <v>17.39</v>
      </c>
      <c r="N50" s="28">
        <v>16.71</v>
      </c>
      <c r="O50" s="63">
        <v>-6.63</v>
      </c>
      <c r="Z50" s="28">
        <v>4.94</v>
      </c>
      <c r="AA50" s="28">
        <v>5.45</v>
      </c>
      <c r="AB50" s="28">
        <v>5.13</v>
      </c>
      <c r="AC50" s="52">
        <v>4.29</v>
      </c>
      <c r="AD50" s="28">
        <v>4.33</v>
      </c>
      <c r="AE50" s="28">
        <v>5.64</v>
      </c>
      <c r="AF50" s="53">
        <v>6.05</v>
      </c>
      <c r="AH50" s="61"/>
    </row>
    <row r="51">
      <c r="L51" s="46">
        <v>-4.52</v>
      </c>
      <c r="M51" s="28">
        <v>11.12</v>
      </c>
      <c r="N51" s="28">
        <v>-4.81</v>
      </c>
      <c r="O51" s="63">
        <v>-5.07</v>
      </c>
      <c r="Z51" s="28">
        <v>4.18</v>
      </c>
      <c r="AA51" s="28">
        <v>4.9</v>
      </c>
      <c r="AB51" s="28">
        <v>4.89</v>
      </c>
      <c r="AC51" s="52">
        <v>4.65</v>
      </c>
      <c r="AD51" s="28">
        <v>4.06</v>
      </c>
      <c r="AE51" s="28">
        <v>4.44</v>
      </c>
      <c r="AF51" s="53">
        <v>6.06</v>
      </c>
    </row>
    <row r="52">
      <c r="L52" s="60"/>
      <c r="Z52" s="28">
        <v>1.67</v>
      </c>
      <c r="AA52" s="28">
        <v>2.2</v>
      </c>
      <c r="AB52" s="28">
        <v>2.38</v>
      </c>
      <c r="AC52" s="52">
        <v>-4.88</v>
      </c>
      <c r="AD52" s="28">
        <v>-5.65</v>
      </c>
      <c r="AE52" s="28">
        <v>2.29</v>
      </c>
      <c r="AF52" s="53">
        <v>2.88</v>
      </c>
    </row>
    <row r="53">
      <c r="L53" s="61"/>
      <c r="Z53" s="28">
        <v>2.88</v>
      </c>
      <c r="AA53" s="28">
        <v>3.9</v>
      </c>
      <c r="AB53" s="28">
        <v>3.37</v>
      </c>
      <c r="AC53" s="52">
        <v>2.21</v>
      </c>
      <c r="AD53" s="28">
        <v>3.0</v>
      </c>
      <c r="AE53" s="28">
        <v>2.63</v>
      </c>
      <c r="AF53" s="53">
        <v>-5.58</v>
      </c>
    </row>
    <row r="54">
      <c r="L54" s="51"/>
      <c r="Z54" s="28">
        <v>6.48</v>
      </c>
      <c r="AA54" s="28">
        <v>7.85</v>
      </c>
      <c r="AB54" s="28">
        <v>5.91</v>
      </c>
      <c r="AC54" s="52">
        <v>4.41</v>
      </c>
      <c r="AD54" s="28">
        <v>5.68</v>
      </c>
      <c r="AE54" s="28">
        <v>6.21</v>
      </c>
      <c r="AF54" s="53">
        <v>8.75</v>
      </c>
    </row>
    <row r="55">
      <c r="C55" s="35"/>
      <c r="Z55" s="28">
        <v>-5.24</v>
      </c>
      <c r="AA55" s="28">
        <v>-4.54</v>
      </c>
      <c r="AB55" s="28">
        <v>-5.26</v>
      </c>
      <c r="AC55" s="52">
        <v>2.62</v>
      </c>
      <c r="AD55" s="28">
        <v>3.06</v>
      </c>
      <c r="AE55" s="28">
        <v>-4.85</v>
      </c>
      <c r="AF55" s="53">
        <v>-6.63</v>
      </c>
    </row>
    <row r="56">
      <c r="Z56" s="28">
        <v>-4.67</v>
      </c>
      <c r="AA56" s="28">
        <v>7.95</v>
      </c>
      <c r="AB56" s="28">
        <v>8.17</v>
      </c>
      <c r="AC56" s="52">
        <v>-3.5</v>
      </c>
      <c r="AD56" s="28">
        <v>-4.39</v>
      </c>
      <c r="AE56" s="28">
        <v>-4.36</v>
      </c>
      <c r="AF56" s="53">
        <v>8.84</v>
      </c>
    </row>
    <row r="57">
      <c r="Z57" s="28">
        <v>-4.31</v>
      </c>
      <c r="AA57" s="28">
        <v>-4.53</v>
      </c>
      <c r="AB57" s="28">
        <v>-4.57</v>
      </c>
      <c r="AC57" s="52">
        <v>-4.16</v>
      </c>
      <c r="AD57" s="28">
        <v>-4.5</v>
      </c>
      <c r="AE57" s="28">
        <v>-3.73</v>
      </c>
      <c r="AF57" s="53">
        <v>-6.24</v>
      </c>
    </row>
    <row r="58">
      <c r="Z58" s="28">
        <v>4.52</v>
      </c>
      <c r="AA58" s="28">
        <v>6.89</v>
      </c>
      <c r="AB58" s="28">
        <v>6.82</v>
      </c>
      <c r="AC58" s="52">
        <v>4.1</v>
      </c>
      <c r="AD58" s="28">
        <v>4.44</v>
      </c>
      <c r="AE58" s="28">
        <v>5.74</v>
      </c>
      <c r="AF58" s="53">
        <v>5.97</v>
      </c>
    </row>
    <row r="59">
      <c r="AC59" s="51"/>
    </row>
    <row r="63">
      <c r="C63" s="35" t="s">
        <v>59</v>
      </c>
    </row>
    <row r="65">
      <c r="C65" s="1" t="s">
        <v>0</v>
      </c>
      <c r="D65" s="2" t="s">
        <v>1</v>
      </c>
      <c r="E65" s="3" t="s">
        <v>2</v>
      </c>
      <c r="F65" s="3" t="s">
        <v>3</v>
      </c>
      <c r="G65" s="3" t="s">
        <v>4</v>
      </c>
      <c r="H65" s="4" t="s">
        <v>51</v>
      </c>
      <c r="I65" s="4" t="s">
        <v>60</v>
      </c>
      <c r="J65" s="4" t="s">
        <v>61</v>
      </c>
      <c r="K65" s="64" t="s">
        <v>62</v>
      </c>
      <c r="L65" s="4" t="s">
        <v>63</v>
      </c>
      <c r="M65" s="65" t="s">
        <v>64</v>
      </c>
      <c r="N65" s="66" t="s">
        <v>65</v>
      </c>
    </row>
    <row r="66">
      <c r="C66" s="8">
        <v>6.0</v>
      </c>
      <c r="D66" s="9" t="s">
        <v>12</v>
      </c>
      <c r="E66" s="67"/>
      <c r="F66" s="68"/>
      <c r="G66" s="68"/>
      <c r="H66" s="17"/>
      <c r="I66" s="17"/>
      <c r="J66" s="17"/>
      <c r="K66" s="69"/>
      <c r="L66" s="17"/>
      <c r="M66" s="69"/>
      <c r="N66" s="17"/>
    </row>
    <row r="67">
      <c r="C67" s="16">
        <v>167.0</v>
      </c>
      <c r="D67" s="16" t="s">
        <v>14</v>
      </c>
      <c r="E67" s="10">
        <v>45570.0</v>
      </c>
      <c r="F67" s="10"/>
      <c r="G67" s="10"/>
      <c r="H67" s="17"/>
      <c r="I67" s="17"/>
      <c r="J67" s="17"/>
      <c r="K67" s="69"/>
      <c r="L67" s="17"/>
      <c r="M67" s="69"/>
      <c r="N67" s="20"/>
    </row>
    <row r="68">
      <c r="C68" s="18">
        <v>48.0</v>
      </c>
      <c r="D68" s="19" t="s">
        <v>15</v>
      </c>
      <c r="E68" s="10">
        <v>45679.0</v>
      </c>
      <c r="F68" s="12">
        <v>395.0</v>
      </c>
      <c r="G68" s="12" t="s">
        <v>13</v>
      </c>
      <c r="H68" s="20">
        <v>57.2457163045398</v>
      </c>
      <c r="I68" s="13">
        <v>1.99999999999998</v>
      </c>
      <c r="J68" s="13">
        <v>153.7</v>
      </c>
      <c r="K68" s="13">
        <f>-40.5+
2413.68+
163.23
</f>
        <v>2536.41</v>
      </c>
      <c r="L68" s="20">
        <v>30.0</v>
      </c>
      <c r="M68" s="13">
        <f t="shared" ref="M68:M72" si="7">K68/J68</f>
        <v>16.50234223</v>
      </c>
      <c r="N68" s="17">
        <f>L68*'Data preparation'!$C$2</f>
        <v>3</v>
      </c>
    </row>
    <row r="69">
      <c r="C69" s="16">
        <v>55.0</v>
      </c>
      <c r="D69" s="19" t="s">
        <v>17</v>
      </c>
      <c r="E69" s="10">
        <v>45679.0</v>
      </c>
      <c r="F69" s="12">
        <v>724.0</v>
      </c>
      <c r="G69" s="12" t="s">
        <v>13</v>
      </c>
      <c r="H69" s="13">
        <v>57.7626974489822</v>
      </c>
      <c r="I69" s="13">
        <v>7.0</v>
      </c>
      <c r="J69" s="13">
        <v>174.21</v>
      </c>
      <c r="K69" s="13">
        <f>1150.93+
478.33+
122.61
</f>
        <v>1751.87</v>
      </c>
      <c r="L69" s="13">
        <f>60/2</f>
        <v>30</v>
      </c>
      <c r="M69" s="13">
        <f t="shared" si="7"/>
        <v>10.05608174</v>
      </c>
      <c r="N69" s="17">
        <f>L69*'Data preparation'!$C$2</f>
        <v>3</v>
      </c>
    </row>
    <row r="70">
      <c r="C70" s="16">
        <v>59.0</v>
      </c>
      <c r="D70" s="16" t="s">
        <v>19</v>
      </c>
      <c r="E70" s="10">
        <v>45680.0</v>
      </c>
      <c r="F70" s="12">
        <v>935.0</v>
      </c>
      <c r="G70" s="12" t="s">
        <v>13</v>
      </c>
      <c r="H70" s="13">
        <v>61.8147668934429</v>
      </c>
      <c r="I70" s="13">
        <v>5.0</v>
      </c>
      <c r="J70" s="13">
        <v>149.66</v>
      </c>
      <c r="K70" s="13">
        <f>729.17+
5039.3+
-26.81
</f>
        <v>5741.66</v>
      </c>
      <c r="L70" s="13">
        <f>50/2</f>
        <v>25</v>
      </c>
      <c r="M70" s="13">
        <f t="shared" si="7"/>
        <v>38.3646933</v>
      </c>
      <c r="N70" s="17">
        <f>L70*'Data preparation'!$C$2</f>
        <v>2.5</v>
      </c>
    </row>
    <row r="71">
      <c r="C71" s="16">
        <v>77.0</v>
      </c>
      <c r="D71" s="16" t="s">
        <v>20</v>
      </c>
      <c r="E71" s="10">
        <v>45677.0</v>
      </c>
      <c r="F71" s="12">
        <v>931.0</v>
      </c>
      <c r="G71" s="12" t="s">
        <v>13</v>
      </c>
      <c r="H71" s="13">
        <v>59.8048011309572</v>
      </c>
      <c r="I71" s="13">
        <v>11.0</v>
      </c>
      <c r="J71" s="13">
        <v>190.1</v>
      </c>
      <c r="K71" s="13">
        <f>-0.29+
1243.98+
236.53
</f>
        <v>1480.22</v>
      </c>
      <c r="L71" s="20">
        <v>40.0</v>
      </c>
      <c r="M71" s="13">
        <f t="shared" si="7"/>
        <v>7.786533403</v>
      </c>
      <c r="N71" s="17">
        <f>L71*'Data preparation'!$C$2</f>
        <v>4</v>
      </c>
    </row>
    <row r="72">
      <c r="C72" s="16">
        <v>148.0</v>
      </c>
      <c r="D72" s="16" t="s">
        <v>21</v>
      </c>
      <c r="E72" s="10">
        <v>45677.0</v>
      </c>
      <c r="F72" s="12">
        <v>112.0</v>
      </c>
      <c r="G72" s="12" t="s">
        <v>13</v>
      </c>
      <c r="H72" s="13">
        <v>56.318574213311</v>
      </c>
      <c r="I72" s="13">
        <v>8.0</v>
      </c>
      <c r="J72" s="13">
        <v>127.26</v>
      </c>
      <c r="K72" s="13">
        <f>1613.45+
584.93+
-27.72
</f>
        <v>2170.66</v>
      </c>
      <c r="L72" s="20">
        <v>40.0</v>
      </c>
      <c r="M72" s="13">
        <f t="shared" si="7"/>
        <v>17.0568914</v>
      </c>
      <c r="N72" s="17">
        <f>L72*'Data preparation'!$C$2</f>
        <v>4</v>
      </c>
    </row>
    <row r="76">
      <c r="C76" s="35" t="s">
        <v>66</v>
      </c>
    </row>
    <row r="77">
      <c r="C77" s="1" t="s">
        <v>0</v>
      </c>
      <c r="D77" s="2" t="s">
        <v>1</v>
      </c>
      <c r="E77" s="3" t="s">
        <v>2</v>
      </c>
      <c r="F77" s="3" t="s">
        <v>3</v>
      </c>
      <c r="G77" s="3" t="s">
        <v>4</v>
      </c>
      <c r="H77" s="4" t="s">
        <v>51</v>
      </c>
      <c r="I77" s="4" t="s">
        <v>60</v>
      </c>
      <c r="J77" s="4" t="s">
        <v>61</v>
      </c>
      <c r="K77" s="64" t="s">
        <v>62</v>
      </c>
      <c r="L77" s="4" t="s">
        <v>67</v>
      </c>
      <c r="M77" s="4" t="s">
        <v>68</v>
      </c>
      <c r="N77" s="4" t="s">
        <v>69</v>
      </c>
      <c r="O77" s="4"/>
      <c r="P77" s="4" t="s">
        <v>70</v>
      </c>
      <c r="Q77" s="65" t="s">
        <v>64</v>
      </c>
      <c r="R77" s="66" t="s">
        <v>65</v>
      </c>
    </row>
    <row r="78">
      <c r="C78" s="8">
        <v>6.0</v>
      </c>
      <c r="D78" s="9" t="s">
        <v>12</v>
      </c>
      <c r="E78" s="67"/>
      <c r="F78" s="68"/>
      <c r="G78" s="68"/>
      <c r="H78" s="17"/>
      <c r="I78" s="17"/>
      <c r="J78" s="17"/>
      <c r="K78" s="69"/>
      <c r="L78" s="17"/>
      <c r="M78" s="17"/>
      <c r="N78" s="17"/>
      <c r="O78" s="17"/>
      <c r="P78" s="17"/>
      <c r="Q78" s="69"/>
      <c r="R78" s="17"/>
    </row>
    <row r="79">
      <c r="C79" s="16">
        <v>167.0</v>
      </c>
      <c r="D79" s="16" t="s">
        <v>14</v>
      </c>
      <c r="E79" s="10">
        <v>45570.0</v>
      </c>
      <c r="F79" s="10"/>
      <c r="G79" s="10"/>
      <c r="H79" s="17"/>
      <c r="I79" s="17"/>
      <c r="J79" s="17"/>
      <c r="K79" s="69"/>
      <c r="L79" s="17"/>
      <c r="M79" s="17"/>
      <c r="N79" s="17"/>
      <c r="O79" s="17"/>
      <c r="P79" s="17"/>
      <c r="Q79" s="69"/>
      <c r="R79" s="20"/>
    </row>
    <row r="80">
      <c r="C80" s="18">
        <v>48.0</v>
      </c>
      <c r="D80" s="19" t="s">
        <v>15</v>
      </c>
      <c r="E80" s="10">
        <v>45679.0</v>
      </c>
      <c r="F80" s="12">
        <v>395.0</v>
      </c>
      <c r="G80" s="12" t="s">
        <v>13</v>
      </c>
      <c r="H80" s="20">
        <v>57.2457163045398</v>
      </c>
      <c r="I80" s="13">
        <v>1.99999999999998</v>
      </c>
      <c r="J80" s="13">
        <v>153.7</v>
      </c>
      <c r="K80" s="13">
        <f>-2+
8641.42+
76.54
</f>
        <v>8715.96</v>
      </c>
      <c r="L80" s="20">
        <v>5.0</v>
      </c>
      <c r="M80" s="20">
        <v>60.0</v>
      </c>
      <c r="N80" s="20">
        <v>30.0</v>
      </c>
      <c r="O80" s="20"/>
      <c r="P80" s="20">
        <f t="shared" ref="P80:P84" si="8">AVERAGE(L80:N80)</f>
        <v>31.66666667</v>
      </c>
      <c r="Q80" s="13">
        <f t="shared" ref="Q80:Q84" si="9">K80/J80</f>
        <v>56.70761223</v>
      </c>
      <c r="R80" s="69">
        <f>P80*'Data preparation'!$C$2</f>
        <v>3.166666667</v>
      </c>
    </row>
    <row r="81">
      <c r="C81" s="16">
        <v>55.0</v>
      </c>
      <c r="D81" s="19" t="s">
        <v>17</v>
      </c>
      <c r="E81" s="10">
        <v>45679.0</v>
      </c>
      <c r="F81" s="12">
        <v>724.0</v>
      </c>
      <c r="G81" s="12" t="s">
        <v>13</v>
      </c>
      <c r="H81" s="13">
        <v>57.7626974489822</v>
      </c>
      <c r="I81" s="13">
        <v>7.0</v>
      </c>
      <c r="J81" s="13">
        <v>174.21</v>
      </c>
      <c r="K81" s="13">
        <f>2560.91+
473.91+
196
</f>
        <v>3230.82</v>
      </c>
      <c r="L81" s="13">
        <v>90.0</v>
      </c>
      <c r="M81" s="13">
        <v>50.0</v>
      </c>
      <c r="N81" s="13">
        <v>40.0</v>
      </c>
      <c r="O81" s="20"/>
      <c r="P81" s="13">
        <f t="shared" si="8"/>
        <v>60</v>
      </c>
      <c r="Q81" s="13">
        <f t="shared" si="9"/>
        <v>18.54554848</v>
      </c>
      <c r="R81" s="70">
        <f>P81*'Data preparation'!$C$2/2</f>
        <v>3</v>
      </c>
    </row>
    <row r="82">
      <c r="C82" s="16">
        <v>59.0</v>
      </c>
      <c r="D82" s="16" t="s">
        <v>19</v>
      </c>
      <c r="E82" s="10">
        <v>45680.0</v>
      </c>
      <c r="F82" s="12">
        <v>935.0</v>
      </c>
      <c r="G82" s="12" t="s">
        <v>13</v>
      </c>
      <c r="H82" s="13">
        <v>61.8147668934429</v>
      </c>
      <c r="I82" s="13">
        <v>5.0</v>
      </c>
      <c r="J82" s="13">
        <v>149.66</v>
      </c>
      <c r="K82" s="13">
        <f>899.02+
15191.45+
-2.4
</f>
        <v>16088.07</v>
      </c>
      <c r="L82" s="13">
        <v>80.0</v>
      </c>
      <c r="M82" s="13">
        <v>90.0</v>
      </c>
      <c r="N82" s="13">
        <v>5.0</v>
      </c>
      <c r="O82" s="20"/>
      <c r="P82" s="13">
        <f t="shared" si="8"/>
        <v>58.33333333</v>
      </c>
      <c r="Q82" s="13">
        <f t="shared" si="9"/>
        <v>107.4974609</v>
      </c>
      <c r="R82" s="70">
        <f>P82*'Data preparation'!$C$2/2</f>
        <v>2.916666667</v>
      </c>
    </row>
    <row r="83">
      <c r="C83" s="16">
        <v>77.0</v>
      </c>
      <c r="D83" s="16" t="s">
        <v>20</v>
      </c>
      <c r="E83" s="10">
        <v>45677.0</v>
      </c>
      <c r="F83" s="12">
        <v>931.0</v>
      </c>
      <c r="G83" s="12" t="s">
        <v>13</v>
      </c>
      <c r="H83" s="13">
        <v>59.8048011309572</v>
      </c>
      <c r="I83" s="13">
        <v>11.0</v>
      </c>
      <c r="J83" s="13">
        <v>190.1</v>
      </c>
      <c r="K83" s="13">
        <f>11.94+
1356.27+
240.96
</f>
        <v>1609.17</v>
      </c>
      <c r="L83" s="20">
        <v>10.0</v>
      </c>
      <c r="M83" s="20">
        <v>40.0</v>
      </c>
      <c r="N83" s="20">
        <v>50.0</v>
      </c>
      <c r="O83" s="20"/>
      <c r="P83" s="20">
        <f t="shared" si="8"/>
        <v>33.33333333</v>
      </c>
      <c r="Q83" s="13">
        <f t="shared" si="9"/>
        <v>8.4648606</v>
      </c>
      <c r="R83" s="69">
        <f>P83*'Data preparation'!$C$2</f>
        <v>3.333333333</v>
      </c>
    </row>
    <row r="84">
      <c r="C84" s="16">
        <v>148.0</v>
      </c>
      <c r="D84" s="16" t="s">
        <v>21</v>
      </c>
      <c r="E84" s="10">
        <v>45677.0</v>
      </c>
      <c r="F84" s="12">
        <v>112.0</v>
      </c>
      <c r="G84" s="12" t="s">
        <v>13</v>
      </c>
      <c r="H84" s="13">
        <v>56.318574213311</v>
      </c>
      <c r="I84" s="13">
        <v>8.0</v>
      </c>
      <c r="J84" s="13">
        <v>127.26</v>
      </c>
      <c r="K84" s="13">
        <f>1485.08+
1015.76+
21.03
</f>
        <v>2521.87</v>
      </c>
      <c r="L84" s="20">
        <v>70.0</v>
      </c>
      <c r="M84" s="20">
        <v>70.0</v>
      </c>
      <c r="N84" s="20">
        <v>10.0</v>
      </c>
      <c r="O84" s="20"/>
      <c r="P84" s="20">
        <f t="shared" si="8"/>
        <v>50</v>
      </c>
      <c r="Q84" s="13">
        <f t="shared" si="9"/>
        <v>19.81667452</v>
      </c>
      <c r="R84" s="69">
        <f>P84*'Data preparation'!$C$2</f>
        <v>5</v>
      </c>
    </row>
    <row r="94">
      <c r="C94" s="28" t="s">
        <v>71</v>
      </c>
    </row>
    <row r="96">
      <c r="C96" s="1" t="s">
        <v>0</v>
      </c>
      <c r="D96" s="2" t="s">
        <v>1</v>
      </c>
      <c r="E96" s="3" t="s">
        <v>2</v>
      </c>
      <c r="F96" s="3" t="s">
        <v>3</v>
      </c>
      <c r="G96" s="3" t="s">
        <v>4</v>
      </c>
      <c r="H96" s="4" t="s">
        <v>52</v>
      </c>
      <c r="I96" s="4" t="s">
        <v>72</v>
      </c>
      <c r="J96" s="4" t="s">
        <v>51</v>
      </c>
      <c r="K96" s="64" t="s">
        <v>73</v>
      </c>
      <c r="L96" s="64" t="s">
        <v>74</v>
      </c>
      <c r="M96" s="64" t="s">
        <v>75</v>
      </c>
      <c r="N96" s="4" t="s">
        <v>61</v>
      </c>
      <c r="O96" s="64" t="s">
        <v>62</v>
      </c>
      <c r="P96" s="65" t="s">
        <v>64</v>
      </c>
      <c r="Q96" s="4" t="s">
        <v>67</v>
      </c>
      <c r="R96" s="4" t="s">
        <v>68</v>
      </c>
      <c r="S96" s="4" t="s">
        <v>69</v>
      </c>
      <c r="T96" s="4" t="s">
        <v>70</v>
      </c>
      <c r="U96" s="66" t="s">
        <v>65</v>
      </c>
    </row>
    <row r="97">
      <c r="C97" s="8">
        <v>6.0</v>
      </c>
      <c r="D97" s="9" t="s">
        <v>12</v>
      </c>
      <c r="E97" s="67"/>
      <c r="F97" s="68"/>
      <c r="G97" s="68"/>
      <c r="H97" s="17"/>
      <c r="I97" s="17"/>
      <c r="J97" s="17"/>
      <c r="K97" s="69"/>
      <c r="L97" s="69"/>
      <c r="M97" s="69"/>
      <c r="N97" s="17"/>
      <c r="O97" s="69"/>
      <c r="P97" s="69"/>
      <c r="Q97" s="17"/>
      <c r="R97" s="17"/>
      <c r="S97" s="17"/>
      <c r="T97" s="17"/>
      <c r="U97" s="17"/>
    </row>
    <row r="98">
      <c r="C98" s="16">
        <v>167.0</v>
      </c>
      <c r="D98" s="16" t="s">
        <v>14</v>
      </c>
      <c r="E98" s="10">
        <v>45570.0</v>
      </c>
      <c r="F98" s="10"/>
      <c r="G98" s="10"/>
      <c r="H98" s="17"/>
      <c r="I98" s="17"/>
      <c r="J98" s="17"/>
      <c r="K98" s="69"/>
      <c r="L98" s="69"/>
      <c r="M98" s="69"/>
      <c r="N98" s="17"/>
      <c r="O98" s="69"/>
      <c r="P98" s="69"/>
      <c r="Q98" s="17"/>
      <c r="R98" s="17"/>
      <c r="S98" s="17"/>
      <c r="T98" s="17"/>
      <c r="U98" s="20"/>
    </row>
    <row r="99">
      <c r="C99" s="18">
        <v>48.0</v>
      </c>
      <c r="D99" s="19" t="s">
        <v>15</v>
      </c>
      <c r="E99" s="10">
        <v>45679.0</v>
      </c>
      <c r="F99" s="12">
        <v>395.0</v>
      </c>
      <c r="G99" s="12" t="s">
        <v>13</v>
      </c>
      <c r="H99" s="13">
        <v>57.9999999999999</v>
      </c>
      <c r="I99" s="13">
        <v>57.1154487821154</v>
      </c>
      <c r="J99" s="13">
        <v>57.2457163045398</v>
      </c>
      <c r="K99" s="13">
        <v>-0.02</v>
      </c>
      <c r="L99" s="13">
        <v>99.14</v>
      </c>
      <c r="M99" s="13">
        <v>0.88</v>
      </c>
      <c r="N99" s="13">
        <v>153.704876815795</v>
      </c>
      <c r="O99" s="13">
        <v>8715.95604136256</v>
      </c>
      <c r="P99" s="13">
        <v>55.7057872328151</v>
      </c>
      <c r="Q99" s="20">
        <v>5.0</v>
      </c>
      <c r="R99" s="20">
        <v>60.0</v>
      </c>
      <c r="S99" s="20">
        <v>30.0</v>
      </c>
      <c r="T99" s="13">
        <f t="shared" ref="T99:T103" si="10">AVERAGE(Q99:S99)</f>
        <v>31.66666667</v>
      </c>
      <c r="U99" s="69">
        <f>T99*'Data preparation'!$C$2</f>
        <v>3.166666667</v>
      </c>
    </row>
    <row r="100">
      <c r="C100" s="71">
        <v>55.0</v>
      </c>
      <c r="D100" s="72" t="s">
        <v>17</v>
      </c>
      <c r="E100" s="10">
        <v>45679.0</v>
      </c>
      <c r="F100" s="12">
        <v>724.0</v>
      </c>
      <c r="G100" s="12" t="s">
        <v>13</v>
      </c>
      <c r="H100" s="13">
        <v>61.0</v>
      </c>
      <c r="I100" s="13">
        <v>58.04</v>
      </c>
      <c r="J100" s="13">
        <v>57.76</v>
      </c>
      <c r="K100" s="13">
        <v>79.27</v>
      </c>
      <c r="L100" s="13">
        <v>14.67</v>
      </c>
      <c r="M100" s="13">
        <v>6.07</v>
      </c>
      <c r="N100" s="13">
        <v>174.2</v>
      </c>
      <c r="O100" s="13">
        <v>3230.82</v>
      </c>
      <c r="P100" s="13">
        <v>17.55</v>
      </c>
      <c r="Q100" s="13">
        <v>90.0</v>
      </c>
      <c r="R100" s="13">
        <v>50.0</v>
      </c>
      <c r="S100" s="13">
        <v>40.0</v>
      </c>
      <c r="T100" s="13">
        <f t="shared" si="10"/>
        <v>60</v>
      </c>
      <c r="U100" s="70">
        <f>T100*'Data preparation'!$C$2/2</f>
        <v>3</v>
      </c>
    </row>
    <row r="101">
      <c r="C101" s="71">
        <v>59.0</v>
      </c>
      <c r="D101" s="71" t="s">
        <v>19</v>
      </c>
      <c r="E101" s="10">
        <v>45680.0</v>
      </c>
      <c r="F101" s="12">
        <v>935.0</v>
      </c>
      <c r="G101" s="12" t="s">
        <v>13</v>
      </c>
      <c r="H101" s="13">
        <v>64.0</v>
      </c>
      <c r="I101" s="13">
        <v>61.76</v>
      </c>
      <c r="J101" s="13">
        <v>61.81</v>
      </c>
      <c r="K101" s="13">
        <v>5.59</v>
      </c>
      <c r="L101" s="13">
        <v>94.43</v>
      </c>
      <c r="M101" s="13">
        <v>-0.01</v>
      </c>
      <c r="N101" s="13">
        <v>149.67</v>
      </c>
      <c r="O101" s="13">
        <v>16088.07</v>
      </c>
      <c r="P101" s="13">
        <v>106.49</v>
      </c>
      <c r="Q101" s="13">
        <v>80.0</v>
      </c>
      <c r="R101" s="13">
        <v>90.0</v>
      </c>
      <c r="S101" s="13">
        <v>5.0</v>
      </c>
      <c r="T101" s="13">
        <f t="shared" si="10"/>
        <v>58.33333333</v>
      </c>
      <c r="U101" s="70">
        <f>T101*'Data preparation'!$C$2/2</f>
        <v>2.916666667</v>
      </c>
    </row>
    <row r="102">
      <c r="C102" s="71">
        <v>77.0</v>
      </c>
      <c r="D102" s="71" t="s">
        <v>20</v>
      </c>
      <c r="E102" s="10">
        <v>45677.0</v>
      </c>
      <c r="F102" s="12">
        <v>1623.0</v>
      </c>
      <c r="G102" s="12" t="s">
        <v>13</v>
      </c>
      <c r="H102" s="13">
        <v>60.0</v>
      </c>
      <c r="I102" s="13">
        <v>59.89</v>
      </c>
      <c r="J102" s="13">
        <v>58.66</v>
      </c>
      <c r="K102" s="13">
        <v>-0.06</v>
      </c>
      <c r="L102" s="13">
        <v>92.71</v>
      </c>
      <c r="M102" s="13">
        <v>7.34</v>
      </c>
      <c r="N102" s="13">
        <v>130.83</v>
      </c>
      <c r="O102" s="13">
        <v>5977.86</v>
      </c>
      <c r="P102" s="13">
        <v>44.69</v>
      </c>
      <c r="Q102" s="20">
        <v>5.0</v>
      </c>
      <c r="R102" s="20">
        <v>80.0</v>
      </c>
      <c r="S102" s="20">
        <v>50.0</v>
      </c>
      <c r="T102" s="20">
        <f t="shared" si="10"/>
        <v>45</v>
      </c>
      <c r="U102" s="69">
        <f>T102*'Data preparation'!$C$2</f>
        <v>4.5</v>
      </c>
    </row>
    <row r="103">
      <c r="C103" s="71">
        <v>148.0</v>
      </c>
      <c r="D103" s="71" t="s">
        <v>21</v>
      </c>
      <c r="E103" s="10">
        <v>45677.0</v>
      </c>
      <c r="F103" s="12">
        <v>814.0</v>
      </c>
      <c r="G103" s="12" t="s">
        <v>13</v>
      </c>
      <c r="H103" s="13">
        <v>56.0</v>
      </c>
      <c r="I103" s="13">
        <v>52.0</v>
      </c>
      <c r="J103" s="13">
        <v>51.98</v>
      </c>
      <c r="K103" s="13">
        <v>99.43</v>
      </c>
      <c r="L103" s="13">
        <v>0.64</v>
      </c>
      <c r="M103" s="13">
        <v>-0.07</v>
      </c>
      <c r="N103" s="13">
        <v>96.01</v>
      </c>
      <c r="O103" s="13">
        <v>7974.28</v>
      </c>
      <c r="P103" s="13">
        <v>82.06</v>
      </c>
      <c r="Q103" s="20">
        <v>90.0</v>
      </c>
      <c r="R103" s="20">
        <v>15.0</v>
      </c>
      <c r="S103" s="20">
        <v>5.0</v>
      </c>
      <c r="T103" s="20">
        <f t="shared" si="10"/>
        <v>36.66666667</v>
      </c>
      <c r="U103" s="69">
        <f>T103*'Data preparation'!$C$2</f>
        <v>3.666666667</v>
      </c>
    </row>
  </sheetData>
  <conditionalFormatting sqref="M68:M72 Q80:Q84 P99:P103">
    <cfRule type="colorScale" priority="1">
      <colorScale>
        <cfvo type="min"/>
        <cfvo type="max"/>
        <color rgb="FFFFFFFF"/>
        <color rgb="FFFFD666"/>
      </colorScale>
    </cfRule>
  </conditionalFormatting>
  <conditionalFormatting sqref="Q33:W33 Z33:AF33 AH33:AO33 H68:H72 L80:N84 K99:M103">
    <cfRule type="colorScale" priority="2">
      <colorScale>
        <cfvo type="min"/>
        <cfvo type="max"/>
        <color rgb="FFFFFFFF"/>
        <color rgb="FF57BB8A"/>
      </colorScale>
    </cfRule>
  </conditionalFormatting>
  <conditionalFormatting sqref="L33:O33">
    <cfRule type="colorScale" priority="3">
      <colorScale>
        <cfvo type="min"/>
        <cfvo type="max"/>
        <color rgb="FFFFFFFF"/>
        <color rgb="FF57BB8A"/>
      </colorScale>
    </cfRule>
  </conditionalFormatting>
  <conditionalFormatting sqref="C33:J33">
    <cfRule type="colorScale" priority="4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73" t="s">
        <v>76</v>
      </c>
      <c r="B1" s="74"/>
      <c r="C1" s="74"/>
      <c r="D1" s="75"/>
      <c r="E1" s="75"/>
      <c r="F1" s="74"/>
      <c r="G1" s="76"/>
      <c r="H1" s="76"/>
      <c r="I1" s="76"/>
      <c r="J1" s="74"/>
      <c r="K1" s="74"/>
      <c r="L1" s="74"/>
      <c r="M1" s="77"/>
      <c r="N1" s="76"/>
      <c r="O1" s="76"/>
      <c r="P1" s="76"/>
      <c r="U1" s="31"/>
      <c r="V1" s="35"/>
    </row>
    <row r="2">
      <c r="A2" s="78"/>
      <c r="B2" s="79" t="s">
        <v>77</v>
      </c>
      <c r="C2" s="79" t="s">
        <v>78</v>
      </c>
      <c r="D2" s="80" t="s">
        <v>79</v>
      </c>
      <c r="E2" s="80" t="s">
        <v>80</v>
      </c>
      <c r="F2" s="79" t="s">
        <v>81</v>
      </c>
      <c r="G2" s="81" t="s">
        <v>82</v>
      </c>
      <c r="H2" s="81" t="s">
        <v>83</v>
      </c>
      <c r="I2" s="81" t="s">
        <v>84</v>
      </c>
      <c r="J2" s="79"/>
      <c r="K2" s="79" t="s">
        <v>85</v>
      </c>
      <c r="L2" s="79" t="s">
        <v>86</v>
      </c>
      <c r="M2" s="82" t="s">
        <v>87</v>
      </c>
      <c r="N2" s="81" t="s">
        <v>88</v>
      </c>
      <c r="O2" s="81" t="s">
        <v>89</v>
      </c>
      <c r="P2" s="81" t="s">
        <v>90</v>
      </c>
      <c r="U2" s="31"/>
      <c r="V2" s="35"/>
    </row>
    <row r="3">
      <c r="A3" s="83" t="s">
        <v>58</v>
      </c>
      <c r="B3" s="16">
        <v>343.0</v>
      </c>
      <c r="C3" s="16">
        <v>343.0</v>
      </c>
      <c r="D3" s="16">
        <v>343.0</v>
      </c>
      <c r="E3" s="16">
        <v>343.0</v>
      </c>
      <c r="F3" s="84">
        <v>395.0</v>
      </c>
      <c r="G3" s="84">
        <v>395.0</v>
      </c>
      <c r="H3" s="84">
        <v>395.0</v>
      </c>
      <c r="I3" s="84">
        <v>395.0</v>
      </c>
      <c r="J3" s="84"/>
      <c r="K3" s="84">
        <v>395.0</v>
      </c>
      <c r="L3" s="84">
        <v>395.0</v>
      </c>
      <c r="M3" s="84">
        <v>395.0</v>
      </c>
      <c r="N3" s="16">
        <v>343.0</v>
      </c>
      <c r="O3" s="16">
        <v>343.0</v>
      </c>
      <c r="P3" s="16">
        <v>343.0</v>
      </c>
    </row>
    <row r="4">
      <c r="A4" s="83" t="s">
        <v>57</v>
      </c>
      <c r="B4" s="16">
        <v>1127.0</v>
      </c>
      <c r="C4" s="84">
        <v>724.0</v>
      </c>
      <c r="D4" s="84">
        <v>724.0</v>
      </c>
      <c r="E4" s="84">
        <v>724.0</v>
      </c>
      <c r="F4" s="84">
        <v>724.0</v>
      </c>
      <c r="G4" s="84">
        <v>724.0</v>
      </c>
      <c r="H4" s="84">
        <v>724.0</v>
      </c>
      <c r="I4" s="84">
        <v>724.0</v>
      </c>
      <c r="J4" s="84"/>
      <c r="K4" s="84">
        <v>724.0</v>
      </c>
      <c r="L4" s="84">
        <v>724.0</v>
      </c>
      <c r="M4" s="84">
        <v>724.0</v>
      </c>
      <c r="N4" s="84">
        <v>724.0</v>
      </c>
      <c r="O4" s="84">
        <v>724.0</v>
      </c>
      <c r="P4" s="84">
        <v>724.0</v>
      </c>
      <c r="Q4" s="42"/>
      <c r="R4" s="42"/>
      <c r="S4" s="42"/>
    </row>
    <row r="5">
      <c r="A5" s="83" t="s">
        <v>48</v>
      </c>
      <c r="B5" s="84">
        <v>1051.0</v>
      </c>
      <c r="C5" s="84">
        <v>1051.0</v>
      </c>
      <c r="D5" s="84">
        <v>1051.0</v>
      </c>
      <c r="E5" s="84">
        <v>1051.0</v>
      </c>
      <c r="F5" s="84">
        <v>1051.0</v>
      </c>
      <c r="G5" s="84">
        <v>1051.0</v>
      </c>
      <c r="H5" s="84">
        <v>1051.0</v>
      </c>
      <c r="I5" s="84">
        <v>1051.0</v>
      </c>
      <c r="J5" s="84"/>
      <c r="K5" s="84">
        <v>1051.0</v>
      </c>
      <c r="L5" s="84">
        <v>1051.0</v>
      </c>
      <c r="M5" s="84">
        <v>1051.0</v>
      </c>
      <c r="N5" s="84">
        <v>1051.0</v>
      </c>
      <c r="O5" s="84">
        <v>1051.0</v>
      </c>
      <c r="P5" s="84">
        <v>1051.0</v>
      </c>
      <c r="Q5" s="42"/>
      <c r="R5" s="42"/>
      <c r="S5" s="42"/>
    </row>
    <row r="6">
      <c r="A6" s="83" t="s">
        <v>49</v>
      </c>
      <c r="B6" s="16">
        <v>622.0</v>
      </c>
      <c r="C6" s="16">
        <v>622.0</v>
      </c>
      <c r="D6" s="16">
        <v>47.0</v>
      </c>
      <c r="E6" s="16">
        <v>47.0</v>
      </c>
      <c r="F6" s="16">
        <v>19.0</v>
      </c>
      <c r="G6" s="16">
        <v>19.0</v>
      </c>
      <c r="H6" s="84">
        <v>1623.0</v>
      </c>
      <c r="I6" s="84">
        <v>1623.0</v>
      </c>
      <c r="J6" s="84"/>
      <c r="K6" s="84">
        <v>1623.0</v>
      </c>
      <c r="L6" s="84">
        <v>1623.0</v>
      </c>
      <c r="M6" s="84">
        <v>1623.0</v>
      </c>
      <c r="N6" s="16">
        <v>47.0</v>
      </c>
      <c r="O6" s="16">
        <v>47.0</v>
      </c>
      <c r="P6" s="16">
        <v>47.0</v>
      </c>
    </row>
    <row r="7">
      <c r="A7" s="83" t="s">
        <v>45</v>
      </c>
      <c r="B7" s="16">
        <v>1447.0</v>
      </c>
      <c r="C7" s="16">
        <v>1606.0</v>
      </c>
      <c r="D7" s="16">
        <v>1447.0</v>
      </c>
      <c r="E7" s="16">
        <v>1545.0</v>
      </c>
      <c r="F7" s="16">
        <v>1051.0</v>
      </c>
      <c r="G7" s="16">
        <v>1051.0</v>
      </c>
      <c r="H7" s="84">
        <v>112.0</v>
      </c>
      <c r="I7" s="84">
        <v>112.0</v>
      </c>
      <c r="J7" s="84"/>
      <c r="K7" s="84">
        <v>112.0</v>
      </c>
      <c r="L7" s="84">
        <v>112.0</v>
      </c>
      <c r="M7" s="84">
        <v>112.0</v>
      </c>
      <c r="N7" s="16">
        <v>1606.0</v>
      </c>
      <c r="O7" s="85">
        <v>1243.0</v>
      </c>
      <c r="P7" s="16">
        <v>1606.0</v>
      </c>
    </row>
    <row r="8">
      <c r="O8" s="48"/>
    </row>
    <row r="9">
      <c r="O9" s="42"/>
      <c r="P9" s="49"/>
      <c r="Q9" s="49"/>
      <c r="R9" s="49"/>
      <c r="S9" s="49"/>
      <c r="V9" s="49"/>
    </row>
    <row r="10">
      <c r="A10" s="49"/>
      <c r="E10" s="28" t="s">
        <v>91</v>
      </c>
      <c r="O10" s="42"/>
      <c r="P10" s="49"/>
      <c r="Q10" s="49"/>
      <c r="R10" s="49"/>
      <c r="S10" s="86"/>
      <c r="T10" s="87"/>
    </row>
    <row r="11">
      <c r="A11" s="31"/>
      <c r="E11" s="19" t="s">
        <v>15</v>
      </c>
      <c r="F11" s="12">
        <v>343.0</v>
      </c>
      <c r="O11" s="42"/>
      <c r="P11" s="31"/>
      <c r="Q11" s="31"/>
      <c r="R11" s="31"/>
      <c r="S11" s="31"/>
      <c r="T11" s="31"/>
      <c r="V11" s="31"/>
      <c r="W11" s="31"/>
    </row>
    <row r="12">
      <c r="A12" s="88"/>
      <c r="E12" s="19" t="s">
        <v>17</v>
      </c>
      <c r="F12" s="12">
        <v>724.0</v>
      </c>
      <c r="O12" s="48"/>
      <c r="P12" s="88"/>
      <c r="Q12" s="88"/>
      <c r="S12" s="88"/>
      <c r="T12" s="88"/>
      <c r="V12" s="88"/>
      <c r="W12" s="88"/>
    </row>
    <row r="13">
      <c r="A13" s="88"/>
      <c r="E13" s="16" t="s">
        <v>19</v>
      </c>
      <c r="F13" s="12">
        <v>1051.0</v>
      </c>
      <c r="O13" s="48"/>
      <c r="P13" s="88"/>
      <c r="Q13" s="88"/>
      <c r="S13" s="88"/>
      <c r="T13" s="88"/>
      <c r="V13" s="88"/>
      <c r="W13" s="88"/>
    </row>
    <row r="14">
      <c r="A14" s="88"/>
      <c r="E14" s="16" t="s">
        <v>20</v>
      </c>
      <c r="F14" s="12">
        <v>47.0</v>
      </c>
      <c r="N14" s="48"/>
      <c r="O14" s="48"/>
      <c r="P14" s="88"/>
      <c r="Q14" s="88"/>
      <c r="S14" s="88"/>
      <c r="T14" s="88"/>
      <c r="V14" s="88"/>
      <c r="W14" s="88"/>
    </row>
    <row r="15">
      <c r="A15" s="49"/>
      <c r="B15" s="88"/>
      <c r="C15" s="88"/>
      <c r="D15" s="88"/>
      <c r="E15" s="16" t="s">
        <v>21</v>
      </c>
      <c r="F15" s="12">
        <v>1447.0</v>
      </c>
      <c r="G15" s="88"/>
      <c r="H15" s="88"/>
      <c r="I15" s="88"/>
      <c r="J15" s="88"/>
      <c r="K15" s="88"/>
      <c r="N15" s="88"/>
      <c r="O15" s="42"/>
      <c r="P15" s="49"/>
      <c r="Q15" s="49"/>
      <c r="R15" s="49"/>
      <c r="S15" s="88"/>
      <c r="T15" s="88"/>
      <c r="V15" s="88"/>
      <c r="W15" s="88"/>
    </row>
    <row r="16">
      <c r="A16" s="49"/>
      <c r="B16" s="88"/>
      <c r="C16" s="88"/>
      <c r="D16" s="88"/>
      <c r="E16" s="88"/>
      <c r="F16" s="88"/>
      <c r="G16" s="88"/>
      <c r="H16" s="88"/>
      <c r="I16" s="88"/>
      <c r="J16" s="88"/>
      <c r="K16" s="88"/>
      <c r="O16" s="42"/>
      <c r="P16" s="49"/>
      <c r="Q16" s="49"/>
      <c r="R16" s="49"/>
      <c r="S16" s="88"/>
      <c r="T16" s="88"/>
      <c r="V16" s="88"/>
    </row>
    <row r="17">
      <c r="O17" s="42"/>
      <c r="P17" s="88"/>
      <c r="Q17" s="88"/>
      <c r="S17" s="88"/>
      <c r="T17" s="88"/>
    </row>
    <row r="18">
      <c r="A18" s="42"/>
      <c r="E18" s="28" t="s">
        <v>92</v>
      </c>
      <c r="O18" s="42"/>
      <c r="P18" s="42"/>
      <c r="Q18" s="42"/>
      <c r="R18" s="42"/>
      <c r="S18" s="88"/>
      <c r="T18" s="88"/>
      <c r="W18" s="88"/>
    </row>
    <row r="19">
      <c r="A19" s="42"/>
      <c r="E19" s="19" t="s">
        <v>15</v>
      </c>
      <c r="F19" s="12">
        <v>663.0</v>
      </c>
      <c r="O19" s="42"/>
      <c r="P19" s="42"/>
      <c r="Q19" s="42"/>
      <c r="R19" s="42"/>
      <c r="S19" s="88"/>
      <c r="T19" s="88"/>
    </row>
    <row r="20">
      <c r="E20" s="19" t="s">
        <v>17</v>
      </c>
      <c r="F20" s="12">
        <v>654.0</v>
      </c>
      <c r="O20" s="42"/>
      <c r="Q20" s="88"/>
      <c r="S20" s="88"/>
      <c r="T20" s="88"/>
    </row>
    <row r="21">
      <c r="E21" s="16" t="s">
        <v>19</v>
      </c>
      <c r="F21" s="12">
        <v>1051.0</v>
      </c>
      <c r="O21" s="42"/>
      <c r="P21" s="88"/>
      <c r="T21" s="88"/>
    </row>
    <row r="22">
      <c r="E22" s="16" t="s">
        <v>20</v>
      </c>
      <c r="F22" s="12">
        <v>622.0</v>
      </c>
      <c r="M22" s="49"/>
      <c r="O22" s="48"/>
      <c r="P22" s="88"/>
      <c r="T22" s="88"/>
    </row>
    <row r="23">
      <c r="E23" s="16" t="s">
        <v>21</v>
      </c>
      <c r="F23" s="12">
        <v>1545.0</v>
      </c>
      <c r="M23" s="49"/>
      <c r="O23" s="48"/>
      <c r="T23" s="88"/>
    </row>
    <row r="24">
      <c r="M24" s="49"/>
      <c r="O24" s="48"/>
      <c r="Q24" s="88"/>
      <c r="T24" s="88"/>
    </row>
    <row r="25">
      <c r="O25" s="48"/>
    </row>
    <row r="26">
      <c r="O26" s="48"/>
      <c r="T26" s="88"/>
    </row>
    <row r="27">
      <c r="N27" s="48"/>
      <c r="O27" s="48"/>
    </row>
    <row r="32">
      <c r="C32" s="1" t="s">
        <v>0</v>
      </c>
      <c r="D32" s="2" t="s">
        <v>1</v>
      </c>
      <c r="E32" s="3" t="s">
        <v>2</v>
      </c>
      <c r="F32" s="3" t="s">
        <v>3</v>
      </c>
      <c r="G32" s="3" t="s">
        <v>4</v>
      </c>
      <c r="H32" s="89" t="s">
        <v>82</v>
      </c>
      <c r="I32" s="4" t="s">
        <v>67</v>
      </c>
      <c r="J32" s="4" t="s">
        <v>68</v>
      </c>
      <c r="K32" s="4" t="s">
        <v>69</v>
      </c>
      <c r="L32" s="90" t="s">
        <v>70</v>
      </c>
      <c r="M32" s="90" t="s">
        <v>65</v>
      </c>
      <c r="N32" s="64" t="s">
        <v>84</v>
      </c>
      <c r="O32" s="91" t="s">
        <v>64</v>
      </c>
    </row>
    <row r="33">
      <c r="C33" s="8">
        <v>6.0</v>
      </c>
      <c r="D33" s="9" t="s">
        <v>12</v>
      </c>
      <c r="E33" s="10">
        <v>45685.0</v>
      </c>
      <c r="F33" s="11">
        <v>616.0</v>
      </c>
      <c r="G33" s="12" t="s">
        <v>13</v>
      </c>
      <c r="H33" s="92">
        <f>5.8410821479406*100</f>
        <v>584.1082148</v>
      </c>
      <c r="I33" s="20">
        <v>70.0</v>
      </c>
      <c r="J33" s="20">
        <v>45.0</v>
      </c>
      <c r="K33" s="20">
        <v>10.0</v>
      </c>
      <c r="L33" s="93"/>
      <c r="M33" s="93"/>
      <c r="N33" s="13">
        <v>31833.0939389723</v>
      </c>
      <c r="O33" s="94">
        <f>N33/H33</f>
        <v>54.49862394</v>
      </c>
    </row>
    <row r="34">
      <c r="C34" s="16">
        <v>167.0</v>
      </c>
      <c r="D34" s="16" t="s">
        <v>14</v>
      </c>
      <c r="E34" s="10"/>
      <c r="F34" s="10"/>
      <c r="G34" s="10"/>
      <c r="H34" s="95"/>
      <c r="I34" s="17"/>
      <c r="J34" s="17"/>
      <c r="K34" s="17"/>
      <c r="L34" s="93"/>
      <c r="M34" s="96"/>
      <c r="N34" s="69"/>
      <c r="O34" s="97"/>
    </row>
    <row r="35">
      <c r="C35" s="98">
        <v>48.0</v>
      </c>
      <c r="D35" s="72" t="s">
        <v>15</v>
      </c>
      <c r="E35" s="10">
        <v>45679.0</v>
      </c>
      <c r="F35" s="12">
        <v>343.0</v>
      </c>
      <c r="G35" s="12" t="s">
        <v>13</v>
      </c>
      <c r="H35" s="92">
        <f>1.95083127981317*100</f>
        <v>195.083128</v>
      </c>
      <c r="I35" s="20">
        <v>10.0</v>
      </c>
      <c r="J35" s="20">
        <v>25.0</v>
      </c>
      <c r="K35" s="20">
        <v>25.0</v>
      </c>
      <c r="L35" s="94">
        <f t="shared" ref="L35:L39" si="1">AVERAGE(I35:K35)</f>
        <v>20</v>
      </c>
      <c r="M35" s="97">
        <f>L35*'Data preparation'!$C$2</f>
        <v>2</v>
      </c>
      <c r="N35" s="13">
        <v>2031.72738744972</v>
      </c>
      <c r="O35" s="94">
        <f t="shared" ref="O35:O39" si="2">N35/H35</f>
        <v>10.41467506</v>
      </c>
    </row>
    <row r="36">
      <c r="C36" s="71">
        <v>55.0</v>
      </c>
      <c r="D36" s="72" t="s">
        <v>17</v>
      </c>
      <c r="E36" s="10">
        <v>45679.0</v>
      </c>
      <c r="F36" s="12">
        <v>724.0</v>
      </c>
      <c r="G36" s="12" t="s">
        <v>13</v>
      </c>
      <c r="H36" s="92">
        <f>3.44623889518345*100</f>
        <v>344.6238895</v>
      </c>
      <c r="I36" s="13">
        <v>70.0</v>
      </c>
      <c r="J36" s="13">
        <v>45.0</v>
      </c>
      <c r="K36" s="13">
        <v>45.0</v>
      </c>
      <c r="L36" s="94">
        <f t="shared" si="1"/>
        <v>53.33333333</v>
      </c>
      <c r="M36" s="97">
        <f>L36*'Data preparation'!$C$2</f>
        <v>5.333333333</v>
      </c>
      <c r="N36" s="13">
        <v>7144.81139954358</v>
      </c>
      <c r="O36" s="94">
        <f t="shared" si="2"/>
        <v>20.73219999</v>
      </c>
    </row>
    <row r="37">
      <c r="C37" s="71">
        <v>59.0</v>
      </c>
      <c r="D37" s="71" t="s">
        <v>19</v>
      </c>
      <c r="E37" s="10">
        <v>45680.0</v>
      </c>
      <c r="F37" s="12">
        <v>1051.0</v>
      </c>
      <c r="G37" s="12" t="s">
        <v>13</v>
      </c>
      <c r="H37" s="92">
        <f>5.03501136998037*100</f>
        <v>503.501137</v>
      </c>
      <c r="I37" s="13">
        <v>70.0</v>
      </c>
      <c r="J37" s="13">
        <v>70.0</v>
      </c>
      <c r="K37" s="13">
        <v>10.0</v>
      </c>
      <c r="L37" s="94">
        <f t="shared" si="1"/>
        <v>50</v>
      </c>
      <c r="M37" s="97">
        <f>L37*'Data preparation'!$C$2</f>
        <v>5</v>
      </c>
      <c r="N37" s="99">
        <v>73522.0120009396</v>
      </c>
      <c r="O37" s="94">
        <f t="shared" si="2"/>
        <v>146.0215412</v>
      </c>
    </row>
    <row r="38">
      <c r="C38" s="71">
        <v>77.0</v>
      </c>
      <c r="D38" s="71" t="s">
        <v>20</v>
      </c>
      <c r="E38" s="10">
        <v>45677.0</v>
      </c>
      <c r="F38" s="12">
        <v>281.0</v>
      </c>
      <c r="G38" s="12" t="s">
        <v>13</v>
      </c>
      <c r="H38" s="92">
        <f>2.76792853614368*100</f>
        <v>276.7928536</v>
      </c>
      <c r="I38" s="20">
        <v>10.0</v>
      </c>
      <c r="J38" s="20">
        <v>70.0</v>
      </c>
      <c r="K38" s="20">
        <v>70.0</v>
      </c>
      <c r="L38" s="96">
        <f t="shared" si="1"/>
        <v>50</v>
      </c>
      <c r="M38" s="97">
        <f>L38*'Data preparation'!$C$2</f>
        <v>5</v>
      </c>
      <c r="N38" s="13">
        <v>13938.355259875</v>
      </c>
      <c r="O38" s="94">
        <f t="shared" si="2"/>
        <v>50.3566298</v>
      </c>
    </row>
    <row r="39">
      <c r="C39" s="71">
        <v>148.0</v>
      </c>
      <c r="D39" s="71" t="s">
        <v>21</v>
      </c>
      <c r="E39" s="10">
        <v>45677.0</v>
      </c>
      <c r="F39" s="12">
        <v>1051.0</v>
      </c>
      <c r="G39" s="12" t="s">
        <v>13</v>
      </c>
      <c r="H39" s="92">
        <f>4.33116583093229*100</f>
        <v>433.1165831</v>
      </c>
      <c r="I39" s="20">
        <v>45.0</v>
      </c>
      <c r="J39" s="20">
        <v>10.0</v>
      </c>
      <c r="K39" s="20">
        <v>25.0</v>
      </c>
      <c r="L39" s="94">
        <f t="shared" si="1"/>
        <v>26.66666667</v>
      </c>
      <c r="M39" s="97">
        <f>L39*'Data preparation'!$C$2</f>
        <v>2.666666667</v>
      </c>
      <c r="N39" s="13">
        <v>5748.94662953238</v>
      </c>
      <c r="O39" s="94">
        <f t="shared" si="2"/>
        <v>13.27343919</v>
      </c>
    </row>
  </sheetData>
  <conditionalFormatting sqref="O33 O35:O39">
    <cfRule type="colorScale" priority="1">
      <colorScale>
        <cfvo type="min"/>
        <cfvo type="max"/>
        <color rgb="FFFFFFFF"/>
        <color rgb="FFFFD666"/>
      </colorScale>
    </cfRule>
  </conditionalFormatting>
  <conditionalFormatting sqref="I35:K39">
    <cfRule type="colorScale" priority="2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8">
        <v>1681.0</v>
      </c>
      <c r="B2" s="28">
        <v>0.07</v>
      </c>
      <c r="C2" s="28"/>
      <c r="D2" s="28">
        <v>0.74</v>
      </c>
      <c r="G2" s="28">
        <v>1681.0</v>
      </c>
      <c r="H2" s="28"/>
      <c r="I2" s="28"/>
      <c r="J2" s="28"/>
      <c r="K2" s="28">
        <v>0.13</v>
      </c>
      <c r="L2" s="28">
        <v>0.78</v>
      </c>
    </row>
    <row r="3">
      <c r="A3" s="28">
        <v>683.0</v>
      </c>
      <c r="B3" s="27">
        <v>0.12</v>
      </c>
      <c r="C3" s="28"/>
      <c r="D3" s="28">
        <v>0.93</v>
      </c>
      <c r="G3" s="28">
        <v>683.0</v>
      </c>
      <c r="H3" s="28"/>
      <c r="I3" s="28"/>
      <c r="J3" s="28"/>
      <c r="K3" s="28">
        <v>0.13</v>
      </c>
      <c r="L3" s="28">
        <v>0.91</v>
      </c>
    </row>
    <row r="4">
      <c r="A4" s="28">
        <v>354.0</v>
      </c>
      <c r="B4" s="28">
        <v>0.01</v>
      </c>
      <c r="C4" s="28"/>
      <c r="D4" s="28">
        <v>0.76</v>
      </c>
      <c r="G4" s="28">
        <v>354.0</v>
      </c>
      <c r="H4" s="28"/>
      <c r="I4" s="28"/>
      <c r="J4" s="28"/>
      <c r="K4" s="28">
        <v>0.09</v>
      </c>
      <c r="L4" s="28">
        <v>0.85</v>
      </c>
    </row>
    <row r="5">
      <c r="A5" s="28">
        <v>1023.0</v>
      </c>
      <c r="B5" s="27">
        <v>0.24</v>
      </c>
      <c r="C5" s="28"/>
      <c r="D5" s="28">
        <v>0.94</v>
      </c>
      <c r="G5" s="28">
        <v>1023.0</v>
      </c>
      <c r="H5" s="28"/>
      <c r="I5" s="28"/>
      <c r="J5" s="28"/>
      <c r="K5" s="28">
        <v>0.22</v>
      </c>
      <c r="L5" s="28">
        <v>0.91</v>
      </c>
    </row>
    <row r="6">
      <c r="A6" s="28">
        <v>508.0</v>
      </c>
      <c r="B6" s="27">
        <v>0.38</v>
      </c>
      <c r="C6" s="28"/>
      <c r="D6" s="28">
        <v>1.0</v>
      </c>
      <c r="G6" s="28">
        <v>508.0</v>
      </c>
      <c r="H6" s="28"/>
      <c r="I6" s="28"/>
      <c r="J6" s="28"/>
      <c r="K6" s="28">
        <v>0.45</v>
      </c>
      <c r="L6" s="28">
        <v>1.0</v>
      </c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9">
      <c r="B9" s="28" t="s">
        <v>93</v>
      </c>
      <c r="C9" s="28" t="s">
        <v>94</v>
      </c>
      <c r="D9" s="28" t="s">
        <v>95</v>
      </c>
    </row>
    <row r="10">
      <c r="A10" s="28">
        <v>1681.0</v>
      </c>
      <c r="B10" s="28">
        <v>410.0</v>
      </c>
      <c r="C10" s="28">
        <v>342.0</v>
      </c>
      <c r="D10" s="100">
        <f t="shared" ref="D10:D14" si="1">(C10-B10)/B10</f>
        <v>-0.1658536585</v>
      </c>
      <c r="F10" s="28" t="s">
        <v>96</v>
      </c>
    </row>
    <row r="11">
      <c r="A11" s="28">
        <v>683.0</v>
      </c>
      <c r="B11" s="28">
        <v>440.0</v>
      </c>
      <c r="C11" s="28">
        <v>374.0</v>
      </c>
      <c r="D11" s="100">
        <f t="shared" si="1"/>
        <v>-0.15</v>
      </c>
      <c r="F11" s="28" t="s">
        <v>97</v>
      </c>
    </row>
    <row r="12">
      <c r="A12" s="28">
        <v>354.0</v>
      </c>
      <c r="B12" s="28">
        <v>585.0</v>
      </c>
      <c r="C12" s="28">
        <v>447.0</v>
      </c>
      <c r="D12" s="100">
        <f t="shared" si="1"/>
        <v>-0.2358974359</v>
      </c>
    </row>
    <row r="13">
      <c r="A13" s="28">
        <v>1023.0</v>
      </c>
      <c r="D13" s="100" t="str">
        <f t="shared" si="1"/>
        <v>#DIV/0!</v>
      </c>
    </row>
    <row r="14">
      <c r="A14" s="28">
        <v>508.0</v>
      </c>
      <c r="D14" s="100" t="str">
        <f t="shared" si="1"/>
        <v>#DIV/0!</v>
      </c>
    </row>
    <row r="16">
      <c r="H16" s="28" t="s">
        <v>98</v>
      </c>
    </row>
    <row r="17">
      <c r="G17" s="101"/>
      <c r="H17" s="35" t="s">
        <v>99</v>
      </c>
      <c r="I17" s="35" t="s">
        <v>100</v>
      </c>
    </row>
    <row r="18">
      <c r="A18" s="28">
        <v>332.0</v>
      </c>
      <c r="B18" s="28">
        <v>0.05</v>
      </c>
      <c r="C18" s="28">
        <v>0.85</v>
      </c>
      <c r="G18" s="102" t="s">
        <v>58</v>
      </c>
      <c r="H18" s="28">
        <v>332.0</v>
      </c>
      <c r="I18" s="103" t="s">
        <v>101</v>
      </c>
    </row>
    <row r="19">
      <c r="A19" s="28">
        <v>518.0</v>
      </c>
      <c r="B19" s="28">
        <v>0.01</v>
      </c>
      <c r="C19" s="28">
        <v>0.81</v>
      </c>
      <c r="G19" s="102" t="s">
        <v>57</v>
      </c>
      <c r="H19" s="28" t="s">
        <v>102</v>
      </c>
      <c r="I19" s="28" t="s">
        <v>103</v>
      </c>
    </row>
    <row r="20">
      <c r="A20" s="28">
        <v>1082.0</v>
      </c>
      <c r="B20" s="28">
        <v>0.04</v>
      </c>
      <c r="C20" s="28">
        <v>0.89</v>
      </c>
      <c r="G20" s="102" t="s">
        <v>48</v>
      </c>
      <c r="H20" s="28">
        <v>411.0</v>
      </c>
      <c r="I20" s="28" t="s">
        <v>104</v>
      </c>
    </row>
    <row r="21">
      <c r="G21" s="102" t="s">
        <v>49</v>
      </c>
      <c r="H21" s="28" t="s">
        <v>105</v>
      </c>
      <c r="I21" s="28" t="s">
        <v>106</v>
      </c>
    </row>
    <row r="22">
      <c r="G22" s="102" t="s">
        <v>45</v>
      </c>
      <c r="H22" s="28" t="s">
        <v>107</v>
      </c>
      <c r="I22" s="28" t="s">
        <v>108</v>
      </c>
    </row>
    <row r="24">
      <c r="B24" s="9"/>
      <c r="I24" s="28" t="s">
        <v>109</v>
      </c>
    </row>
    <row r="25">
      <c r="B25" s="2" t="s">
        <v>1</v>
      </c>
      <c r="I25" s="28" t="s">
        <v>110</v>
      </c>
    </row>
    <row r="26">
      <c r="B26" s="19" t="s">
        <v>15</v>
      </c>
      <c r="C26" s="28">
        <v>332.0</v>
      </c>
      <c r="M26" s="48"/>
      <c r="N26" s="48"/>
    </row>
    <row r="27">
      <c r="B27" s="19" t="s">
        <v>17</v>
      </c>
      <c r="C27" s="28">
        <v>1288.0</v>
      </c>
      <c r="M27" s="48"/>
      <c r="N27" s="48"/>
    </row>
    <row r="28">
      <c r="B28" s="16" t="s">
        <v>19</v>
      </c>
      <c r="C28" s="28">
        <v>411.0</v>
      </c>
      <c r="M28" s="48"/>
      <c r="N28" s="48"/>
    </row>
    <row r="29">
      <c r="B29" s="16" t="s">
        <v>20</v>
      </c>
      <c r="C29" s="28">
        <v>1015.0</v>
      </c>
      <c r="M29" s="48"/>
      <c r="N29" s="48"/>
    </row>
    <row r="30">
      <c r="B30" s="16" t="s">
        <v>21</v>
      </c>
      <c r="C30" s="28">
        <v>530.0</v>
      </c>
      <c r="I30" s="35" t="s">
        <v>111</v>
      </c>
      <c r="M30" s="48"/>
      <c r="N30" s="48"/>
    </row>
    <row r="31">
      <c r="I31" s="35" t="s">
        <v>112</v>
      </c>
      <c r="M31" s="48"/>
      <c r="N31" s="48"/>
    </row>
    <row r="32">
      <c r="I32" s="28" t="s">
        <v>113</v>
      </c>
      <c r="M32" s="48"/>
      <c r="N32" s="48"/>
    </row>
    <row r="33">
      <c r="I33" s="28" t="s">
        <v>114</v>
      </c>
      <c r="M33" s="48"/>
      <c r="N33" s="48"/>
    </row>
    <row r="34">
      <c r="M34" s="48"/>
      <c r="N34" s="48"/>
    </row>
    <row r="35">
      <c r="I35" s="28" t="s">
        <v>115</v>
      </c>
      <c r="M35" s="48"/>
      <c r="N35" s="48"/>
    </row>
    <row r="36">
      <c r="M36" s="48"/>
      <c r="N36" s="48"/>
    </row>
    <row r="37">
      <c r="M37" s="48"/>
      <c r="N37" s="48"/>
    </row>
    <row r="38">
      <c r="M38" s="48"/>
      <c r="N38" s="48"/>
    </row>
    <row r="39">
      <c r="I39" s="35" t="s">
        <v>116</v>
      </c>
      <c r="M39" s="48"/>
      <c r="N39" s="48"/>
    </row>
    <row r="40">
      <c r="I40" s="28" t="s">
        <v>117</v>
      </c>
      <c r="M40" s="48"/>
      <c r="N40" s="48"/>
    </row>
    <row r="41">
      <c r="I41" s="28" t="s">
        <v>118</v>
      </c>
      <c r="M41" s="48"/>
      <c r="N41" s="48"/>
    </row>
    <row r="42">
      <c r="I42" s="54" t="s">
        <v>119</v>
      </c>
      <c r="M42" s="48"/>
      <c r="N42" s="48"/>
    </row>
    <row r="43">
      <c r="M43" s="48"/>
      <c r="N43" s="48"/>
    </row>
    <row r="44">
      <c r="I44" s="35" t="s">
        <v>120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8" t="s">
        <v>121</v>
      </c>
    </row>
    <row r="3">
      <c r="C3" s="28" t="s">
        <v>122</v>
      </c>
      <c r="D3" s="28" t="s">
        <v>123</v>
      </c>
      <c r="H3" s="28" t="s">
        <v>124</v>
      </c>
      <c r="K3" s="48"/>
      <c r="L3" s="48"/>
    </row>
    <row r="4">
      <c r="B4" s="28" t="s">
        <v>58</v>
      </c>
      <c r="C4" s="35" t="s">
        <v>125</v>
      </c>
      <c r="D4" s="35" t="s">
        <v>125</v>
      </c>
      <c r="H4" s="28" t="s">
        <v>126</v>
      </c>
      <c r="I4" s="104"/>
      <c r="J4" s="104"/>
      <c r="K4" s="48"/>
      <c r="L4" s="48"/>
    </row>
    <row r="5">
      <c r="B5" s="35" t="s">
        <v>127</v>
      </c>
      <c r="C5" s="31">
        <f t="shared" ref="C5:D5" si="1">SUM(C6:C18)</f>
        <v>23.59</v>
      </c>
      <c r="D5" s="31">
        <f t="shared" si="1"/>
        <v>33.21</v>
      </c>
      <c r="E5" s="100">
        <f>(D5-C5)/C5</f>
        <v>0.4077999152</v>
      </c>
      <c r="F5" s="28" t="s">
        <v>128</v>
      </c>
    </row>
    <row r="6">
      <c r="C6" s="28">
        <v>2.99</v>
      </c>
      <c r="D6" s="28">
        <v>4.4</v>
      </c>
    </row>
    <row r="7">
      <c r="C7" s="28">
        <v>3.75</v>
      </c>
      <c r="D7" s="28">
        <v>3.06</v>
      </c>
      <c r="H7" s="28" t="s">
        <v>129</v>
      </c>
    </row>
    <row r="8">
      <c r="C8" s="28">
        <v>3.6</v>
      </c>
      <c r="D8" s="28">
        <v>2.27</v>
      </c>
    </row>
    <row r="9">
      <c r="C9" s="28">
        <v>1.86</v>
      </c>
      <c r="D9" s="28">
        <v>2.3</v>
      </c>
      <c r="H9" s="28" t="s">
        <v>130</v>
      </c>
    </row>
    <row r="10">
      <c r="C10" s="28">
        <v>1.49</v>
      </c>
      <c r="D10" s="28">
        <v>1.89</v>
      </c>
    </row>
    <row r="11">
      <c r="C11" s="28">
        <v>0.3</v>
      </c>
      <c r="D11" s="28">
        <v>4.18</v>
      </c>
      <c r="H11" s="28" t="s">
        <v>131</v>
      </c>
    </row>
    <row r="12">
      <c r="C12" s="28">
        <v>1.11</v>
      </c>
      <c r="D12" s="28">
        <v>3.1</v>
      </c>
    </row>
    <row r="13">
      <c r="C13" s="28">
        <v>2.12</v>
      </c>
      <c r="D13" s="28">
        <v>2.35</v>
      </c>
      <c r="H13" s="28" t="s">
        <v>132</v>
      </c>
    </row>
    <row r="14">
      <c r="C14" s="28">
        <v>2.27</v>
      </c>
      <c r="D14" s="28">
        <v>1.89</v>
      </c>
    </row>
    <row r="15">
      <c r="C15" s="28">
        <v>1.29</v>
      </c>
      <c r="D15" s="28">
        <v>1.84</v>
      </c>
    </row>
    <row r="16">
      <c r="C16" s="28">
        <v>0.73</v>
      </c>
      <c r="D16" s="28">
        <v>1.37</v>
      </c>
      <c r="H16" s="28" t="s">
        <v>133</v>
      </c>
    </row>
    <row r="17">
      <c r="C17" s="28">
        <v>1.01</v>
      </c>
      <c r="D17" s="28">
        <v>2.3</v>
      </c>
    </row>
    <row r="18">
      <c r="C18" s="28">
        <v>1.07</v>
      </c>
      <c r="D18" s="28">
        <v>2.26</v>
      </c>
    </row>
    <row r="20">
      <c r="B20" s="35" t="s">
        <v>57</v>
      </c>
      <c r="C20" s="35" t="s">
        <v>122</v>
      </c>
      <c r="D20" s="35" t="s">
        <v>123</v>
      </c>
    </row>
    <row r="21">
      <c r="B21" s="35" t="s">
        <v>127</v>
      </c>
      <c r="C21" s="31">
        <f t="shared" ref="C21:D21" si="2">sum(C22:C34)</f>
        <v>17.92</v>
      </c>
      <c r="D21" s="31">
        <f t="shared" si="2"/>
        <v>25.11</v>
      </c>
      <c r="E21" s="100">
        <f>(D21-C21)/C21</f>
        <v>0.4012276786</v>
      </c>
      <c r="F21" s="28" t="s">
        <v>128</v>
      </c>
    </row>
    <row r="22">
      <c r="C22" s="28">
        <v>1.97</v>
      </c>
      <c r="D22" s="28">
        <v>3.42</v>
      </c>
    </row>
    <row r="23">
      <c r="C23" s="28">
        <v>1.37</v>
      </c>
      <c r="D23" s="28">
        <v>2.97</v>
      </c>
    </row>
    <row r="24">
      <c r="C24" s="28">
        <v>0.9</v>
      </c>
      <c r="D24" s="28">
        <v>1.97</v>
      </c>
    </row>
    <row r="25">
      <c r="C25" s="28">
        <v>1.11</v>
      </c>
      <c r="D25" s="28">
        <v>1.29</v>
      </c>
    </row>
    <row r="26">
      <c r="C26" s="28">
        <v>1.42</v>
      </c>
      <c r="D26" s="28">
        <v>1.68</v>
      </c>
    </row>
    <row r="27">
      <c r="C27" s="28">
        <v>1.63</v>
      </c>
      <c r="D27" s="28">
        <v>1.37</v>
      </c>
    </row>
    <row r="28">
      <c r="C28" s="28">
        <v>2.46</v>
      </c>
      <c r="D28" s="28">
        <v>2.09</v>
      </c>
    </row>
    <row r="29">
      <c r="C29" s="28">
        <v>2.77</v>
      </c>
      <c r="D29" s="28">
        <v>1.34</v>
      </c>
    </row>
    <row r="30">
      <c r="C30" s="28">
        <v>1.67</v>
      </c>
      <c r="D30" s="28">
        <v>3.31</v>
      </c>
    </row>
    <row r="31">
      <c r="C31" s="28">
        <v>0.3</v>
      </c>
      <c r="D31" s="28">
        <v>1.58</v>
      </c>
    </row>
    <row r="32">
      <c r="C32" s="28">
        <v>1.63</v>
      </c>
      <c r="D32" s="28">
        <v>0.92</v>
      </c>
    </row>
    <row r="33">
      <c r="C33" s="28">
        <v>0.09</v>
      </c>
      <c r="D33" s="28">
        <v>0.91</v>
      </c>
    </row>
    <row r="34">
      <c r="C34" s="28">
        <v>0.6</v>
      </c>
      <c r="D34" s="28">
        <v>2.26</v>
      </c>
    </row>
    <row r="37">
      <c r="B37" s="35" t="s">
        <v>48</v>
      </c>
      <c r="C37" s="35" t="s">
        <v>122</v>
      </c>
      <c r="D37" s="35" t="s">
        <v>123</v>
      </c>
    </row>
    <row r="38">
      <c r="B38" s="35" t="s">
        <v>127</v>
      </c>
      <c r="C38" s="31">
        <f t="shared" ref="C38:D38" si="3">sum(C39:C51)</f>
        <v>41.51</v>
      </c>
      <c r="D38" s="31">
        <f t="shared" si="3"/>
        <v>42.82</v>
      </c>
      <c r="E38" s="100">
        <f>(D38-C38)/C38</f>
        <v>0.03155866056</v>
      </c>
      <c r="F38" s="28" t="s">
        <v>134</v>
      </c>
    </row>
    <row r="39">
      <c r="C39" s="28">
        <v>1.76</v>
      </c>
      <c r="D39" s="28">
        <v>3.01</v>
      </c>
    </row>
    <row r="40">
      <c r="C40" s="28">
        <v>5.05</v>
      </c>
      <c r="D40" s="28">
        <v>5.05</v>
      </c>
    </row>
    <row r="41">
      <c r="C41" s="28">
        <v>3.96</v>
      </c>
      <c r="D41" s="28">
        <v>3.16</v>
      </c>
    </row>
    <row r="42">
      <c r="C42" s="28">
        <v>3.42</v>
      </c>
      <c r="D42" s="28">
        <v>2.13</v>
      </c>
    </row>
    <row r="43">
      <c r="C43" s="28">
        <v>4.29</v>
      </c>
      <c r="D43" s="28">
        <v>3.96</v>
      </c>
    </row>
    <row r="44">
      <c r="C44" s="28">
        <v>4.28</v>
      </c>
      <c r="D44" s="28">
        <v>2.16</v>
      </c>
    </row>
    <row r="45">
      <c r="C45" s="28">
        <v>3.14</v>
      </c>
      <c r="D45" s="28">
        <v>1.69</v>
      </c>
    </row>
    <row r="46">
      <c r="C46" s="28">
        <v>4.19</v>
      </c>
      <c r="D46" s="28">
        <v>4.28</v>
      </c>
    </row>
    <row r="47">
      <c r="C47" s="28">
        <v>3.32</v>
      </c>
      <c r="D47" s="28">
        <v>3.98</v>
      </c>
    </row>
    <row r="48">
      <c r="C48" s="28">
        <v>0.93</v>
      </c>
      <c r="D48" s="28">
        <v>4.76</v>
      </c>
    </row>
    <row r="49">
      <c r="C49" s="28">
        <v>4.38</v>
      </c>
      <c r="D49" s="28">
        <v>2.07</v>
      </c>
      <c r="K49" s="48"/>
      <c r="L49" s="48"/>
    </row>
    <row r="50">
      <c r="C50" s="28">
        <v>2.21</v>
      </c>
      <c r="D50" s="28">
        <v>3.14</v>
      </c>
      <c r="K50" s="48"/>
      <c r="L50" s="48"/>
    </row>
    <row r="51">
      <c r="C51" s="28">
        <v>0.58</v>
      </c>
      <c r="D51" s="28">
        <v>3.43</v>
      </c>
      <c r="K51" s="48"/>
      <c r="L51" s="48"/>
    </row>
    <row r="52">
      <c r="K52" s="48"/>
      <c r="L52" s="48"/>
    </row>
    <row r="53">
      <c r="K53" s="48"/>
      <c r="L53" s="48"/>
    </row>
    <row r="54">
      <c r="B54" s="35" t="s">
        <v>49</v>
      </c>
      <c r="C54" s="35" t="s">
        <v>122</v>
      </c>
      <c r="D54" s="35" t="s">
        <v>123</v>
      </c>
      <c r="K54" s="48"/>
      <c r="L54" s="48"/>
    </row>
    <row r="55">
      <c r="B55" s="35" t="s">
        <v>127</v>
      </c>
      <c r="C55" s="31">
        <f>sum(C56:C69)</f>
        <v>26.14</v>
      </c>
      <c r="D55" s="31">
        <f>sum(D56:D68)</f>
        <v>26.29</v>
      </c>
      <c r="E55" s="100">
        <f>(D55-C55)/C55</f>
        <v>0.005738332058</v>
      </c>
      <c r="F55" s="28" t="s">
        <v>134</v>
      </c>
      <c r="K55" s="48"/>
      <c r="L55" s="48"/>
    </row>
    <row r="56">
      <c r="C56" s="28">
        <v>1.37</v>
      </c>
      <c r="D56" s="28">
        <v>4.62</v>
      </c>
      <c r="K56" s="48"/>
      <c r="L56" s="48"/>
    </row>
    <row r="57">
      <c r="C57" s="28">
        <v>2.53</v>
      </c>
      <c r="D57" s="28">
        <v>1.75</v>
      </c>
      <c r="K57" s="48"/>
      <c r="L57" s="48"/>
    </row>
    <row r="58">
      <c r="C58" s="28">
        <v>2.5</v>
      </c>
      <c r="D58" s="28">
        <v>2.53</v>
      </c>
      <c r="K58" s="48"/>
      <c r="L58" s="48"/>
    </row>
    <row r="59">
      <c r="C59" s="28">
        <v>4.62</v>
      </c>
      <c r="D59" s="28">
        <v>2.5</v>
      </c>
      <c r="K59" s="48"/>
      <c r="L59" s="48"/>
    </row>
    <row r="60">
      <c r="C60" s="28">
        <v>1.51</v>
      </c>
      <c r="D60" s="28">
        <v>1.85</v>
      </c>
      <c r="K60" s="48"/>
      <c r="L60" s="48"/>
    </row>
    <row r="61">
      <c r="C61" s="28">
        <v>2.54</v>
      </c>
      <c r="D61" s="28">
        <v>1.51</v>
      </c>
      <c r="K61" s="48"/>
      <c r="L61" s="48"/>
    </row>
    <row r="62">
      <c r="C62" s="28">
        <v>1.9</v>
      </c>
      <c r="D62" s="28">
        <v>1.09</v>
      </c>
      <c r="K62" s="48"/>
      <c r="L62" s="48"/>
    </row>
    <row r="63">
      <c r="C63" s="28">
        <v>1.79</v>
      </c>
      <c r="D63" s="28">
        <v>1.39</v>
      </c>
      <c r="K63" s="48"/>
      <c r="L63" s="48"/>
    </row>
    <row r="64">
      <c r="C64" s="28">
        <v>1.95</v>
      </c>
      <c r="D64" s="28">
        <v>1.17</v>
      </c>
      <c r="K64" s="48"/>
      <c r="L64" s="48"/>
    </row>
    <row r="65">
      <c r="C65" s="28">
        <v>0.87</v>
      </c>
      <c r="D65" s="28">
        <v>1.9</v>
      </c>
      <c r="K65" s="48"/>
      <c r="L65" s="48"/>
    </row>
    <row r="66">
      <c r="C66" s="28">
        <v>1.46</v>
      </c>
      <c r="D66" s="28">
        <v>1.02</v>
      </c>
      <c r="K66" s="48"/>
      <c r="L66" s="48"/>
    </row>
    <row r="67">
      <c r="C67" s="28">
        <v>0.59</v>
      </c>
      <c r="D67" s="28">
        <v>2.42</v>
      </c>
      <c r="K67" s="48"/>
      <c r="L67" s="48"/>
    </row>
    <row r="68">
      <c r="C68" s="28">
        <v>0.6</v>
      </c>
      <c r="D68" s="28">
        <v>2.54</v>
      </c>
      <c r="K68" s="48"/>
      <c r="L68" s="48"/>
    </row>
    <row r="69">
      <c r="C69" s="28">
        <v>1.91</v>
      </c>
      <c r="D69" s="28">
        <v>1.46</v>
      </c>
      <c r="K69" s="48"/>
      <c r="L69" s="48"/>
    </row>
    <row r="70">
      <c r="K70" s="48"/>
      <c r="L70" s="48"/>
    </row>
    <row r="71">
      <c r="B71" s="35" t="s">
        <v>45</v>
      </c>
      <c r="C71" s="35" t="s">
        <v>122</v>
      </c>
      <c r="D71" s="35" t="s">
        <v>123</v>
      </c>
      <c r="K71" s="48"/>
      <c r="L71" s="48"/>
    </row>
    <row r="72">
      <c r="B72" s="35" t="s">
        <v>127</v>
      </c>
      <c r="C72" s="31">
        <f>sum(C73:C86)</f>
        <v>15.74</v>
      </c>
      <c r="D72" s="31">
        <f>sum(D73:D85)</f>
        <v>21.91</v>
      </c>
      <c r="E72" s="100">
        <f>(D72-C72)/C72</f>
        <v>0.3919949174</v>
      </c>
      <c r="F72" s="28" t="s">
        <v>128</v>
      </c>
      <c r="K72" s="48"/>
      <c r="L72" s="48"/>
    </row>
    <row r="73">
      <c r="C73" s="28">
        <v>1.39</v>
      </c>
      <c r="D73" s="28">
        <v>2.51</v>
      </c>
      <c r="K73" s="48"/>
      <c r="L73" s="48"/>
    </row>
    <row r="74">
      <c r="C74" s="28">
        <v>0.61</v>
      </c>
      <c r="D74" s="28">
        <v>1.39</v>
      </c>
      <c r="K74" s="48"/>
      <c r="L74" s="48"/>
    </row>
    <row r="75">
      <c r="C75" s="28">
        <v>1.58</v>
      </c>
      <c r="D75" s="28">
        <v>1.4</v>
      </c>
      <c r="K75" s="48"/>
      <c r="L75" s="48"/>
    </row>
    <row r="76">
      <c r="C76" s="28">
        <v>0.56</v>
      </c>
      <c r="D76" s="28">
        <v>3.85</v>
      </c>
      <c r="K76" s="48"/>
      <c r="L76" s="48"/>
    </row>
    <row r="77">
      <c r="C77" s="28">
        <v>0.74</v>
      </c>
      <c r="D77" s="28">
        <v>0.74</v>
      </c>
      <c r="K77" s="48"/>
      <c r="L77" s="48"/>
    </row>
    <row r="78">
      <c r="C78" s="28">
        <v>0.99</v>
      </c>
      <c r="D78" s="28">
        <v>0.99</v>
      </c>
      <c r="K78" s="48"/>
      <c r="L78" s="48"/>
    </row>
    <row r="79">
      <c r="C79" s="28">
        <v>3.84</v>
      </c>
      <c r="D79" s="28">
        <v>3.84</v>
      </c>
      <c r="K79" s="48"/>
      <c r="L79" s="48"/>
    </row>
    <row r="80">
      <c r="C80" s="28">
        <v>1.58</v>
      </c>
      <c r="D80" s="28">
        <v>1.58</v>
      </c>
      <c r="K80" s="48"/>
      <c r="L80" s="48"/>
    </row>
    <row r="81">
      <c r="C81" s="28">
        <v>0.88</v>
      </c>
      <c r="D81" s="28">
        <v>2.37</v>
      </c>
      <c r="K81" s="48"/>
      <c r="L81" s="48"/>
    </row>
    <row r="82">
      <c r="C82" s="28">
        <v>0.99</v>
      </c>
      <c r="D82" s="28">
        <v>0.56</v>
      </c>
      <c r="K82" s="48"/>
      <c r="L82" s="48"/>
    </row>
    <row r="83">
      <c r="C83" s="28">
        <v>1.13</v>
      </c>
      <c r="D83" s="28">
        <v>0.61</v>
      </c>
      <c r="K83" s="48"/>
      <c r="L83" s="48"/>
    </row>
    <row r="84">
      <c r="C84" s="28">
        <v>0.91</v>
      </c>
      <c r="D84" s="28">
        <v>1.22</v>
      </c>
      <c r="K84" s="48"/>
      <c r="L84" s="48"/>
    </row>
    <row r="85">
      <c r="C85" s="28">
        <v>0.54</v>
      </c>
      <c r="D85" s="28">
        <v>0.85</v>
      </c>
      <c r="K85" s="48"/>
      <c r="L85" s="48"/>
    </row>
    <row r="86">
      <c r="K86" s="48"/>
      <c r="L86" s="48"/>
    </row>
    <row r="87">
      <c r="K87" s="48"/>
      <c r="L87" s="48"/>
    </row>
    <row r="88">
      <c r="K88" s="48"/>
      <c r="L88" s="48"/>
    </row>
    <row r="89">
      <c r="K89" s="48"/>
      <c r="L89" s="48"/>
    </row>
    <row r="90">
      <c r="K90" s="48"/>
      <c r="L90" s="48"/>
    </row>
    <row r="91">
      <c r="K91" s="48"/>
      <c r="L91" s="48"/>
    </row>
    <row r="92">
      <c r="K92" s="48"/>
      <c r="L92" s="48"/>
    </row>
    <row r="93">
      <c r="K93" s="48"/>
      <c r="L93" s="48"/>
    </row>
    <row r="94">
      <c r="K94" s="48"/>
      <c r="L94" s="48"/>
    </row>
    <row r="95">
      <c r="K95" s="48"/>
      <c r="L95" s="48"/>
    </row>
    <row r="96">
      <c r="J96" s="20"/>
      <c r="K96" s="48"/>
      <c r="L96" s="48"/>
    </row>
    <row r="97">
      <c r="J97" s="20"/>
      <c r="K97" s="48"/>
      <c r="L97" s="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  <col hidden="1" min="12" max="12" width="12.63"/>
    <col customWidth="1" hidden="1" min="13" max="13" width="20.75"/>
    <col customWidth="1" hidden="1" min="14" max="14" width="10.75"/>
    <col customWidth="1" min="15" max="15" width="14.88"/>
  </cols>
  <sheetData>
    <row r="1">
      <c r="A1" s="20"/>
      <c r="B1" s="105"/>
      <c r="C1" s="20"/>
      <c r="L1" s="106"/>
    </row>
    <row r="2">
      <c r="A2" s="20"/>
      <c r="B2" s="105" t="s">
        <v>135</v>
      </c>
      <c r="C2" s="20">
        <v>0.1</v>
      </c>
      <c r="L2" s="106"/>
    </row>
    <row r="3">
      <c r="A3" s="20"/>
      <c r="B3" s="105" t="s">
        <v>136</v>
      </c>
      <c r="C3" s="17" t="str">
        <f>AVERAGE(#REF!)</f>
        <v>#REF!</v>
      </c>
      <c r="L3" s="106"/>
      <c r="P3" s="106"/>
    </row>
    <row r="4">
      <c r="A4" s="20"/>
      <c r="B4" s="106"/>
      <c r="L4" s="106"/>
      <c r="P4" s="106"/>
      <c r="AE4" s="28" t="s">
        <v>137</v>
      </c>
      <c r="AF4" s="107">
        <f>CORREL(AE6:AE10000,AF6:AF10000)</f>
        <v>0.4113182759</v>
      </c>
    </row>
    <row r="5">
      <c r="A5" s="20"/>
      <c r="B5" s="106" t="s">
        <v>138</v>
      </c>
      <c r="L5" s="106" t="s">
        <v>139</v>
      </c>
      <c r="P5" s="106" t="s">
        <v>140</v>
      </c>
      <c r="AE5" s="28" t="s">
        <v>141</v>
      </c>
      <c r="AF5" s="28" t="s">
        <v>142</v>
      </c>
    </row>
    <row r="6">
      <c r="A6" s="20"/>
      <c r="B6" s="28" t="s">
        <v>143</v>
      </c>
      <c r="F6" s="28" t="s">
        <v>144</v>
      </c>
      <c r="K6" s="35"/>
      <c r="L6" s="35" t="s">
        <v>145</v>
      </c>
      <c r="N6" s="35" t="s">
        <v>146</v>
      </c>
      <c r="P6" s="35" t="s">
        <v>147</v>
      </c>
      <c r="R6" s="35" t="s">
        <v>148</v>
      </c>
      <c r="V6" s="35" t="s">
        <v>149</v>
      </c>
      <c r="AA6" s="28" t="s">
        <v>150</v>
      </c>
      <c r="AB6" s="28" t="s">
        <v>151</v>
      </c>
      <c r="AE6" s="28">
        <v>519.2</v>
      </c>
      <c r="AF6" s="28">
        <v>-50.86</v>
      </c>
    </row>
    <row r="7">
      <c r="A7" s="20"/>
      <c r="K7" s="108"/>
      <c r="L7" s="109" t="str">
        <f>AVERAGE(L10:L19)</f>
        <v>#VALUE!</v>
      </c>
      <c r="N7" s="40" t="str">
        <f>SUM(N10:N29)/SUM(M10:M19)</f>
        <v>#VALUE!</v>
      </c>
      <c r="P7" s="110">
        <v>1.0</v>
      </c>
      <c r="R7" s="28">
        <v>1.0</v>
      </c>
      <c r="S7" s="40">
        <f t="shared" ref="S7:S9" si="1">COUNTIF($P$7:$P1775,R7)</f>
        <v>51</v>
      </c>
      <c r="T7" s="100">
        <f t="shared" ref="T7:T9" si="2">S7/$S$10</f>
        <v>0.4636363636</v>
      </c>
      <c r="V7" s="40">
        <v>33.0</v>
      </c>
      <c r="W7" s="100">
        <f t="shared" ref="W7:W9" si="3">(S7-V7)/V7</f>
        <v>0.5454545455</v>
      </c>
      <c r="AA7" s="28" t="s">
        <v>152</v>
      </c>
      <c r="AB7" s="40">
        <f t="shared" ref="AB7:AB16" si="4">LEFT(REPLACE(AA7,1,1,""),FIND(",", AA7)-2)/1</f>
        <v>81</v>
      </c>
      <c r="AE7" s="28">
        <v>415.94</v>
      </c>
      <c r="AF7" s="28">
        <v>-60.55</v>
      </c>
    </row>
    <row r="8">
      <c r="A8" s="20"/>
      <c r="B8" s="111" t="s">
        <v>153</v>
      </c>
      <c r="C8" s="112" t="str">
        <f t="shared" ref="C8:C17" si="5">REPLACE(B8,FIND(".",B8),1,",")*1</f>
        <v>#VALUE!</v>
      </c>
      <c r="F8" s="46" t="s">
        <v>154</v>
      </c>
      <c r="G8" s="112" t="str">
        <f t="shared" ref="G8:G27" si="6">REPLACE(F8,FIND(".",F8),1,",")*1</f>
        <v>#VALUE!</v>
      </c>
      <c r="I8" s="28">
        <v>30.0</v>
      </c>
      <c r="J8" s="28">
        <v>50.0</v>
      </c>
      <c r="K8" s="20"/>
      <c r="P8" s="110">
        <v>2.0</v>
      </c>
      <c r="R8" s="28">
        <v>0.0</v>
      </c>
      <c r="S8" s="40">
        <f t="shared" si="1"/>
        <v>29</v>
      </c>
      <c r="T8" s="100">
        <f t="shared" si="2"/>
        <v>0.2636363636</v>
      </c>
      <c r="V8" s="40">
        <v>19.0</v>
      </c>
      <c r="W8" s="100">
        <f t="shared" si="3"/>
        <v>0.5263157895</v>
      </c>
      <c r="AA8" s="28" t="s">
        <v>155</v>
      </c>
      <c r="AB8" s="40">
        <f t="shared" si="4"/>
        <v>54</v>
      </c>
      <c r="AE8" s="28">
        <v>396.62</v>
      </c>
      <c r="AF8" s="28">
        <v>77.53</v>
      </c>
    </row>
    <row r="9">
      <c r="A9" s="20"/>
      <c r="B9" s="111" t="s">
        <v>156</v>
      </c>
      <c r="C9" s="112" t="str">
        <f t="shared" si="5"/>
        <v>#VALUE!</v>
      </c>
      <c r="F9" s="46" t="s">
        <v>157</v>
      </c>
      <c r="G9" s="112" t="str">
        <f t="shared" si="6"/>
        <v>#VALUE!</v>
      </c>
      <c r="I9" s="28">
        <v>30.0</v>
      </c>
      <c r="J9" s="28">
        <v>50.0</v>
      </c>
      <c r="K9" s="20"/>
      <c r="L9" s="108" t="s">
        <v>158</v>
      </c>
      <c r="M9" s="108" t="s">
        <v>159</v>
      </c>
      <c r="N9" s="35" t="s">
        <v>160</v>
      </c>
      <c r="P9" s="110">
        <v>1.0</v>
      </c>
      <c r="R9" s="28">
        <v>2.0</v>
      </c>
      <c r="S9" s="40">
        <f t="shared" si="1"/>
        <v>30</v>
      </c>
      <c r="T9" s="100">
        <f t="shared" si="2"/>
        <v>0.2727272727</v>
      </c>
      <c r="V9" s="40">
        <v>24.0</v>
      </c>
      <c r="W9" s="100">
        <f t="shared" si="3"/>
        <v>0.25</v>
      </c>
      <c r="AA9" s="28" t="s">
        <v>161</v>
      </c>
      <c r="AB9" s="40">
        <f t="shared" si="4"/>
        <v>81</v>
      </c>
      <c r="AE9" s="28">
        <v>386.95</v>
      </c>
      <c r="AF9" s="28">
        <v>196.62</v>
      </c>
    </row>
    <row r="10">
      <c r="A10" s="20"/>
      <c r="B10" s="113" t="s">
        <v>162</v>
      </c>
      <c r="C10" s="112" t="str">
        <f t="shared" si="5"/>
        <v>#VALUE!</v>
      </c>
      <c r="F10" s="46" t="s">
        <v>163</v>
      </c>
      <c r="G10" s="112" t="str">
        <f t="shared" si="6"/>
        <v>#VALUE!</v>
      </c>
      <c r="I10" s="28">
        <v>20.0</v>
      </c>
      <c r="J10" s="28">
        <v>40.0</v>
      </c>
      <c r="K10" s="20"/>
      <c r="L10" s="114" t="str">
        <f t="shared" ref="L10:L19" si="7">C8</f>
        <v>#VALUE!</v>
      </c>
      <c r="M10" s="20">
        <f t="shared" ref="M10:M18" si="8">M11*2</f>
        <v>512</v>
      </c>
      <c r="N10" s="40" t="str">
        <f t="shared" ref="N10:N19" si="9">M10*L10</f>
        <v>#VALUE!</v>
      </c>
      <c r="P10" s="110">
        <v>0.0</v>
      </c>
      <c r="S10" s="40">
        <f>SUM(S7:S9)</f>
        <v>110</v>
      </c>
      <c r="V10" s="40">
        <f>SUM(V7:V9)</f>
        <v>76</v>
      </c>
      <c r="AA10" s="28" t="s">
        <v>164</v>
      </c>
      <c r="AB10" s="40">
        <f t="shared" si="4"/>
        <v>54</v>
      </c>
      <c r="AE10" s="28">
        <v>325.02</v>
      </c>
      <c r="AF10" s="28">
        <v>159.3</v>
      </c>
    </row>
    <row r="11">
      <c r="B11" s="111" t="s">
        <v>165</v>
      </c>
      <c r="C11" s="112" t="str">
        <f t="shared" si="5"/>
        <v>#VALUE!</v>
      </c>
      <c r="F11" s="46" t="s">
        <v>166</v>
      </c>
      <c r="G11" s="112" t="str">
        <f t="shared" si="6"/>
        <v>#VALUE!</v>
      </c>
      <c r="I11" s="28">
        <v>20.0</v>
      </c>
      <c r="J11" s="28">
        <v>40.0</v>
      </c>
      <c r="K11" s="20"/>
      <c r="L11" s="114" t="str">
        <f t="shared" si="7"/>
        <v>#VALUE!</v>
      </c>
      <c r="M11" s="20">
        <f t="shared" si="8"/>
        <v>256</v>
      </c>
      <c r="N11" s="40" t="str">
        <f t="shared" si="9"/>
        <v>#VALUE!</v>
      </c>
      <c r="P11" s="110">
        <v>2.0</v>
      </c>
      <c r="AA11" s="28" t="s">
        <v>167</v>
      </c>
      <c r="AB11" s="40">
        <f t="shared" si="4"/>
        <v>54</v>
      </c>
      <c r="AE11" s="28">
        <v>311.0</v>
      </c>
      <c r="AF11" s="28">
        <v>139.56</v>
      </c>
    </row>
    <row r="12">
      <c r="B12" s="113" t="s">
        <v>168</v>
      </c>
      <c r="C12" s="112" t="str">
        <f t="shared" si="5"/>
        <v>#VALUE!</v>
      </c>
      <c r="F12" s="46" t="s">
        <v>169</v>
      </c>
      <c r="G12" s="112" t="str">
        <f t="shared" si="6"/>
        <v>#VALUE!</v>
      </c>
      <c r="I12" s="28">
        <v>20.0</v>
      </c>
      <c r="J12" s="28">
        <v>40.0</v>
      </c>
      <c r="K12" s="20"/>
      <c r="L12" s="114" t="str">
        <f t="shared" si="7"/>
        <v>#VALUE!</v>
      </c>
      <c r="M12" s="20">
        <f t="shared" si="8"/>
        <v>128</v>
      </c>
      <c r="N12" s="40" t="str">
        <f t="shared" si="9"/>
        <v>#VALUE!</v>
      </c>
      <c r="P12" s="110">
        <v>1.0</v>
      </c>
      <c r="AA12" s="28" t="s">
        <v>164</v>
      </c>
      <c r="AB12" s="40">
        <f t="shared" si="4"/>
        <v>54</v>
      </c>
      <c r="AE12" s="28">
        <v>298.88</v>
      </c>
      <c r="AF12" s="28">
        <v>9.97</v>
      </c>
    </row>
    <row r="13">
      <c r="B13" s="111" t="s">
        <v>170</v>
      </c>
      <c r="C13" s="112" t="str">
        <f t="shared" si="5"/>
        <v>#VALUE!</v>
      </c>
      <c r="F13" s="46" t="s">
        <v>171</v>
      </c>
      <c r="G13" s="112" t="str">
        <f t="shared" si="6"/>
        <v>#VALUE!</v>
      </c>
      <c r="I13" s="28">
        <v>20.0</v>
      </c>
      <c r="J13" s="28">
        <v>40.0</v>
      </c>
      <c r="L13" s="114" t="str">
        <f t="shared" si="7"/>
        <v>#VALUE!</v>
      </c>
      <c r="M13" s="20">
        <f t="shared" si="8"/>
        <v>64</v>
      </c>
      <c r="N13" s="40" t="str">
        <f t="shared" si="9"/>
        <v>#VALUE!</v>
      </c>
      <c r="P13" s="110">
        <v>1.0</v>
      </c>
      <c r="Q13" s="31"/>
      <c r="R13" s="78"/>
      <c r="S13" s="83" t="s">
        <v>172</v>
      </c>
      <c r="T13" s="83" t="s">
        <v>173</v>
      </c>
      <c r="U13" s="83" t="s">
        <v>174</v>
      </c>
      <c r="AA13" s="28" t="s">
        <v>175</v>
      </c>
      <c r="AB13" s="40">
        <f t="shared" si="4"/>
        <v>81</v>
      </c>
      <c r="AE13" s="28">
        <v>278.86</v>
      </c>
      <c r="AF13" s="28">
        <v>-2.22</v>
      </c>
    </row>
    <row r="14">
      <c r="B14" s="111" t="s">
        <v>176</v>
      </c>
      <c r="C14" s="112" t="str">
        <f t="shared" si="5"/>
        <v>#VALUE!</v>
      </c>
      <c r="F14" s="46" t="s">
        <v>177</v>
      </c>
      <c r="G14" s="112" t="str">
        <f t="shared" si="6"/>
        <v>#VALUE!</v>
      </c>
      <c r="I14" s="28">
        <v>20.0</v>
      </c>
      <c r="J14" s="28">
        <v>40.0</v>
      </c>
      <c r="L14" s="114" t="str">
        <f t="shared" si="7"/>
        <v>#VALUE!</v>
      </c>
      <c r="M14" s="20">
        <f t="shared" si="8"/>
        <v>32</v>
      </c>
      <c r="N14" s="40" t="str">
        <f t="shared" si="9"/>
        <v>#VALUE!</v>
      </c>
      <c r="P14" s="110">
        <v>1.0</v>
      </c>
      <c r="R14" s="83">
        <v>1.0</v>
      </c>
      <c r="S14" s="78">
        <v>18.0</v>
      </c>
      <c r="T14" s="78">
        <v>21.0</v>
      </c>
      <c r="U14" s="78">
        <v>11.0</v>
      </c>
      <c r="AA14" s="28" t="s">
        <v>178</v>
      </c>
      <c r="AB14" s="40">
        <f t="shared" si="4"/>
        <v>81</v>
      </c>
      <c r="AE14" s="28">
        <v>248.07</v>
      </c>
      <c r="AF14" s="28">
        <v>-78.26</v>
      </c>
    </row>
    <row r="15">
      <c r="B15" s="111" t="s">
        <v>179</v>
      </c>
      <c r="C15" s="112" t="str">
        <f t="shared" si="5"/>
        <v>#VALUE!</v>
      </c>
      <c r="F15" s="46" t="s">
        <v>180</v>
      </c>
      <c r="G15" s="112" t="str">
        <f t="shared" si="6"/>
        <v>#VALUE!</v>
      </c>
      <c r="I15" s="28">
        <v>20.0</v>
      </c>
      <c r="J15" s="28">
        <v>40.0</v>
      </c>
      <c r="L15" s="114" t="str">
        <f t="shared" si="7"/>
        <v>#VALUE!</v>
      </c>
      <c r="M15" s="20">
        <f t="shared" si="8"/>
        <v>16</v>
      </c>
      <c r="N15" s="40" t="str">
        <f t="shared" si="9"/>
        <v>#VALUE!</v>
      </c>
      <c r="P15" s="110">
        <v>1.0</v>
      </c>
      <c r="R15" s="83">
        <v>0.0</v>
      </c>
      <c r="S15" s="78">
        <v>8.0</v>
      </c>
      <c r="T15" s="78">
        <v>0.0</v>
      </c>
      <c r="U15" s="78">
        <v>13.0</v>
      </c>
      <c r="AA15" s="28" t="s">
        <v>181</v>
      </c>
      <c r="AB15" s="40">
        <f t="shared" si="4"/>
        <v>54</v>
      </c>
      <c r="AE15" s="28">
        <v>247.8</v>
      </c>
      <c r="AF15" s="28">
        <v>-49.83</v>
      </c>
    </row>
    <row r="16">
      <c r="B16" s="111" t="s">
        <v>182</v>
      </c>
      <c r="C16" s="112" t="str">
        <f t="shared" si="5"/>
        <v>#VALUE!</v>
      </c>
      <c r="F16" s="46" t="s">
        <v>183</v>
      </c>
      <c r="G16" s="112" t="str">
        <f t="shared" si="6"/>
        <v>#VALUE!</v>
      </c>
      <c r="I16" s="28">
        <v>20.0</v>
      </c>
      <c r="J16" s="28">
        <v>40.0</v>
      </c>
      <c r="L16" s="114" t="str">
        <f t="shared" si="7"/>
        <v>#VALUE!</v>
      </c>
      <c r="M16" s="20">
        <f t="shared" si="8"/>
        <v>8</v>
      </c>
      <c r="N16" s="40" t="str">
        <f t="shared" si="9"/>
        <v>#VALUE!</v>
      </c>
      <c r="P16" s="110">
        <v>0.0</v>
      </c>
      <c r="R16" s="83">
        <v>2.0</v>
      </c>
      <c r="S16" s="78">
        <v>10.0</v>
      </c>
      <c r="T16" s="78">
        <v>15.0</v>
      </c>
      <c r="U16" s="78">
        <v>12.0</v>
      </c>
      <c r="AA16" s="28" t="s">
        <v>184</v>
      </c>
      <c r="AB16" s="40">
        <f t="shared" si="4"/>
        <v>81</v>
      </c>
      <c r="AE16" s="28">
        <v>245.03</v>
      </c>
      <c r="AF16" s="28">
        <v>213.08</v>
      </c>
    </row>
    <row r="17">
      <c r="B17" s="111" t="s">
        <v>185</v>
      </c>
      <c r="C17" s="112" t="str">
        <f t="shared" si="5"/>
        <v>#VALUE!</v>
      </c>
      <c r="F17" s="46" t="s">
        <v>186</v>
      </c>
      <c r="G17" s="112" t="str">
        <f t="shared" si="6"/>
        <v>#VALUE!</v>
      </c>
      <c r="I17" s="28">
        <v>20.0</v>
      </c>
      <c r="J17" s="28">
        <v>40.0</v>
      </c>
      <c r="L17" s="114" t="str">
        <f t="shared" si="7"/>
        <v>#VALUE!</v>
      </c>
      <c r="M17" s="20">
        <f t="shared" si="8"/>
        <v>4</v>
      </c>
      <c r="N17" s="40" t="str">
        <f t="shared" si="9"/>
        <v>#VALUE!</v>
      </c>
      <c r="P17" s="110">
        <v>1.0</v>
      </c>
      <c r="R17" s="83" t="s">
        <v>187</v>
      </c>
      <c r="S17" s="115">
        <f t="shared" ref="S17:U17" si="10">SUM(S14:S16)</f>
        <v>36</v>
      </c>
      <c r="T17" s="78">
        <f t="shared" si="10"/>
        <v>36</v>
      </c>
      <c r="U17" s="78">
        <f t="shared" si="10"/>
        <v>36</v>
      </c>
      <c r="AE17" s="28">
        <v>215.88</v>
      </c>
      <c r="AF17" s="28">
        <v>45.87</v>
      </c>
    </row>
    <row r="18">
      <c r="F18" s="46" t="s">
        <v>188</v>
      </c>
      <c r="G18" s="112" t="str">
        <f t="shared" si="6"/>
        <v>#VALUE!</v>
      </c>
      <c r="I18" s="28">
        <v>10.0</v>
      </c>
      <c r="L18" s="114" t="str">
        <f t="shared" si="7"/>
        <v>#VALUE!</v>
      </c>
      <c r="M18" s="20">
        <f t="shared" si="8"/>
        <v>2</v>
      </c>
      <c r="N18" s="40" t="str">
        <f t="shared" si="9"/>
        <v>#VALUE!</v>
      </c>
      <c r="P18" s="110">
        <v>1.0</v>
      </c>
      <c r="R18" s="17"/>
      <c r="S18" s="17"/>
      <c r="T18" s="17"/>
      <c r="U18" s="17"/>
      <c r="AE18" s="28">
        <v>189.05</v>
      </c>
      <c r="AF18" s="28">
        <v>51.45</v>
      </c>
    </row>
    <row r="19">
      <c r="B19" s="35" t="s">
        <v>189</v>
      </c>
      <c r="C19" s="40" t="str">
        <f>AVERAGE(C8:C17)</f>
        <v>#VALUE!</v>
      </c>
      <c r="F19" s="46" t="s">
        <v>190</v>
      </c>
      <c r="G19" s="112" t="str">
        <f t="shared" si="6"/>
        <v>#VALUE!</v>
      </c>
      <c r="I19" s="28">
        <v>10.0</v>
      </c>
      <c r="L19" s="114" t="str">
        <f t="shared" si="7"/>
        <v>#VALUE!</v>
      </c>
      <c r="M19" s="20">
        <v>1.0</v>
      </c>
      <c r="N19" s="40" t="str">
        <f t="shared" si="9"/>
        <v>#VALUE!</v>
      </c>
      <c r="P19" s="110">
        <v>1.0</v>
      </c>
      <c r="R19" s="17"/>
      <c r="S19" s="17"/>
      <c r="T19" s="17"/>
      <c r="U19" s="17"/>
      <c r="AA19" s="28" t="s">
        <v>191</v>
      </c>
      <c r="AB19" s="40">
        <f>AVERAGE(AB7:AB16)</f>
        <v>67.5</v>
      </c>
      <c r="AE19" s="28">
        <v>161.12</v>
      </c>
      <c r="AF19" s="28">
        <v>125.27</v>
      </c>
    </row>
    <row r="20">
      <c r="F20" s="46" t="s">
        <v>192</v>
      </c>
      <c r="G20" s="112" t="str">
        <f t="shared" si="6"/>
        <v>#VALUE!</v>
      </c>
      <c r="I20" s="28">
        <v>10.0</v>
      </c>
      <c r="P20" s="110">
        <v>1.0</v>
      </c>
      <c r="R20" s="17"/>
      <c r="S20" s="17"/>
      <c r="T20" s="17"/>
      <c r="U20" s="17"/>
      <c r="AE20" s="28">
        <v>147.56</v>
      </c>
      <c r="AF20" s="28">
        <v>-64.93</v>
      </c>
    </row>
    <row r="21">
      <c r="F21" s="46" t="s">
        <v>193</v>
      </c>
      <c r="G21" s="112" t="str">
        <f t="shared" si="6"/>
        <v>#VALUE!</v>
      </c>
      <c r="I21" s="28">
        <v>10.0</v>
      </c>
      <c r="P21" s="110">
        <v>1.0</v>
      </c>
      <c r="R21" s="78"/>
      <c r="S21" s="83" t="s">
        <v>172</v>
      </c>
      <c r="T21" s="83" t="s">
        <v>173</v>
      </c>
      <c r="U21" s="83" t="s">
        <v>174</v>
      </c>
      <c r="AE21" s="28">
        <v>146.62</v>
      </c>
      <c r="AF21" s="28">
        <v>74.55</v>
      </c>
    </row>
    <row r="22">
      <c r="C22" s="112"/>
      <c r="F22" s="46" t="s">
        <v>194</v>
      </c>
      <c r="G22" s="112" t="str">
        <f t="shared" si="6"/>
        <v>#VALUE!</v>
      </c>
      <c r="I22" s="28">
        <v>10.0</v>
      </c>
      <c r="P22" s="110">
        <v>0.0</v>
      </c>
      <c r="R22" s="83">
        <v>1.0</v>
      </c>
      <c r="S22" s="116">
        <f t="shared" ref="S22:U22" si="11">S14/S$17</f>
        <v>0.5</v>
      </c>
      <c r="T22" s="116">
        <f t="shared" si="11"/>
        <v>0.5833333333</v>
      </c>
      <c r="U22" s="116">
        <f t="shared" si="11"/>
        <v>0.3055555556</v>
      </c>
      <c r="AE22" s="28">
        <v>143.08</v>
      </c>
      <c r="AF22" s="28">
        <v>57.92</v>
      </c>
    </row>
    <row r="23">
      <c r="C23" s="112"/>
      <c r="F23" s="117">
        <v>45356.0</v>
      </c>
      <c r="G23" s="112" t="str">
        <f t="shared" si="6"/>
        <v>#VALUE!</v>
      </c>
      <c r="I23" s="28">
        <v>10.0</v>
      </c>
      <c r="P23" s="110">
        <v>1.0</v>
      </c>
      <c r="R23" s="83">
        <v>0.0</v>
      </c>
      <c r="S23" s="116">
        <f t="shared" ref="S23:U23" si="12">S15/S$17</f>
        <v>0.2222222222</v>
      </c>
      <c r="T23" s="116">
        <f t="shared" si="12"/>
        <v>0</v>
      </c>
      <c r="U23" s="116">
        <f t="shared" si="12"/>
        <v>0.3611111111</v>
      </c>
      <c r="AE23" s="28">
        <v>135.11</v>
      </c>
      <c r="AF23" s="28">
        <v>-1.76</v>
      </c>
    </row>
    <row r="24">
      <c r="F24" s="46" t="s">
        <v>195</v>
      </c>
      <c r="G24" s="112" t="str">
        <f t="shared" si="6"/>
        <v>#VALUE!</v>
      </c>
      <c r="I24" s="28">
        <v>10.0</v>
      </c>
      <c r="P24" s="110">
        <v>1.0</v>
      </c>
      <c r="R24" s="83">
        <v>2.0</v>
      </c>
      <c r="S24" s="116">
        <f t="shared" ref="S24:U24" si="13">S16/S$17</f>
        <v>0.2777777778</v>
      </c>
      <c r="T24" s="116">
        <f t="shared" si="13"/>
        <v>0.4166666667</v>
      </c>
      <c r="U24" s="116">
        <f t="shared" si="13"/>
        <v>0.3333333333</v>
      </c>
      <c r="AE24" s="28">
        <v>132.91</v>
      </c>
      <c r="AF24" s="28">
        <v>294.68</v>
      </c>
    </row>
    <row r="25">
      <c r="F25" s="46" t="s">
        <v>196</v>
      </c>
      <c r="G25" s="112" t="str">
        <f t="shared" si="6"/>
        <v>#VALUE!</v>
      </c>
      <c r="I25" s="28">
        <v>10.0</v>
      </c>
      <c r="P25" s="110">
        <v>1.0</v>
      </c>
      <c r="R25" s="83" t="s">
        <v>187</v>
      </c>
      <c r="S25" s="115">
        <f t="shared" ref="S25:U25" si="14">SUM(S22:S24)</f>
        <v>1</v>
      </c>
      <c r="T25" s="116">
        <f t="shared" si="14"/>
        <v>1</v>
      </c>
      <c r="U25" s="116">
        <f t="shared" si="14"/>
        <v>1</v>
      </c>
      <c r="AE25" s="28">
        <v>127.74</v>
      </c>
      <c r="AF25" s="28">
        <v>332.05</v>
      </c>
    </row>
    <row r="26">
      <c r="F26" s="46" t="s">
        <v>197</v>
      </c>
      <c r="G26" s="112" t="str">
        <f t="shared" si="6"/>
        <v>#VALUE!</v>
      </c>
      <c r="I26" s="28">
        <v>10.0</v>
      </c>
      <c r="P26" s="110">
        <v>1.0</v>
      </c>
      <c r="AE26" s="28">
        <v>124.15</v>
      </c>
      <c r="AF26" s="28">
        <v>249.31</v>
      </c>
    </row>
    <row r="27">
      <c r="F27" s="117">
        <v>45542.0</v>
      </c>
      <c r="G27" s="112" t="str">
        <f t="shared" si="6"/>
        <v>#VALUE!</v>
      </c>
      <c r="I27" s="28">
        <v>10.0</v>
      </c>
      <c r="P27" s="110">
        <v>1.0</v>
      </c>
      <c r="AE27" s="28">
        <v>111.37</v>
      </c>
      <c r="AF27" s="28">
        <v>140.53</v>
      </c>
    </row>
    <row r="28">
      <c r="P28" s="110">
        <v>1.0</v>
      </c>
      <c r="AA28" s="28" t="s">
        <v>198</v>
      </c>
      <c r="AB28" s="28" t="s">
        <v>199</v>
      </c>
      <c r="AC28" s="28" t="s">
        <v>199</v>
      </c>
      <c r="AE28" s="28">
        <v>106.73</v>
      </c>
      <c r="AF28" s="28">
        <v>-68.34</v>
      </c>
    </row>
    <row r="29">
      <c r="F29" s="35" t="s">
        <v>189</v>
      </c>
      <c r="G29" s="40" t="str">
        <f>AVERAGE(G8:G27)</f>
        <v>#VALUE!</v>
      </c>
      <c r="H29" s="35"/>
      <c r="I29" s="109">
        <f>AVERAGE(I8:I27)</f>
        <v>16</v>
      </c>
      <c r="J29" s="109">
        <f>AVERAGE(J8:J17)</f>
        <v>42</v>
      </c>
      <c r="P29" s="110">
        <v>0.0</v>
      </c>
      <c r="AA29" s="49">
        <v>1051.0</v>
      </c>
      <c r="AB29" s="28">
        <v>207.56</v>
      </c>
      <c r="AC29" s="40">
        <f t="shared" ref="AC29:AC43" si="15">VLOOKUP(AA29,$AA$48:$AB$62,2,0)</f>
        <v>263.81</v>
      </c>
      <c r="AD29" s="100">
        <f t="shared" ref="AD29:AD43" si="16">(AC29-AB29)/AB29</f>
        <v>0.2710059742</v>
      </c>
      <c r="AE29" s="28">
        <v>101.39</v>
      </c>
      <c r="AF29" s="28">
        <v>207.24</v>
      </c>
    </row>
    <row r="30">
      <c r="P30" s="110">
        <v>0.0</v>
      </c>
      <c r="AA30" s="28">
        <v>112.0</v>
      </c>
      <c r="AB30" s="28">
        <v>185.35</v>
      </c>
      <c r="AC30" s="40">
        <f t="shared" si="15"/>
        <v>130.76</v>
      </c>
      <c r="AD30" s="100">
        <f t="shared" si="16"/>
        <v>-0.2945238738</v>
      </c>
      <c r="AE30" s="28">
        <v>95.51</v>
      </c>
      <c r="AF30" s="28">
        <v>214.38</v>
      </c>
    </row>
    <row r="31">
      <c r="P31" s="110">
        <v>2.0</v>
      </c>
      <c r="S31" s="28" t="s">
        <v>200</v>
      </c>
      <c r="T31" s="28" t="s">
        <v>201</v>
      </c>
      <c r="U31" s="28" t="s">
        <v>202</v>
      </c>
      <c r="V31" s="28" t="s">
        <v>203</v>
      </c>
      <c r="AA31" s="28">
        <v>752.0</v>
      </c>
      <c r="AB31" s="28">
        <v>121.6</v>
      </c>
      <c r="AC31" s="40">
        <f t="shared" si="15"/>
        <v>78.68</v>
      </c>
      <c r="AD31" s="100">
        <f t="shared" si="16"/>
        <v>-0.3529605263</v>
      </c>
      <c r="AE31" s="28">
        <v>93.4</v>
      </c>
      <c r="AF31" s="28">
        <v>111.66</v>
      </c>
    </row>
    <row r="32">
      <c r="B32" s="29" t="s">
        <v>204</v>
      </c>
      <c r="G32" s="112"/>
      <c r="P32" s="110">
        <v>0.0</v>
      </c>
      <c r="S32" s="28">
        <v>40.0</v>
      </c>
      <c r="T32" s="28">
        <v>50.0</v>
      </c>
      <c r="AA32" s="49">
        <v>1475.0</v>
      </c>
      <c r="AB32" s="28">
        <v>120.82</v>
      </c>
      <c r="AC32" s="40">
        <f t="shared" si="15"/>
        <v>83.5</v>
      </c>
      <c r="AD32" s="100">
        <f t="shared" si="16"/>
        <v>-0.3088892567</v>
      </c>
      <c r="AE32" s="28">
        <v>90.38</v>
      </c>
      <c r="AF32" s="28">
        <v>-64.77</v>
      </c>
    </row>
    <row r="33">
      <c r="B33" s="118" t="s">
        <v>205</v>
      </c>
      <c r="G33" s="119"/>
      <c r="P33" s="110">
        <v>1.0</v>
      </c>
      <c r="S33" s="28">
        <v>80.0</v>
      </c>
      <c r="T33" s="28">
        <v>90.0</v>
      </c>
      <c r="AA33" s="49">
        <v>1545.0</v>
      </c>
      <c r="AB33" s="28">
        <v>111.42</v>
      </c>
      <c r="AC33" s="40">
        <f t="shared" si="15"/>
        <v>101.16</v>
      </c>
      <c r="AD33" s="100">
        <f t="shared" si="16"/>
        <v>-0.09208400646</v>
      </c>
      <c r="AE33" s="28">
        <v>86.8</v>
      </c>
      <c r="AF33" s="28">
        <v>86.2</v>
      </c>
    </row>
    <row r="34">
      <c r="P34" s="110">
        <v>0.0</v>
      </c>
      <c r="AA34" s="28">
        <v>814.0</v>
      </c>
      <c r="AB34" s="28">
        <v>104.32</v>
      </c>
      <c r="AC34" s="40">
        <f t="shared" si="15"/>
        <v>60.31</v>
      </c>
      <c r="AD34" s="100">
        <f t="shared" si="16"/>
        <v>-0.421875</v>
      </c>
      <c r="AE34" s="28">
        <v>84.15</v>
      </c>
      <c r="AF34" s="28">
        <v>5.62</v>
      </c>
    </row>
    <row r="35">
      <c r="H35" s="35" t="s">
        <v>206</v>
      </c>
      <c r="P35" s="110">
        <v>1.0</v>
      </c>
      <c r="AA35" s="49">
        <v>1426.0</v>
      </c>
      <c r="AB35" s="28">
        <v>101.23</v>
      </c>
      <c r="AC35" s="40">
        <f t="shared" si="15"/>
        <v>68.02</v>
      </c>
      <c r="AD35" s="100">
        <f t="shared" si="16"/>
        <v>-0.3280648029</v>
      </c>
      <c r="AE35" s="28">
        <v>83.01</v>
      </c>
      <c r="AF35" s="28">
        <v>43.27</v>
      </c>
    </row>
    <row r="36">
      <c r="G36" s="35" t="s">
        <v>58</v>
      </c>
      <c r="H36" s="120">
        <v>4.555000000000001</v>
      </c>
      <c r="P36" s="110">
        <v>1.0</v>
      </c>
      <c r="AA36" s="49">
        <v>1447.0</v>
      </c>
      <c r="AB36" s="28">
        <v>97.89</v>
      </c>
      <c r="AC36" s="40">
        <f t="shared" si="15"/>
        <v>138.76</v>
      </c>
      <c r="AD36" s="100">
        <f t="shared" si="16"/>
        <v>0.4175094494</v>
      </c>
      <c r="AE36" s="28">
        <v>80.91</v>
      </c>
      <c r="AF36" s="28">
        <v>128.36</v>
      </c>
    </row>
    <row r="37">
      <c r="A37" s="31"/>
      <c r="B37" s="31"/>
      <c r="D37" s="121">
        <f>AVERAGE(D39:D1775)</f>
        <v>4.891153846</v>
      </c>
      <c r="G37" s="35" t="s">
        <v>57</v>
      </c>
      <c r="H37" s="120">
        <v>7.555294117647058</v>
      </c>
      <c r="P37" s="110">
        <v>1.0</v>
      </c>
      <c r="AA37" s="28">
        <v>136.0</v>
      </c>
      <c r="AB37" s="28">
        <v>87.93</v>
      </c>
      <c r="AC37" s="40">
        <f t="shared" si="15"/>
        <v>58.8</v>
      </c>
      <c r="AD37" s="100">
        <f t="shared" si="16"/>
        <v>-0.3312862504</v>
      </c>
      <c r="AE37" s="28">
        <v>80.19</v>
      </c>
      <c r="AF37" s="28">
        <v>-56.27</v>
      </c>
    </row>
    <row r="38">
      <c r="G38" s="35" t="s">
        <v>48</v>
      </c>
      <c r="H38" s="122">
        <v>2.21</v>
      </c>
      <c r="P38" s="110">
        <v>2.0</v>
      </c>
      <c r="AA38" s="49">
        <v>1526.0</v>
      </c>
      <c r="AB38" s="28">
        <v>85.82</v>
      </c>
      <c r="AC38" s="40">
        <f t="shared" si="15"/>
        <v>53.3</v>
      </c>
      <c r="AD38" s="100">
        <f t="shared" si="16"/>
        <v>-0.3789326497</v>
      </c>
      <c r="AE38" s="28">
        <v>79.61</v>
      </c>
      <c r="AF38" s="28">
        <v>-61.31</v>
      </c>
    </row>
    <row r="39">
      <c r="D39" s="123">
        <v>8.46</v>
      </c>
      <c r="G39" s="35" t="s">
        <v>49</v>
      </c>
      <c r="H39" s="120">
        <v>9.938235294117648</v>
      </c>
      <c r="P39" s="110">
        <v>1.0</v>
      </c>
      <c r="AA39" s="28">
        <v>952.0</v>
      </c>
      <c r="AB39" s="28">
        <v>78.09</v>
      </c>
      <c r="AC39" s="40">
        <f t="shared" si="15"/>
        <v>73.76</v>
      </c>
      <c r="AD39" s="100">
        <f t="shared" si="16"/>
        <v>-0.05544884108</v>
      </c>
      <c r="AE39" s="28">
        <v>78.89</v>
      </c>
      <c r="AF39" s="28">
        <v>-18.54</v>
      </c>
    </row>
    <row r="40">
      <c r="D40" s="88">
        <v>7.25</v>
      </c>
      <c r="G40" s="35" t="s">
        <v>45</v>
      </c>
      <c r="H40" s="120">
        <v>3.3411111111111107</v>
      </c>
      <c r="P40" s="110">
        <v>2.0</v>
      </c>
      <c r="AA40" s="49">
        <v>1606.0</v>
      </c>
      <c r="AB40" s="28">
        <v>77.21</v>
      </c>
      <c r="AC40" s="40">
        <f t="shared" si="15"/>
        <v>75.05</v>
      </c>
      <c r="AD40" s="100">
        <f t="shared" si="16"/>
        <v>-0.02797565082</v>
      </c>
      <c r="AE40" s="28">
        <v>78.73</v>
      </c>
      <c r="AF40" s="28">
        <v>134.76</v>
      </c>
    </row>
    <row r="41">
      <c r="D41" s="88">
        <v>7.15</v>
      </c>
      <c r="P41" s="110">
        <v>0.0</v>
      </c>
      <c r="AA41" s="49">
        <v>1164.0</v>
      </c>
      <c r="AB41" s="28">
        <v>76.05</v>
      </c>
      <c r="AC41" s="40">
        <f t="shared" si="15"/>
        <v>26.27</v>
      </c>
      <c r="AD41" s="100">
        <f t="shared" si="16"/>
        <v>-0.6545693623</v>
      </c>
      <c r="AE41" s="28">
        <v>78.25</v>
      </c>
      <c r="AF41" s="28">
        <v>-66.82</v>
      </c>
    </row>
    <row r="42">
      <c r="D42" s="88">
        <v>7.07</v>
      </c>
      <c r="P42" s="110">
        <v>2.0</v>
      </c>
      <c r="AA42" s="49">
        <v>1448.0</v>
      </c>
      <c r="AB42" s="28">
        <v>71.77</v>
      </c>
      <c r="AC42" s="40">
        <f t="shared" si="15"/>
        <v>39.69</v>
      </c>
      <c r="AD42" s="100">
        <f t="shared" si="16"/>
        <v>-0.4469834193</v>
      </c>
      <c r="AE42" s="28">
        <v>76.75</v>
      </c>
      <c r="AF42" s="28">
        <v>-3.93</v>
      </c>
    </row>
    <row r="43">
      <c r="C43" s="124"/>
      <c r="D43" s="88">
        <v>6.67</v>
      </c>
      <c r="P43" s="110">
        <v>1.0</v>
      </c>
      <c r="AA43" s="49">
        <v>1614.0</v>
      </c>
      <c r="AB43" s="28">
        <v>68.01</v>
      </c>
      <c r="AC43" s="40">
        <f t="shared" si="15"/>
        <v>67.42</v>
      </c>
      <c r="AD43" s="100">
        <f t="shared" si="16"/>
        <v>-0.008675194824</v>
      </c>
      <c r="AE43" s="28">
        <v>72.53</v>
      </c>
      <c r="AF43" s="28">
        <v>-12.29</v>
      </c>
    </row>
    <row r="44">
      <c r="C44" s="124"/>
      <c r="D44" s="88">
        <v>6.63</v>
      </c>
      <c r="P44" s="110">
        <v>2.0</v>
      </c>
      <c r="AB44" s="40">
        <f t="shared" ref="AB44:AD44" si="17">AVERAGE(AB29:AB43)</f>
        <v>106.338</v>
      </c>
      <c r="AC44" s="40">
        <f t="shared" si="17"/>
        <v>87.95266667</v>
      </c>
      <c r="AD44" s="100">
        <f t="shared" si="17"/>
        <v>-0.2009168941</v>
      </c>
      <c r="AE44" s="28">
        <v>70.47</v>
      </c>
      <c r="AF44" s="28">
        <v>373.65</v>
      </c>
    </row>
    <row r="45">
      <c r="C45" s="124"/>
      <c r="D45" s="88">
        <v>6.58</v>
      </c>
      <c r="P45" s="110">
        <v>1.0</v>
      </c>
      <c r="AE45" s="28">
        <v>69.71</v>
      </c>
      <c r="AF45" s="28">
        <v>-64.4</v>
      </c>
    </row>
    <row r="46" ht="15.0" customHeight="1">
      <c r="C46" s="124"/>
      <c r="D46" s="88">
        <v>6.53</v>
      </c>
      <c r="G46" s="125" t="s">
        <v>207</v>
      </c>
      <c r="H46" s="125" t="s">
        <v>208</v>
      </c>
      <c r="P46" s="110">
        <v>0.0</v>
      </c>
      <c r="AE46" s="28">
        <v>69.63</v>
      </c>
      <c r="AF46" s="28">
        <v>-60.86</v>
      </c>
    </row>
    <row r="47">
      <c r="C47" s="124"/>
      <c r="D47" s="88">
        <v>6.4</v>
      </c>
      <c r="G47" s="126" t="s">
        <v>58</v>
      </c>
      <c r="H47" s="127">
        <v>0.376453591155815</v>
      </c>
      <c r="P47" s="110">
        <v>2.0</v>
      </c>
      <c r="AA47" s="28" t="s">
        <v>3</v>
      </c>
      <c r="AB47" s="28" t="s">
        <v>199</v>
      </c>
      <c r="AE47" s="28">
        <v>67.98</v>
      </c>
      <c r="AF47" s="28">
        <v>104.85</v>
      </c>
    </row>
    <row r="48">
      <c r="C48" s="124"/>
      <c r="D48" s="88">
        <v>6.4</v>
      </c>
      <c r="G48" s="126" t="s">
        <v>57</v>
      </c>
      <c r="H48" s="127">
        <v>0.36678739680281</v>
      </c>
      <c r="J48" s="28" t="s">
        <v>209</v>
      </c>
      <c r="K48" s="100">
        <f>AVERAGE(H47:H51)</f>
        <v>0.326199044</v>
      </c>
      <c r="P48" s="110">
        <v>2.0</v>
      </c>
      <c r="AA48" s="28">
        <v>136.0</v>
      </c>
      <c r="AB48" s="28">
        <v>58.8</v>
      </c>
      <c r="AE48" s="28">
        <v>65.59</v>
      </c>
      <c r="AF48" s="28">
        <v>-43.48</v>
      </c>
    </row>
    <row r="49">
      <c r="C49" s="124"/>
      <c r="D49" s="88">
        <v>6.38</v>
      </c>
      <c r="G49" s="126" t="s">
        <v>48</v>
      </c>
      <c r="H49" s="127">
        <v>0.142870351877935</v>
      </c>
      <c r="J49" s="28" t="s">
        <v>210</v>
      </c>
      <c r="K49" s="100">
        <f>MEDIAN(H47:H51)</f>
        <v>0.3667873968</v>
      </c>
      <c r="P49" s="110">
        <v>1.0</v>
      </c>
      <c r="AA49" s="49">
        <v>1051.0</v>
      </c>
      <c r="AB49" s="28">
        <v>263.81</v>
      </c>
      <c r="AE49" s="28">
        <v>63.74</v>
      </c>
      <c r="AF49" s="28">
        <v>-13.96</v>
      </c>
    </row>
    <row r="50">
      <c r="C50" s="124"/>
      <c r="D50" s="88">
        <v>6.38</v>
      </c>
      <c r="G50" s="126" t="s">
        <v>49</v>
      </c>
      <c r="H50" s="127">
        <v>0.497437843674554</v>
      </c>
      <c r="J50" s="28" t="s">
        <v>211</v>
      </c>
      <c r="K50" s="100">
        <f>PERCENTILE(H47:H51,0.25)</f>
        <v>0.2474460363</v>
      </c>
      <c r="P50" s="110">
        <v>1.0</v>
      </c>
      <c r="AA50" s="28">
        <v>112.0</v>
      </c>
      <c r="AB50" s="28">
        <v>130.76</v>
      </c>
      <c r="AE50" s="28">
        <v>61.0</v>
      </c>
      <c r="AF50" s="28">
        <v>-77.71</v>
      </c>
    </row>
    <row r="51">
      <c r="C51" s="124"/>
      <c r="D51" s="88">
        <v>6.36</v>
      </c>
      <c r="G51" s="126" t="s">
        <v>45</v>
      </c>
      <c r="H51" s="127">
        <v>0.247446036291655</v>
      </c>
      <c r="J51" s="28" t="s">
        <v>212</v>
      </c>
      <c r="K51" s="100">
        <f>PERCENTILE(H47:H51,0.75)</f>
        <v>0.3764535912</v>
      </c>
      <c r="P51" s="110">
        <v>2.0</v>
      </c>
      <c r="AA51" s="49">
        <v>1545.0</v>
      </c>
      <c r="AB51" s="28">
        <v>101.16</v>
      </c>
      <c r="AE51" s="28">
        <v>59.79</v>
      </c>
      <c r="AF51" s="28">
        <v>-9.07</v>
      </c>
    </row>
    <row r="52">
      <c r="C52" s="124"/>
      <c r="D52" s="88">
        <v>6.35</v>
      </c>
      <c r="P52" s="110">
        <v>0.0</v>
      </c>
      <c r="AA52" s="49">
        <v>1447.0</v>
      </c>
      <c r="AB52" s="28">
        <v>138.76</v>
      </c>
      <c r="AE52" s="28">
        <v>59.39</v>
      </c>
      <c r="AF52" s="28">
        <v>-33.86</v>
      </c>
    </row>
    <row r="53">
      <c r="C53" s="124"/>
      <c r="D53" s="88">
        <v>6.22</v>
      </c>
      <c r="P53" s="110">
        <v>0.0</v>
      </c>
      <c r="AA53" s="49">
        <v>1426.0</v>
      </c>
      <c r="AB53" s="28">
        <v>68.02</v>
      </c>
      <c r="AE53" s="28">
        <v>58.59</v>
      </c>
      <c r="AF53" s="28">
        <v>-74.83</v>
      </c>
    </row>
    <row r="54">
      <c r="C54" s="124"/>
      <c r="D54" s="88">
        <v>6.16</v>
      </c>
      <c r="P54" s="110">
        <v>2.0</v>
      </c>
      <c r="AA54" s="49">
        <v>1475.0</v>
      </c>
      <c r="AB54" s="28">
        <v>83.5</v>
      </c>
      <c r="AE54" s="28">
        <v>49.75</v>
      </c>
      <c r="AF54" s="28">
        <v>149.15</v>
      </c>
    </row>
    <row r="55">
      <c r="C55" s="124"/>
      <c r="D55" s="88">
        <v>6.14</v>
      </c>
      <c r="P55" s="110">
        <v>0.0</v>
      </c>
      <c r="AA55" s="49">
        <v>1606.0</v>
      </c>
      <c r="AB55" s="28">
        <v>75.05</v>
      </c>
      <c r="AE55" s="28">
        <v>48.97</v>
      </c>
      <c r="AF55" s="28">
        <v>25.8</v>
      </c>
    </row>
    <row r="56">
      <c r="C56" s="124"/>
      <c r="D56" s="88">
        <v>6.08</v>
      </c>
      <c r="P56" s="110">
        <v>0.0</v>
      </c>
      <c r="AA56" s="49">
        <v>1614.0</v>
      </c>
      <c r="AB56" s="28">
        <v>67.42</v>
      </c>
      <c r="AE56" s="28">
        <v>48.13</v>
      </c>
      <c r="AF56" s="28">
        <v>108.9</v>
      </c>
    </row>
    <row r="57">
      <c r="C57" s="124"/>
      <c r="D57" s="88">
        <v>6.05</v>
      </c>
      <c r="P57" s="110">
        <v>2.0</v>
      </c>
      <c r="AA57" s="28">
        <v>814.0</v>
      </c>
      <c r="AB57" s="28">
        <v>60.31</v>
      </c>
      <c r="AE57" s="28">
        <v>47.34</v>
      </c>
      <c r="AF57" s="28">
        <v>135.05</v>
      </c>
    </row>
    <row r="58">
      <c r="C58" s="124"/>
      <c r="D58" s="88">
        <v>6.0</v>
      </c>
      <c r="G58" s="128" t="s">
        <v>213</v>
      </c>
      <c r="H58" s="129"/>
      <c r="P58" s="110">
        <v>1.0</v>
      </c>
      <c r="AA58" s="28">
        <v>752.0</v>
      </c>
      <c r="AB58" s="28">
        <v>78.68</v>
      </c>
      <c r="AE58" s="28">
        <v>47.21</v>
      </c>
      <c r="AF58" s="28">
        <v>125.02</v>
      </c>
    </row>
    <row r="59">
      <c r="C59" s="124"/>
      <c r="D59" s="88">
        <v>5.91</v>
      </c>
      <c r="G59" s="129"/>
      <c r="H59" s="130" t="s">
        <v>214</v>
      </c>
      <c r="P59" s="110">
        <v>0.0</v>
      </c>
      <c r="AA59" s="28">
        <v>952.0</v>
      </c>
      <c r="AB59" s="28">
        <v>73.76</v>
      </c>
      <c r="AE59" s="28">
        <v>45.51</v>
      </c>
      <c r="AF59" s="28">
        <v>1.46</v>
      </c>
    </row>
    <row r="60">
      <c r="C60" s="124"/>
      <c r="D60" s="88">
        <v>5.84</v>
      </c>
      <c r="G60" s="129"/>
      <c r="H60" s="130" t="s">
        <v>215</v>
      </c>
      <c r="P60" s="110">
        <v>2.0</v>
      </c>
      <c r="AA60" s="49">
        <v>1526.0</v>
      </c>
      <c r="AB60" s="28">
        <v>53.3</v>
      </c>
      <c r="AE60" s="28">
        <v>44.74</v>
      </c>
      <c r="AF60" s="28">
        <v>91.29</v>
      </c>
    </row>
    <row r="61">
      <c r="C61" s="124"/>
      <c r="D61" s="88">
        <v>5.84</v>
      </c>
      <c r="G61" s="129"/>
      <c r="H61" s="130" t="s">
        <v>216</v>
      </c>
      <c r="P61" s="110">
        <v>2.0</v>
      </c>
      <c r="AA61" s="49">
        <v>1448.0</v>
      </c>
      <c r="AB61" s="28">
        <v>39.69</v>
      </c>
      <c r="AE61" s="28">
        <v>44.45</v>
      </c>
      <c r="AF61" s="28">
        <v>-32.75</v>
      </c>
    </row>
    <row r="62">
      <c r="C62" s="124"/>
      <c r="D62" s="88">
        <v>5.81</v>
      </c>
      <c r="G62" s="129"/>
      <c r="H62" s="130" t="s">
        <v>217</v>
      </c>
      <c r="P62" s="110">
        <v>1.0</v>
      </c>
      <c r="AA62" s="49">
        <v>1164.0</v>
      </c>
      <c r="AB62" s="28">
        <v>26.27</v>
      </c>
      <c r="AE62" s="28">
        <v>43.57</v>
      </c>
      <c r="AF62" s="28">
        <v>-43.4</v>
      </c>
    </row>
    <row r="63">
      <c r="C63" s="124"/>
      <c r="D63" s="88">
        <v>5.81</v>
      </c>
      <c r="G63" s="129"/>
      <c r="H63" s="130" t="s">
        <v>218</v>
      </c>
      <c r="P63" s="110">
        <v>0.0</v>
      </c>
      <c r="AE63" s="28">
        <v>43.45</v>
      </c>
      <c r="AF63" s="28">
        <v>-44.18</v>
      </c>
    </row>
    <row r="64">
      <c r="C64" s="124"/>
      <c r="D64" s="88">
        <v>5.75</v>
      </c>
      <c r="P64" s="110">
        <v>1.0</v>
      </c>
      <c r="AE64" s="28">
        <v>43.36</v>
      </c>
      <c r="AF64" s="28">
        <v>-27.6</v>
      </c>
    </row>
    <row r="65">
      <c r="C65" s="124"/>
      <c r="D65" s="88">
        <v>5.65</v>
      </c>
      <c r="P65" s="110">
        <v>2.0</v>
      </c>
      <c r="AE65" s="28">
        <v>42.74</v>
      </c>
      <c r="AF65" s="28">
        <v>-59.18</v>
      </c>
    </row>
    <row r="66">
      <c r="C66" s="124"/>
      <c r="D66" s="88">
        <v>5.54</v>
      </c>
      <c r="P66" s="110">
        <v>0.0</v>
      </c>
      <c r="AE66" s="28">
        <v>42.18</v>
      </c>
      <c r="AF66" s="28">
        <v>-37.16</v>
      </c>
    </row>
    <row r="67">
      <c r="C67" s="124"/>
      <c r="D67" s="88">
        <v>5.26</v>
      </c>
      <c r="P67" s="110">
        <v>0.0</v>
      </c>
      <c r="AE67" s="28">
        <v>40.68</v>
      </c>
      <c r="AF67" s="28">
        <v>223.42</v>
      </c>
    </row>
    <row r="68">
      <c r="C68" s="124"/>
      <c r="D68" s="88">
        <v>5.1</v>
      </c>
      <c r="P68" s="110">
        <v>1.0</v>
      </c>
      <c r="AE68" s="28">
        <v>39.22</v>
      </c>
      <c r="AF68" s="28">
        <v>-20.09</v>
      </c>
    </row>
    <row r="69">
      <c r="C69" s="124"/>
      <c r="D69" s="88">
        <v>5.08</v>
      </c>
      <c r="P69" s="110">
        <v>2.0</v>
      </c>
      <c r="AE69" s="28">
        <v>38.29</v>
      </c>
      <c r="AF69" s="28">
        <v>-64.28</v>
      </c>
    </row>
    <row r="70">
      <c r="C70" s="124"/>
      <c r="D70" s="88">
        <v>4.9</v>
      </c>
      <c r="P70" s="110">
        <v>1.0</v>
      </c>
      <c r="AE70" s="28">
        <v>37.04</v>
      </c>
      <c r="AF70" s="28">
        <v>-46.65</v>
      </c>
    </row>
    <row r="71">
      <c r="C71" s="124"/>
      <c r="D71" s="88">
        <v>4.62</v>
      </c>
      <c r="F71" s="131"/>
      <c r="P71" s="110">
        <v>1.0</v>
      </c>
      <c r="AE71" s="28">
        <v>35.75</v>
      </c>
      <c r="AF71" s="28">
        <v>19.5</v>
      </c>
    </row>
    <row r="72">
      <c r="C72" s="124"/>
      <c r="D72" s="88">
        <v>4.54</v>
      </c>
      <c r="P72" s="110">
        <v>0.0</v>
      </c>
      <c r="AE72" s="28">
        <v>34.32</v>
      </c>
      <c r="AF72" s="28">
        <v>-73.73</v>
      </c>
    </row>
    <row r="73">
      <c r="C73" s="124"/>
      <c r="D73" s="88">
        <v>4.53</v>
      </c>
      <c r="P73" s="110">
        <v>1.0</v>
      </c>
      <c r="AE73" s="28">
        <v>34.22</v>
      </c>
      <c r="AF73" s="28">
        <v>-18.66</v>
      </c>
    </row>
    <row r="74">
      <c r="C74" s="124"/>
      <c r="D74" s="88">
        <v>4.51</v>
      </c>
      <c r="P74" s="110">
        <v>0.0</v>
      </c>
      <c r="AE74" s="28">
        <v>33.52</v>
      </c>
      <c r="AF74" s="28">
        <v>-40.62</v>
      </c>
    </row>
    <row r="75">
      <c r="C75" s="124"/>
      <c r="D75" s="88">
        <v>4.5</v>
      </c>
      <c r="P75" s="110">
        <v>1.0</v>
      </c>
      <c r="AE75" s="28">
        <v>33.35</v>
      </c>
      <c r="AF75" s="28">
        <v>-47.6</v>
      </c>
    </row>
    <row r="76">
      <c r="C76" s="124"/>
      <c r="D76" s="88">
        <v>4.26</v>
      </c>
      <c r="P76" s="110">
        <v>0.0</v>
      </c>
      <c r="AE76" s="28">
        <v>32.76</v>
      </c>
      <c r="AF76" s="28">
        <v>-24.49</v>
      </c>
    </row>
    <row r="77">
      <c r="C77" s="124"/>
      <c r="D77" s="88">
        <v>4.19</v>
      </c>
      <c r="P77" s="110">
        <v>0.0</v>
      </c>
      <c r="AE77" s="28">
        <v>31.4</v>
      </c>
      <c r="AF77" s="28">
        <v>-35.28</v>
      </c>
    </row>
    <row r="78">
      <c r="C78" s="124"/>
      <c r="D78" s="88">
        <v>3.85</v>
      </c>
      <c r="P78" s="110">
        <v>1.0</v>
      </c>
      <c r="AE78" s="28">
        <v>30.17</v>
      </c>
      <c r="AF78" s="28">
        <v>-70.08</v>
      </c>
    </row>
    <row r="79">
      <c r="C79" s="124"/>
      <c r="D79" s="88">
        <v>2.91</v>
      </c>
      <c r="P79" s="110">
        <v>2.0</v>
      </c>
      <c r="AE79" s="28">
        <v>29.4</v>
      </c>
      <c r="AF79" s="28">
        <v>-10.36</v>
      </c>
    </row>
    <row r="80">
      <c r="C80" s="124"/>
      <c r="D80" s="88">
        <v>2.63</v>
      </c>
      <c r="P80" s="110">
        <v>1.0</v>
      </c>
      <c r="AE80" s="28">
        <v>28.21</v>
      </c>
      <c r="AF80" s="28">
        <v>-31.91</v>
      </c>
    </row>
    <row r="81">
      <c r="C81" s="124"/>
      <c r="D81" s="88">
        <v>2.56</v>
      </c>
      <c r="P81" s="110">
        <v>2.0</v>
      </c>
      <c r="AE81" s="28">
        <v>26.36</v>
      </c>
      <c r="AF81" s="28">
        <v>-55.82</v>
      </c>
    </row>
    <row r="82">
      <c r="C82" s="124"/>
      <c r="D82" s="88">
        <v>2.43</v>
      </c>
      <c r="P82" s="110">
        <v>1.0</v>
      </c>
      <c r="AE82" s="28">
        <v>25.78</v>
      </c>
      <c r="AF82" s="28">
        <v>9.54</v>
      </c>
    </row>
    <row r="83">
      <c r="C83" s="124"/>
      <c r="D83" s="88">
        <v>2.36</v>
      </c>
      <c r="P83" s="110">
        <v>0.0</v>
      </c>
      <c r="AE83" s="28">
        <v>23.92</v>
      </c>
      <c r="AF83" s="28">
        <v>40.59</v>
      </c>
    </row>
    <row r="84">
      <c r="C84" s="124"/>
      <c r="D84" s="88">
        <v>1.95</v>
      </c>
      <c r="P84" s="110">
        <v>1.0</v>
      </c>
      <c r="AE84" s="28">
        <v>22.79</v>
      </c>
      <c r="AF84" s="28">
        <v>-71.84</v>
      </c>
    </row>
    <row r="85">
      <c r="C85" s="124"/>
      <c r="D85" s="88">
        <v>1.79</v>
      </c>
      <c r="P85" s="110">
        <v>0.0</v>
      </c>
      <c r="AE85" s="28">
        <v>21.0</v>
      </c>
      <c r="AF85" s="28">
        <v>-59.22</v>
      </c>
    </row>
    <row r="86">
      <c r="C86" s="124"/>
      <c r="D86" s="88">
        <v>1.49</v>
      </c>
      <c r="P86" s="110">
        <v>0.0</v>
      </c>
      <c r="AE86" s="28">
        <v>20.94</v>
      </c>
      <c r="AF86" s="28">
        <v>-71.78</v>
      </c>
    </row>
    <row r="87">
      <c r="C87" s="124"/>
      <c r="D87" s="88">
        <v>1.24</v>
      </c>
      <c r="P87" s="110">
        <v>1.0</v>
      </c>
      <c r="AE87" s="28">
        <v>20.55</v>
      </c>
      <c r="AF87" s="28">
        <v>-77.85</v>
      </c>
    </row>
    <row r="88">
      <c r="C88" s="124"/>
      <c r="D88" s="88">
        <v>1.08</v>
      </c>
      <c r="P88" s="110">
        <v>2.0</v>
      </c>
      <c r="AE88" s="28">
        <v>17.74</v>
      </c>
      <c r="AF88" s="28">
        <v>13.18</v>
      </c>
    </row>
    <row r="89">
      <c r="C89" s="124"/>
      <c r="D89" s="88">
        <v>1.05</v>
      </c>
      <c r="P89" s="110">
        <v>2.0</v>
      </c>
      <c r="AE89" s="28">
        <v>17.33</v>
      </c>
      <c r="AF89" s="28">
        <v>16.81</v>
      </c>
    </row>
    <row r="90">
      <c r="C90" s="124"/>
      <c r="D90" s="88">
        <v>0.1</v>
      </c>
      <c r="P90" s="110">
        <v>1.0</v>
      </c>
      <c r="AE90" s="28">
        <v>16.85</v>
      </c>
      <c r="AF90" s="28">
        <v>-50.81</v>
      </c>
    </row>
    <row r="91">
      <c r="C91" s="124"/>
      <c r="D91" s="88"/>
      <c r="P91" s="110">
        <v>1.0</v>
      </c>
      <c r="AE91" s="28">
        <v>16.11</v>
      </c>
      <c r="AF91" s="28">
        <v>-52.86</v>
      </c>
    </row>
    <row r="92">
      <c r="C92" s="124"/>
      <c r="D92" s="88"/>
      <c r="P92" s="110">
        <v>2.0</v>
      </c>
      <c r="AE92" s="28">
        <v>16.08</v>
      </c>
      <c r="AF92" s="28">
        <v>80.01</v>
      </c>
    </row>
    <row r="93">
      <c r="C93" s="124"/>
      <c r="D93" s="88"/>
      <c r="P93" s="110">
        <v>0.0</v>
      </c>
      <c r="AE93" s="28">
        <v>15.84</v>
      </c>
      <c r="AF93" s="28">
        <v>-77.3</v>
      </c>
    </row>
    <row r="94">
      <c r="C94" s="124"/>
      <c r="D94" s="88"/>
      <c r="P94" s="110">
        <v>0.0</v>
      </c>
      <c r="AE94" s="28">
        <v>14.26</v>
      </c>
      <c r="AF94" s="28">
        <v>40.11</v>
      </c>
    </row>
    <row r="95">
      <c r="C95" s="124"/>
      <c r="D95" s="88"/>
      <c r="P95" s="110">
        <v>1.0</v>
      </c>
      <c r="AE95" s="28">
        <v>14.03</v>
      </c>
      <c r="AF95" s="28">
        <v>-4.79</v>
      </c>
    </row>
    <row r="96">
      <c r="C96" s="124"/>
      <c r="D96" s="88"/>
      <c r="P96" s="110">
        <v>2.0</v>
      </c>
      <c r="AE96" s="28">
        <v>12.81</v>
      </c>
      <c r="AF96" s="28">
        <v>18.57</v>
      </c>
    </row>
    <row r="97">
      <c r="C97" s="124"/>
      <c r="D97" s="88"/>
      <c r="P97" s="110">
        <v>0.0</v>
      </c>
      <c r="AE97" s="28">
        <v>12.67</v>
      </c>
      <c r="AF97" s="28">
        <v>-30.26</v>
      </c>
    </row>
    <row r="98">
      <c r="C98" s="124"/>
      <c r="D98" s="88"/>
      <c r="P98" s="110">
        <v>2.0</v>
      </c>
      <c r="AE98" s="28">
        <v>12.56</v>
      </c>
      <c r="AF98" s="28">
        <v>-41.83</v>
      </c>
    </row>
    <row r="99">
      <c r="C99" s="124"/>
      <c r="D99" s="88"/>
      <c r="P99" s="110">
        <v>2.0</v>
      </c>
      <c r="AE99" s="28">
        <v>12.05</v>
      </c>
      <c r="AF99" s="28">
        <v>-26.54</v>
      </c>
    </row>
    <row r="100">
      <c r="C100" s="124"/>
      <c r="D100" s="88"/>
      <c r="P100" s="110">
        <v>2.0</v>
      </c>
      <c r="AE100" s="28">
        <v>11.89</v>
      </c>
      <c r="AF100" s="28">
        <v>165.95</v>
      </c>
    </row>
    <row r="101">
      <c r="C101" s="124"/>
      <c r="D101" s="88"/>
      <c r="P101" s="110">
        <v>2.0</v>
      </c>
      <c r="AE101" s="28">
        <v>11.24</v>
      </c>
      <c r="AF101" s="28">
        <v>-30.28</v>
      </c>
    </row>
    <row r="102">
      <c r="C102" s="124"/>
      <c r="D102" s="88"/>
      <c r="P102" s="110">
        <v>2.0</v>
      </c>
      <c r="AE102" s="28">
        <v>10.65</v>
      </c>
      <c r="AF102" s="28">
        <v>-65.29</v>
      </c>
    </row>
    <row r="103">
      <c r="C103" s="124"/>
      <c r="D103" s="88"/>
      <c r="P103" s="110">
        <v>1.0</v>
      </c>
      <c r="AE103" s="28">
        <v>10.35</v>
      </c>
      <c r="AF103" s="28">
        <v>70.73</v>
      </c>
    </row>
    <row r="104">
      <c r="C104" s="124"/>
      <c r="D104" s="88"/>
      <c r="N104" s="132"/>
      <c r="P104" s="110">
        <v>0.0</v>
      </c>
      <c r="AE104" s="28">
        <v>10.0</v>
      </c>
      <c r="AF104" s="28">
        <v>220.63</v>
      </c>
    </row>
    <row r="105">
      <c r="C105" s="124"/>
      <c r="D105" s="88"/>
      <c r="N105" s="17"/>
      <c r="P105" s="110">
        <v>1.0</v>
      </c>
      <c r="AE105" s="28">
        <v>9.99</v>
      </c>
      <c r="AF105" s="28">
        <v>-12.98</v>
      </c>
    </row>
    <row r="106">
      <c r="C106" s="124"/>
      <c r="D106" s="88"/>
      <c r="N106" s="17"/>
      <c r="P106" s="110">
        <v>1.0</v>
      </c>
      <c r="AE106" s="28">
        <v>9.06</v>
      </c>
      <c r="AF106" s="28">
        <v>-12.6</v>
      </c>
    </row>
    <row r="107">
      <c r="C107" s="124"/>
      <c r="D107" s="88"/>
      <c r="N107" s="17"/>
      <c r="P107" s="110">
        <v>2.0</v>
      </c>
      <c r="AE107" s="28">
        <v>8.33</v>
      </c>
      <c r="AF107" s="28">
        <v>13.05</v>
      </c>
    </row>
    <row r="108">
      <c r="C108" s="124"/>
      <c r="D108" s="88"/>
      <c r="N108" s="17"/>
      <c r="P108" s="110">
        <v>1.0</v>
      </c>
      <c r="AE108" s="28">
        <v>6.24</v>
      </c>
      <c r="AF108" s="28">
        <v>-65.22</v>
      </c>
    </row>
    <row r="109">
      <c r="C109" s="124"/>
      <c r="D109" s="88"/>
      <c r="N109" s="17"/>
      <c r="P109" s="110">
        <v>2.0</v>
      </c>
      <c r="AE109" s="28">
        <v>6.02</v>
      </c>
      <c r="AF109" s="28">
        <v>-78.32</v>
      </c>
    </row>
    <row r="110">
      <c r="C110" s="124"/>
      <c r="D110" s="88"/>
      <c r="N110" s="17"/>
      <c r="P110" s="110">
        <v>1.0</v>
      </c>
      <c r="AE110" s="28">
        <v>5.63</v>
      </c>
      <c r="AF110" s="28">
        <v>-27.58</v>
      </c>
    </row>
    <row r="111">
      <c r="C111" s="124"/>
      <c r="D111" s="88"/>
      <c r="N111" s="17"/>
      <c r="P111" s="110">
        <v>2.0</v>
      </c>
      <c r="AE111" s="28">
        <v>5.1</v>
      </c>
      <c r="AF111" s="28">
        <v>57.46</v>
      </c>
    </row>
    <row r="112">
      <c r="C112" s="124"/>
      <c r="D112" s="88"/>
      <c r="P112" s="110">
        <v>1.0</v>
      </c>
      <c r="AE112" s="28">
        <v>4.34</v>
      </c>
      <c r="AF112" s="28">
        <v>-29.66</v>
      </c>
    </row>
    <row r="113">
      <c r="C113" s="124"/>
      <c r="D113" s="88"/>
      <c r="P113" s="110">
        <v>0.0</v>
      </c>
      <c r="AE113" s="28">
        <v>3.56</v>
      </c>
      <c r="AF113" s="28">
        <v>-31.38</v>
      </c>
    </row>
    <row r="114">
      <c r="C114" s="124"/>
      <c r="D114" s="88"/>
      <c r="P114" s="110">
        <v>1.0</v>
      </c>
      <c r="AE114" s="28">
        <v>3.15</v>
      </c>
      <c r="AF114" s="28">
        <v>21.65</v>
      </c>
    </row>
    <row r="115">
      <c r="C115" s="124"/>
      <c r="D115" s="88"/>
      <c r="P115" s="110">
        <v>1.0</v>
      </c>
      <c r="AE115" s="28">
        <v>3.11</v>
      </c>
      <c r="AF115" s="28">
        <v>-34.68</v>
      </c>
    </row>
    <row r="116">
      <c r="C116" s="124"/>
      <c r="D116" s="88"/>
      <c r="P116" s="110">
        <v>1.0</v>
      </c>
      <c r="AE116" s="28">
        <v>1.32</v>
      </c>
      <c r="AF116" s="28">
        <v>25.47</v>
      </c>
    </row>
    <row r="117">
      <c r="C117" s="124"/>
      <c r="D117" s="88"/>
      <c r="P117" s="133"/>
      <c r="AE117" s="28">
        <v>0.88</v>
      </c>
      <c r="AF117" s="28">
        <v>-52.33</v>
      </c>
    </row>
    <row r="118">
      <c r="C118" s="124"/>
      <c r="D118" s="88"/>
      <c r="P118" s="133"/>
      <c r="AE118" s="28">
        <v>0.4</v>
      </c>
      <c r="AF118" s="28">
        <v>-16.42</v>
      </c>
    </row>
    <row r="119">
      <c r="C119" s="124"/>
      <c r="D119" s="88"/>
      <c r="P119" s="133"/>
      <c r="AE119" s="28">
        <v>0.22</v>
      </c>
      <c r="AF119" s="28">
        <v>22.39</v>
      </c>
    </row>
    <row r="120">
      <c r="C120" s="124"/>
      <c r="D120" s="88"/>
      <c r="P120" s="133"/>
      <c r="AE120" s="28">
        <v>0.13</v>
      </c>
      <c r="AF120" s="28">
        <v>-16.88</v>
      </c>
    </row>
    <row r="121">
      <c r="C121" s="124"/>
      <c r="D121" s="88"/>
      <c r="P121" s="133"/>
      <c r="AE121" s="28">
        <v>-0.43</v>
      </c>
      <c r="AF121" s="28">
        <v>48.74</v>
      </c>
    </row>
    <row r="122">
      <c r="C122" s="124"/>
      <c r="D122" s="88"/>
      <c r="P122" s="133"/>
      <c r="AE122" s="28">
        <v>-0.45</v>
      </c>
      <c r="AF122" s="28">
        <v>4.32</v>
      </c>
    </row>
    <row r="123">
      <c r="C123" s="124"/>
      <c r="D123" s="88"/>
      <c r="P123" s="133"/>
      <c r="AE123" s="28">
        <v>-1.63</v>
      </c>
      <c r="AF123" s="28">
        <v>-35.85</v>
      </c>
    </row>
    <row r="124">
      <c r="C124" s="124"/>
      <c r="D124" s="88"/>
      <c r="P124" s="133"/>
      <c r="AE124" s="28">
        <v>-1.73</v>
      </c>
      <c r="AF124" s="28">
        <v>-38.06</v>
      </c>
    </row>
    <row r="125">
      <c r="C125" s="124"/>
      <c r="D125" s="88"/>
      <c r="P125" s="133"/>
      <c r="AE125" s="28">
        <v>-2.37</v>
      </c>
      <c r="AF125" s="28">
        <v>-50.44</v>
      </c>
    </row>
    <row r="126">
      <c r="C126" s="124"/>
      <c r="D126" s="88"/>
      <c r="P126" s="133"/>
      <c r="AE126" s="28">
        <v>-3.35</v>
      </c>
      <c r="AF126" s="28">
        <v>-36.07</v>
      </c>
    </row>
    <row r="127">
      <c r="C127" s="124"/>
      <c r="D127" s="88"/>
      <c r="P127" s="133"/>
      <c r="AE127" s="28">
        <v>-4.4</v>
      </c>
      <c r="AF127" s="28">
        <v>-53.6</v>
      </c>
    </row>
    <row r="128">
      <c r="C128" s="124"/>
      <c r="D128" s="88"/>
      <c r="P128" s="133"/>
      <c r="AE128" s="28">
        <v>-4.49</v>
      </c>
      <c r="AF128" s="28">
        <v>-9.17</v>
      </c>
    </row>
    <row r="129">
      <c r="C129" s="124"/>
      <c r="D129" s="88"/>
      <c r="P129" s="133"/>
      <c r="AE129" s="28">
        <v>-4.55</v>
      </c>
      <c r="AF129" s="28">
        <v>-72.49</v>
      </c>
    </row>
    <row r="130">
      <c r="C130" s="124"/>
      <c r="D130" s="88"/>
      <c r="P130" s="133"/>
      <c r="AE130" s="28">
        <v>-4.8</v>
      </c>
      <c r="AF130" s="28">
        <v>-63.2</v>
      </c>
    </row>
    <row r="131">
      <c r="C131" s="124"/>
      <c r="D131" s="88"/>
      <c r="P131" s="133"/>
      <c r="AE131" s="28">
        <v>-5.33</v>
      </c>
      <c r="AF131" s="28">
        <v>-64.97</v>
      </c>
    </row>
    <row r="132">
      <c r="C132" s="124"/>
      <c r="D132" s="88"/>
      <c r="P132" s="133"/>
      <c r="AE132" s="28">
        <v>-5.45</v>
      </c>
      <c r="AF132" s="28">
        <v>-37.11</v>
      </c>
    </row>
    <row r="133">
      <c r="C133" s="124"/>
      <c r="D133" s="88"/>
      <c r="P133" s="133"/>
      <c r="AE133" s="28">
        <v>-5.64</v>
      </c>
      <c r="AF133" s="28">
        <v>-77.37</v>
      </c>
    </row>
    <row r="134">
      <c r="C134" s="124"/>
      <c r="D134" s="88"/>
      <c r="P134" s="133"/>
      <c r="AE134" s="28">
        <v>-6.39</v>
      </c>
      <c r="AF134" s="28">
        <v>-37.53</v>
      </c>
    </row>
    <row r="135">
      <c r="C135" s="124"/>
      <c r="D135" s="88"/>
      <c r="P135" s="133"/>
      <c r="AE135" s="28">
        <v>-6.39</v>
      </c>
      <c r="AF135" s="28">
        <v>-42.67</v>
      </c>
    </row>
    <row r="136">
      <c r="C136" s="124"/>
      <c r="D136" s="88"/>
      <c r="P136" s="133"/>
      <c r="AE136" s="28">
        <v>-6.49</v>
      </c>
      <c r="AF136" s="28">
        <v>-77.65</v>
      </c>
    </row>
    <row r="137">
      <c r="C137" s="124"/>
      <c r="D137" s="88"/>
      <c r="P137" s="133"/>
      <c r="AE137" s="28">
        <v>-7.0</v>
      </c>
      <c r="AF137" s="28">
        <v>246.78</v>
      </c>
    </row>
    <row r="138">
      <c r="C138" s="124"/>
      <c r="D138" s="88"/>
      <c r="P138" s="133"/>
      <c r="AE138" s="28">
        <v>-7.1</v>
      </c>
      <c r="AF138" s="28">
        <v>-58.91</v>
      </c>
    </row>
    <row r="139">
      <c r="C139" s="124"/>
      <c r="D139" s="88"/>
      <c r="P139" s="133"/>
      <c r="AE139" s="28">
        <v>-7.87</v>
      </c>
      <c r="AF139" s="28">
        <v>14.6</v>
      </c>
    </row>
    <row r="140">
      <c r="C140" s="124"/>
      <c r="D140" s="88"/>
      <c r="H140" s="28">
        <v>49.0</v>
      </c>
      <c r="J140" s="28">
        <v>0.51</v>
      </c>
      <c r="K140" s="28">
        <v>46.0</v>
      </c>
      <c r="P140" s="133"/>
      <c r="AE140" s="28">
        <v>-8.38</v>
      </c>
      <c r="AF140" s="28">
        <v>47.86</v>
      </c>
    </row>
    <row r="141">
      <c r="C141" s="124"/>
      <c r="D141" s="88"/>
      <c r="H141" s="28">
        <v>43.0</v>
      </c>
      <c r="J141" s="28">
        <v>0.55</v>
      </c>
      <c r="K141" s="28">
        <v>43.0</v>
      </c>
      <c r="P141" s="133"/>
      <c r="AE141" s="28">
        <v>-8.52</v>
      </c>
      <c r="AF141" s="28">
        <v>-34.49</v>
      </c>
    </row>
    <row r="142">
      <c r="C142" s="124"/>
      <c r="D142" s="88"/>
      <c r="H142" s="28">
        <v>42.0</v>
      </c>
      <c r="J142" s="28">
        <v>0.46</v>
      </c>
      <c r="K142" s="28">
        <v>42.0</v>
      </c>
      <c r="P142" s="133"/>
      <c r="AE142" s="28">
        <v>-8.91</v>
      </c>
      <c r="AF142" s="28">
        <v>-31.97</v>
      </c>
    </row>
    <row r="143">
      <c r="C143" s="124"/>
      <c r="D143" s="88"/>
      <c r="H143" s="28">
        <v>45.0</v>
      </c>
      <c r="J143" s="28">
        <v>0.45</v>
      </c>
      <c r="K143" s="28">
        <v>49.0</v>
      </c>
      <c r="P143" s="133"/>
      <c r="AE143" s="28">
        <v>-9.25</v>
      </c>
      <c r="AF143" s="28">
        <v>-1.25</v>
      </c>
    </row>
    <row r="144">
      <c r="C144" s="124"/>
      <c r="D144" s="88"/>
      <c r="H144" s="28">
        <v>44.0</v>
      </c>
      <c r="J144" s="28">
        <v>0.5</v>
      </c>
      <c r="K144" s="28">
        <v>45.0</v>
      </c>
      <c r="P144" s="133"/>
      <c r="AE144" s="28">
        <v>-9.49</v>
      </c>
      <c r="AF144" s="28">
        <v>140.19</v>
      </c>
    </row>
    <row r="145">
      <c r="C145" s="124"/>
      <c r="D145" s="88"/>
      <c r="H145" s="28">
        <v>42.0</v>
      </c>
      <c r="J145" s="28">
        <v>0.51</v>
      </c>
      <c r="K145" s="28">
        <v>43.0</v>
      </c>
      <c r="P145" s="133"/>
      <c r="AE145" s="28">
        <v>-10.38</v>
      </c>
      <c r="AF145" s="28">
        <v>-70.08</v>
      </c>
    </row>
    <row r="146">
      <c r="C146" s="124"/>
      <c r="D146" s="88"/>
      <c r="H146" s="28">
        <v>46.0</v>
      </c>
      <c r="J146" s="28">
        <v>0.53</v>
      </c>
      <c r="K146" s="28">
        <v>44.0</v>
      </c>
      <c r="P146" s="133"/>
      <c r="AE146" s="28">
        <v>-11.11</v>
      </c>
      <c r="AF146" s="28">
        <v>-29.17</v>
      </c>
    </row>
    <row r="147">
      <c r="C147" s="124"/>
      <c r="D147" s="88"/>
      <c r="H147" s="28">
        <v>48.0</v>
      </c>
      <c r="J147" s="28">
        <v>0.45</v>
      </c>
      <c r="K147" s="28">
        <v>51.0</v>
      </c>
      <c r="P147" s="133"/>
      <c r="AE147" s="28">
        <v>-11.31</v>
      </c>
      <c r="AF147" s="28">
        <v>-1.59</v>
      </c>
    </row>
    <row r="148">
      <c r="C148" s="124"/>
      <c r="D148" s="88"/>
      <c r="H148" s="28">
        <v>47.0</v>
      </c>
      <c r="J148" s="28">
        <v>0.48</v>
      </c>
      <c r="K148" s="28">
        <v>42.0</v>
      </c>
      <c r="P148" s="133"/>
      <c r="AE148" s="28">
        <v>-11.41</v>
      </c>
      <c r="AF148" s="28">
        <v>-48.72</v>
      </c>
    </row>
    <row r="149">
      <c r="C149" s="124"/>
      <c r="D149" s="88"/>
      <c r="H149" s="28">
        <v>48.0</v>
      </c>
      <c r="J149" s="28">
        <v>0.53</v>
      </c>
      <c r="K149" s="28">
        <v>47.0</v>
      </c>
      <c r="P149" s="133"/>
      <c r="AE149" s="28">
        <v>-11.67</v>
      </c>
      <c r="AF149" s="28">
        <v>-27.82</v>
      </c>
    </row>
    <row r="150">
      <c r="C150" s="124"/>
      <c r="D150" s="88"/>
      <c r="H150" s="28">
        <v>47.0</v>
      </c>
      <c r="J150" s="28">
        <v>0.47</v>
      </c>
      <c r="K150" s="28">
        <v>45.0</v>
      </c>
      <c r="P150" s="133"/>
      <c r="AE150" s="28">
        <v>-11.86</v>
      </c>
      <c r="AF150" s="28">
        <v>-28.76</v>
      </c>
    </row>
    <row r="151">
      <c r="C151" s="124"/>
      <c r="D151" s="88"/>
      <c r="H151" s="28">
        <v>49.0</v>
      </c>
      <c r="J151" s="28">
        <v>0.52</v>
      </c>
      <c r="K151" s="28">
        <v>47.0</v>
      </c>
      <c r="P151" s="133"/>
      <c r="AE151" s="28">
        <v>-12.07</v>
      </c>
      <c r="AF151" s="28">
        <v>-67.17</v>
      </c>
    </row>
    <row r="152">
      <c r="C152" s="124"/>
      <c r="D152" s="88"/>
      <c r="H152" s="28">
        <v>42.0</v>
      </c>
      <c r="J152" s="28">
        <v>0.46</v>
      </c>
      <c r="K152" s="28">
        <v>46.0</v>
      </c>
      <c r="P152" s="133"/>
      <c r="AE152" s="28">
        <v>-12.12</v>
      </c>
      <c r="AF152" s="28">
        <v>-27.06</v>
      </c>
    </row>
    <row r="153">
      <c r="C153" s="124"/>
      <c r="D153" s="88"/>
      <c r="H153" s="28">
        <v>48.0</v>
      </c>
      <c r="J153" s="28">
        <v>0.46</v>
      </c>
      <c r="K153" s="28">
        <v>47.0</v>
      </c>
      <c r="P153" s="133"/>
      <c r="AE153" s="28">
        <v>-12.47</v>
      </c>
      <c r="AF153" s="28">
        <v>-27.93</v>
      </c>
    </row>
    <row r="154">
      <c r="C154" s="124"/>
      <c r="D154" s="88"/>
      <c r="H154" s="28">
        <v>48.0</v>
      </c>
      <c r="J154" s="28">
        <v>0.5</v>
      </c>
      <c r="K154" s="28">
        <v>48.0</v>
      </c>
      <c r="P154" s="133"/>
      <c r="AE154" s="28">
        <v>-12.47</v>
      </c>
      <c r="AF154" s="28">
        <v>-67.04</v>
      </c>
    </row>
    <row r="155">
      <c r="C155" s="124"/>
      <c r="D155" s="88"/>
      <c r="H155" s="28">
        <v>42.0</v>
      </c>
      <c r="J155" s="28">
        <v>0.5</v>
      </c>
      <c r="K155" s="28">
        <v>48.0</v>
      </c>
      <c r="P155" s="133"/>
      <c r="AE155" s="28">
        <v>-12.85</v>
      </c>
      <c r="AF155" s="28">
        <v>187.78</v>
      </c>
    </row>
    <row r="156">
      <c r="C156" s="124"/>
      <c r="D156" s="88"/>
      <c r="H156" s="28">
        <v>46.0</v>
      </c>
      <c r="J156" s="28">
        <v>0.52</v>
      </c>
      <c r="K156" s="28">
        <v>46.0</v>
      </c>
      <c r="P156" s="133"/>
      <c r="AE156" s="28">
        <v>-13.35</v>
      </c>
      <c r="AF156" s="28">
        <v>75.39</v>
      </c>
    </row>
    <row r="157">
      <c r="C157" s="124"/>
      <c r="D157" s="88"/>
      <c r="H157" s="28">
        <v>43.0</v>
      </c>
      <c r="J157" s="28">
        <v>0.51</v>
      </c>
      <c r="K157" s="28">
        <v>49.0</v>
      </c>
      <c r="P157" s="133"/>
      <c r="AE157" s="28">
        <v>-13.4</v>
      </c>
      <c r="AF157" s="28">
        <v>-29.88</v>
      </c>
    </row>
    <row r="158">
      <c r="C158" s="124"/>
      <c r="D158" s="88"/>
      <c r="H158" s="28">
        <v>46.0</v>
      </c>
      <c r="J158" s="28">
        <v>0.53</v>
      </c>
      <c r="K158" s="28">
        <v>45.0</v>
      </c>
      <c r="P158" s="133"/>
      <c r="AE158" s="28">
        <v>-13.47</v>
      </c>
      <c r="AF158" s="28">
        <v>-31.06</v>
      </c>
    </row>
    <row r="159">
      <c r="C159" s="124"/>
      <c r="D159" s="88"/>
      <c r="H159" s="28">
        <v>44.0</v>
      </c>
      <c r="J159" s="28">
        <v>0.45</v>
      </c>
      <c r="K159" s="28">
        <v>48.0</v>
      </c>
      <c r="P159" s="133"/>
      <c r="AE159" s="28">
        <v>-13.47</v>
      </c>
      <c r="AF159" s="28">
        <v>-66.25</v>
      </c>
    </row>
    <row r="160">
      <c r="C160" s="124"/>
      <c r="D160" s="88"/>
      <c r="H160" s="28">
        <v>47.0</v>
      </c>
      <c r="J160" s="28">
        <v>0.52</v>
      </c>
      <c r="K160" s="28">
        <v>47.0</v>
      </c>
      <c r="P160" s="133"/>
      <c r="AE160" s="28">
        <v>-13.49</v>
      </c>
      <c r="AF160" s="28">
        <v>-20.78</v>
      </c>
    </row>
    <row r="161">
      <c r="C161" s="124"/>
      <c r="D161" s="88"/>
      <c r="H161" s="28">
        <v>50.0</v>
      </c>
      <c r="J161" s="28">
        <v>0.5</v>
      </c>
      <c r="K161" s="28">
        <v>47.0</v>
      </c>
      <c r="P161" s="133"/>
      <c r="AE161" s="28">
        <v>-13.6</v>
      </c>
      <c r="AF161" s="28">
        <v>-53.46</v>
      </c>
    </row>
    <row r="162">
      <c r="C162" s="124"/>
      <c r="D162" s="88"/>
      <c r="H162" s="28">
        <v>47.0</v>
      </c>
      <c r="J162" s="28">
        <v>0.52</v>
      </c>
      <c r="K162" s="28">
        <v>45.0</v>
      </c>
      <c r="P162" s="133"/>
      <c r="AE162" s="28">
        <v>-13.93</v>
      </c>
      <c r="AF162" s="28">
        <v>-14.25</v>
      </c>
    </row>
    <row r="163">
      <c r="C163" s="124"/>
      <c r="D163" s="88"/>
      <c r="H163" s="28">
        <v>46.0</v>
      </c>
      <c r="J163" s="28">
        <v>0.49</v>
      </c>
      <c r="K163" s="28">
        <v>44.0</v>
      </c>
      <c r="P163" s="133"/>
      <c r="AE163" s="28">
        <v>-14.03</v>
      </c>
      <c r="AF163" s="28">
        <v>-33.64</v>
      </c>
    </row>
    <row r="164">
      <c r="C164" s="124"/>
      <c r="D164" s="88"/>
      <c r="H164" s="28">
        <v>47.0</v>
      </c>
      <c r="J164" s="28">
        <v>0.52</v>
      </c>
      <c r="K164" s="28">
        <v>49.0</v>
      </c>
      <c r="P164" s="133"/>
      <c r="AE164" s="28">
        <v>-14.39</v>
      </c>
      <c r="AF164" s="28">
        <v>-73.99</v>
      </c>
    </row>
    <row r="165">
      <c r="C165" s="124"/>
      <c r="D165" s="88"/>
      <c r="H165" s="28">
        <v>44.0</v>
      </c>
      <c r="J165" s="28">
        <v>0.49</v>
      </c>
      <c r="K165" s="28">
        <v>45.0</v>
      </c>
      <c r="P165" s="133"/>
      <c r="AE165" s="28">
        <v>-14.41</v>
      </c>
      <c r="AF165" s="28">
        <v>-32.81</v>
      </c>
    </row>
    <row r="166">
      <c r="C166" s="124"/>
      <c r="D166" s="88"/>
      <c r="H166" s="28">
        <v>45.0</v>
      </c>
      <c r="J166" s="28">
        <v>0.51</v>
      </c>
      <c r="K166" s="28">
        <v>40.0</v>
      </c>
      <c r="P166" s="133"/>
      <c r="AE166" s="28">
        <v>-14.49</v>
      </c>
      <c r="AF166" s="28">
        <v>-38.55</v>
      </c>
    </row>
    <row r="167">
      <c r="C167" s="124"/>
      <c r="D167" s="88"/>
      <c r="H167" s="28">
        <v>39.0</v>
      </c>
      <c r="J167" s="28">
        <v>0.49</v>
      </c>
      <c r="K167" s="28">
        <v>44.0</v>
      </c>
      <c r="P167" s="133"/>
      <c r="AE167" s="28">
        <v>-14.53</v>
      </c>
      <c r="AF167" s="28">
        <v>-31.62</v>
      </c>
    </row>
    <row r="168">
      <c r="C168" s="124"/>
      <c r="D168" s="88"/>
      <c r="H168" s="28">
        <v>44.0</v>
      </c>
      <c r="J168" s="28">
        <v>0.5</v>
      </c>
      <c r="K168" s="28">
        <v>46.0</v>
      </c>
      <c r="P168" s="133"/>
      <c r="AE168" s="28">
        <v>-14.56</v>
      </c>
      <c r="AF168" s="28">
        <v>-47.41</v>
      </c>
    </row>
    <row r="169">
      <c r="C169" s="124"/>
      <c r="D169" s="88"/>
      <c r="H169" s="28">
        <v>46.0</v>
      </c>
      <c r="J169" s="28">
        <v>0.5</v>
      </c>
      <c r="K169" s="28">
        <v>44.0</v>
      </c>
      <c r="P169" s="133"/>
      <c r="AE169" s="28">
        <v>-14.86</v>
      </c>
      <c r="AF169" s="28">
        <v>-28.24</v>
      </c>
    </row>
    <row r="170">
      <c r="C170" s="124"/>
      <c r="D170" s="88"/>
      <c r="H170" s="28">
        <v>48.0</v>
      </c>
      <c r="J170" s="28">
        <v>0.5</v>
      </c>
      <c r="K170" s="28">
        <v>41.0</v>
      </c>
      <c r="P170" s="133"/>
      <c r="AE170" s="28">
        <v>-15.69</v>
      </c>
      <c r="AF170" s="28">
        <v>-36.03</v>
      </c>
    </row>
    <row r="171">
      <c r="C171" s="124"/>
      <c r="D171" s="88"/>
      <c r="H171" s="28">
        <v>45.0</v>
      </c>
      <c r="J171" s="28">
        <v>0.44</v>
      </c>
      <c r="K171" s="28">
        <v>50.0</v>
      </c>
      <c r="P171" s="133"/>
      <c r="AE171" s="28">
        <v>-16.02</v>
      </c>
      <c r="AF171" s="28">
        <v>-28.25</v>
      </c>
    </row>
    <row r="172">
      <c r="C172" s="124"/>
      <c r="D172" s="88"/>
      <c r="H172" s="28">
        <v>51.0</v>
      </c>
      <c r="J172" s="28">
        <v>0.49</v>
      </c>
      <c r="K172" s="28">
        <v>45.0</v>
      </c>
      <c r="P172" s="133"/>
      <c r="AE172" s="28">
        <v>-16.22</v>
      </c>
      <c r="AF172" s="28">
        <v>-31.3</v>
      </c>
    </row>
    <row r="173">
      <c r="C173" s="124"/>
      <c r="D173" s="88"/>
      <c r="H173" s="28">
        <v>46.0</v>
      </c>
      <c r="J173" s="28">
        <v>0.49</v>
      </c>
      <c r="K173" s="28">
        <v>47.0</v>
      </c>
      <c r="P173" s="133"/>
      <c r="AE173" s="28">
        <v>-16.72</v>
      </c>
      <c r="AF173" s="28">
        <v>100.69</v>
      </c>
    </row>
    <row r="174">
      <c r="C174" s="124"/>
      <c r="D174" s="88"/>
      <c r="H174" s="28">
        <v>46.0</v>
      </c>
      <c r="J174" s="28">
        <v>0.51</v>
      </c>
      <c r="K174" s="28">
        <v>45.0</v>
      </c>
      <c r="P174" s="133"/>
      <c r="AE174" s="28">
        <v>-16.94</v>
      </c>
      <c r="AF174" s="28">
        <v>-79.41</v>
      </c>
    </row>
    <row r="175">
      <c r="C175" s="124"/>
      <c r="D175" s="88"/>
      <c r="H175" s="28">
        <v>45.0</v>
      </c>
      <c r="J175" s="28">
        <v>0.48</v>
      </c>
      <c r="K175" s="28">
        <v>52.0</v>
      </c>
      <c r="P175" s="133"/>
      <c r="AE175" s="28">
        <v>-17.03</v>
      </c>
      <c r="AF175" s="28">
        <v>-54.77</v>
      </c>
    </row>
    <row r="176">
      <c r="C176" s="124"/>
      <c r="D176" s="88"/>
      <c r="H176" s="28">
        <v>44.0</v>
      </c>
      <c r="J176" s="28">
        <v>0.53</v>
      </c>
      <c r="K176" s="28">
        <v>44.0</v>
      </c>
      <c r="P176" s="133"/>
      <c r="AE176" s="28">
        <v>-17.79</v>
      </c>
      <c r="AF176" s="28">
        <v>-38.31</v>
      </c>
    </row>
    <row r="177">
      <c r="C177" s="124"/>
      <c r="D177" s="88"/>
      <c r="H177" s="28">
        <v>44.0</v>
      </c>
      <c r="J177" s="28">
        <v>0.48</v>
      </c>
      <c r="K177" s="28">
        <v>49.0</v>
      </c>
      <c r="P177" s="133"/>
      <c r="AE177" s="28">
        <v>-18.03</v>
      </c>
      <c r="AF177" s="28">
        <v>-31.74</v>
      </c>
    </row>
    <row r="178">
      <c r="C178" s="124"/>
      <c r="D178" s="88"/>
      <c r="H178" s="28">
        <v>46.0</v>
      </c>
      <c r="J178" s="28">
        <v>0.46</v>
      </c>
      <c r="K178" s="28">
        <v>45.0</v>
      </c>
      <c r="P178" s="133"/>
      <c r="AE178" s="28">
        <v>-18.15</v>
      </c>
      <c r="AF178" s="28">
        <v>-73.36</v>
      </c>
    </row>
    <row r="179">
      <c r="C179" s="124"/>
      <c r="D179" s="88"/>
      <c r="H179" s="28">
        <v>45.0</v>
      </c>
      <c r="J179" s="28">
        <v>0.49</v>
      </c>
      <c r="K179" s="28">
        <v>57.0</v>
      </c>
      <c r="P179" s="133"/>
      <c r="AE179" s="28">
        <v>-18.52</v>
      </c>
      <c r="AF179" s="28">
        <v>-31.9</v>
      </c>
    </row>
    <row r="180">
      <c r="C180" s="124"/>
      <c r="D180" s="88"/>
      <c r="H180" s="28">
        <v>46.0</v>
      </c>
      <c r="J180" s="28">
        <v>0.51</v>
      </c>
      <c r="K180" s="28">
        <v>49.0</v>
      </c>
      <c r="P180" s="133"/>
      <c r="AE180" s="28">
        <v>-19.3</v>
      </c>
      <c r="AF180" s="28">
        <v>-69.23</v>
      </c>
    </row>
    <row r="181">
      <c r="C181" s="124"/>
      <c r="D181" s="88"/>
      <c r="H181" s="28">
        <v>47.0</v>
      </c>
      <c r="J181" s="28">
        <v>0.51</v>
      </c>
      <c r="K181" s="28">
        <v>44.0</v>
      </c>
      <c r="P181" s="133"/>
      <c r="AE181" s="28">
        <v>-19.51</v>
      </c>
      <c r="AF181" s="28">
        <v>33.3</v>
      </c>
    </row>
    <row r="182">
      <c r="C182" s="124"/>
      <c r="D182" s="88"/>
      <c r="H182" s="28">
        <v>49.0</v>
      </c>
      <c r="J182" s="28">
        <v>0.51</v>
      </c>
      <c r="K182" s="28">
        <v>51.0</v>
      </c>
      <c r="P182" s="133"/>
      <c r="AE182" s="28">
        <v>-19.51</v>
      </c>
      <c r="AF182" s="28">
        <v>-44.45</v>
      </c>
    </row>
    <row r="183">
      <c r="C183" s="124"/>
      <c r="D183" s="88"/>
      <c r="H183" s="28">
        <v>49.0</v>
      </c>
      <c r="J183" s="28">
        <v>0.45</v>
      </c>
      <c r="K183" s="28">
        <v>52.0</v>
      </c>
      <c r="P183" s="133"/>
      <c r="AE183" s="28">
        <v>-19.53</v>
      </c>
      <c r="AF183" s="28">
        <v>-50.26</v>
      </c>
    </row>
    <row r="184">
      <c r="C184" s="124"/>
      <c r="D184" s="88"/>
      <c r="H184" s="28">
        <v>39.0</v>
      </c>
      <c r="J184" s="28">
        <v>0.59</v>
      </c>
      <c r="K184" s="28">
        <v>43.0</v>
      </c>
      <c r="P184" s="133"/>
      <c r="AE184" s="28">
        <v>-20.26</v>
      </c>
      <c r="AF184" s="28">
        <v>-33.98</v>
      </c>
    </row>
    <row r="185">
      <c r="C185" s="124"/>
      <c r="D185" s="88"/>
      <c r="H185" s="28">
        <v>54.0</v>
      </c>
      <c r="J185" s="28">
        <v>0.54</v>
      </c>
      <c r="K185" s="28">
        <v>39.0</v>
      </c>
      <c r="P185" s="133"/>
      <c r="AE185" s="28">
        <v>-20.26</v>
      </c>
      <c r="AF185" s="28">
        <v>-33.8</v>
      </c>
    </row>
    <row r="186">
      <c r="C186" s="124"/>
      <c r="D186" s="88"/>
      <c r="H186" s="28">
        <v>43.0</v>
      </c>
      <c r="J186" s="28">
        <v>0.5</v>
      </c>
      <c r="K186" s="28">
        <v>46.0</v>
      </c>
      <c r="P186" s="133"/>
      <c r="AE186" s="28">
        <v>-20.74</v>
      </c>
      <c r="AF186" s="28">
        <v>-33.12</v>
      </c>
    </row>
    <row r="187">
      <c r="C187" s="124"/>
      <c r="D187" s="88"/>
      <c r="H187" s="28">
        <v>50.0</v>
      </c>
      <c r="J187" s="28">
        <v>0.44</v>
      </c>
      <c r="K187" s="28">
        <v>44.0</v>
      </c>
      <c r="P187" s="133"/>
      <c r="AE187" s="28">
        <v>-20.95</v>
      </c>
      <c r="AF187" s="28">
        <v>9.02</v>
      </c>
    </row>
    <row r="188">
      <c r="C188" s="124"/>
      <c r="D188" s="88"/>
      <c r="H188" s="28">
        <v>43.0</v>
      </c>
      <c r="J188" s="28">
        <v>0.54</v>
      </c>
      <c r="K188" s="28">
        <v>52.0</v>
      </c>
      <c r="P188" s="133"/>
      <c r="AE188" s="28">
        <v>-21.09</v>
      </c>
      <c r="AF188" s="28">
        <v>-36.21</v>
      </c>
    </row>
    <row r="189">
      <c r="C189" s="124"/>
      <c r="D189" s="88"/>
      <c r="H189" s="28">
        <v>51.0</v>
      </c>
      <c r="J189" s="28">
        <v>0.59</v>
      </c>
      <c r="K189" s="28">
        <v>48.0</v>
      </c>
      <c r="P189" s="133"/>
      <c r="AE189" s="28">
        <v>-21.24</v>
      </c>
      <c r="AF189" s="28">
        <v>118.97</v>
      </c>
    </row>
    <row r="190">
      <c r="C190" s="124"/>
      <c r="D190" s="88"/>
      <c r="H190" s="28">
        <v>45.0</v>
      </c>
      <c r="J190" s="28">
        <v>0.53</v>
      </c>
      <c r="K190" s="28">
        <v>43.0</v>
      </c>
      <c r="P190" s="133"/>
      <c r="AE190" s="28">
        <v>-21.76</v>
      </c>
      <c r="AF190" s="28">
        <v>-36.93</v>
      </c>
    </row>
    <row r="191">
      <c r="C191" s="124"/>
      <c r="D191" s="88"/>
      <c r="H191" s="28">
        <v>45.0</v>
      </c>
      <c r="J191" s="28">
        <v>0.49</v>
      </c>
      <c r="K191" s="28">
        <v>47.0</v>
      </c>
      <c r="P191" s="133"/>
      <c r="AE191" s="28">
        <v>-21.78</v>
      </c>
      <c r="AF191" s="28">
        <v>-34.85</v>
      </c>
    </row>
    <row r="192">
      <c r="C192" s="124"/>
      <c r="D192" s="88"/>
      <c r="H192" s="28">
        <v>54.0</v>
      </c>
      <c r="J192" s="28">
        <v>0.51</v>
      </c>
      <c r="K192" s="28">
        <v>40.0</v>
      </c>
      <c r="P192" s="133"/>
      <c r="AE192" s="28">
        <v>-22.46</v>
      </c>
      <c r="AF192" s="28">
        <v>-70.94</v>
      </c>
    </row>
    <row r="193">
      <c r="C193" s="124"/>
      <c r="D193" s="88"/>
      <c r="H193" s="28">
        <v>43.0</v>
      </c>
      <c r="J193" s="28">
        <v>0.55</v>
      </c>
      <c r="K193" s="28">
        <v>47.0</v>
      </c>
      <c r="P193" s="133"/>
      <c r="AE193" s="28">
        <v>-22.65</v>
      </c>
      <c r="AF193" s="28">
        <v>-59.76</v>
      </c>
    </row>
    <row r="194">
      <c r="C194" s="124"/>
      <c r="D194" s="88"/>
      <c r="H194" s="28">
        <v>48.0</v>
      </c>
      <c r="J194" s="28">
        <v>0.63</v>
      </c>
      <c r="K194" s="28">
        <v>45.0</v>
      </c>
      <c r="P194" s="133"/>
      <c r="AE194" s="28">
        <v>-22.93</v>
      </c>
      <c r="AF194" s="28">
        <v>-39.33</v>
      </c>
    </row>
    <row r="195">
      <c r="C195" s="124"/>
      <c r="D195" s="88"/>
      <c r="H195" s="28">
        <v>47.0</v>
      </c>
      <c r="J195" s="28">
        <v>0.49</v>
      </c>
      <c r="K195" s="28">
        <v>49.0</v>
      </c>
      <c r="P195" s="133"/>
      <c r="AE195" s="28">
        <v>-23.25</v>
      </c>
      <c r="AF195" s="28">
        <v>-19.86</v>
      </c>
    </row>
    <row r="196">
      <c r="C196" s="124"/>
      <c r="D196" s="88"/>
      <c r="H196" s="28">
        <v>48.0</v>
      </c>
      <c r="J196" s="28">
        <v>0.48</v>
      </c>
      <c r="K196" s="28">
        <v>45.0</v>
      </c>
      <c r="P196" s="133"/>
      <c r="AE196" s="28">
        <v>-23.75</v>
      </c>
      <c r="AF196" s="28">
        <v>-41.16</v>
      </c>
    </row>
    <row r="197">
      <c r="C197" s="124"/>
      <c r="D197" s="88"/>
      <c r="H197" s="28">
        <v>49.0</v>
      </c>
      <c r="J197" s="28">
        <v>0.52</v>
      </c>
      <c r="K197" s="28">
        <v>43.0</v>
      </c>
      <c r="P197" s="133"/>
      <c r="AE197" s="28">
        <v>-23.95</v>
      </c>
      <c r="AF197" s="28">
        <v>-37.06</v>
      </c>
    </row>
    <row r="198">
      <c r="C198" s="124"/>
      <c r="D198" s="88"/>
      <c r="H198" s="28">
        <v>50.0</v>
      </c>
      <c r="J198" s="28">
        <v>0.46</v>
      </c>
      <c r="K198" s="28">
        <v>47.0</v>
      </c>
      <c r="P198" s="133"/>
      <c r="AE198" s="28">
        <v>-24.19</v>
      </c>
      <c r="AF198" s="28">
        <v>-37.9</v>
      </c>
    </row>
    <row r="199">
      <c r="C199" s="124"/>
      <c r="D199" s="88"/>
      <c r="H199" s="28">
        <v>54.0</v>
      </c>
      <c r="J199" s="28">
        <v>0.62</v>
      </c>
      <c r="K199" s="28">
        <v>41.0</v>
      </c>
      <c r="P199" s="133"/>
      <c r="AE199" s="28">
        <v>-24.27</v>
      </c>
      <c r="AF199" s="28">
        <v>23.26</v>
      </c>
    </row>
    <row r="200">
      <c r="C200" s="124"/>
      <c r="D200" s="88"/>
      <c r="H200" s="28">
        <v>41.0</v>
      </c>
      <c r="J200" s="28">
        <v>0.59</v>
      </c>
      <c r="K200" s="28">
        <v>42.0</v>
      </c>
      <c r="P200" s="133"/>
      <c r="AE200" s="28">
        <v>-24.47</v>
      </c>
      <c r="AF200" s="28">
        <v>-37.85</v>
      </c>
    </row>
    <row r="201">
      <c r="C201" s="124"/>
      <c r="D201" s="88"/>
      <c r="H201" s="28">
        <v>45.0</v>
      </c>
      <c r="J201" s="28">
        <v>0.54</v>
      </c>
      <c r="K201" s="28">
        <v>40.0</v>
      </c>
      <c r="P201" s="133"/>
      <c r="AE201" s="28">
        <v>-24.58</v>
      </c>
      <c r="AF201" s="28">
        <v>-68.88</v>
      </c>
    </row>
    <row r="202">
      <c r="C202" s="124"/>
      <c r="D202" s="88"/>
      <c r="H202" s="28">
        <v>46.0</v>
      </c>
      <c r="J202" s="28">
        <v>0.49</v>
      </c>
      <c r="K202" s="28">
        <v>45.0</v>
      </c>
      <c r="P202" s="133"/>
      <c r="AE202" s="28">
        <v>-25.05</v>
      </c>
      <c r="AF202" s="28">
        <v>-33.69</v>
      </c>
    </row>
    <row r="203">
      <c r="C203" s="124"/>
      <c r="D203" s="88"/>
      <c r="H203" s="28">
        <v>48.0</v>
      </c>
      <c r="J203" s="28">
        <v>0.55</v>
      </c>
      <c r="K203" s="28">
        <v>47.0</v>
      </c>
      <c r="P203" s="133"/>
      <c r="AE203" s="28">
        <v>-25.2</v>
      </c>
      <c r="AF203" s="28">
        <v>-10.56</v>
      </c>
    </row>
    <row r="204">
      <c r="C204" s="124"/>
      <c r="D204" s="88"/>
      <c r="H204" s="28">
        <v>49.0</v>
      </c>
      <c r="J204" s="28">
        <v>0.46</v>
      </c>
      <c r="K204" s="28">
        <v>50.0</v>
      </c>
      <c r="P204" s="133"/>
      <c r="AE204" s="28">
        <v>-25.23</v>
      </c>
      <c r="AF204" s="28">
        <v>-46.63</v>
      </c>
    </row>
    <row r="205">
      <c r="C205" s="124"/>
      <c r="D205" s="88"/>
      <c r="H205" s="28">
        <v>45.0</v>
      </c>
      <c r="J205" s="28">
        <v>0.5</v>
      </c>
      <c r="K205" s="28">
        <v>41.0</v>
      </c>
      <c r="P205" s="133"/>
      <c r="AE205" s="28">
        <v>-25.61</v>
      </c>
      <c r="AF205" s="28">
        <v>17.61</v>
      </c>
    </row>
    <row r="206">
      <c r="C206" s="124"/>
      <c r="D206" s="88"/>
      <c r="H206" s="28">
        <v>40.0</v>
      </c>
      <c r="J206" s="28">
        <v>0.54</v>
      </c>
      <c r="K206" s="28">
        <v>38.0</v>
      </c>
      <c r="P206" s="133"/>
      <c r="AE206" s="28">
        <v>-25.64</v>
      </c>
      <c r="AF206" s="28">
        <v>-45.07</v>
      </c>
    </row>
    <row r="207">
      <c r="C207" s="124"/>
      <c r="D207" s="88"/>
      <c r="H207" s="28">
        <v>46.0</v>
      </c>
      <c r="J207" s="28">
        <v>0.47</v>
      </c>
      <c r="K207" s="28">
        <v>38.0</v>
      </c>
      <c r="P207" s="133"/>
      <c r="AE207" s="28">
        <v>-25.92</v>
      </c>
      <c r="AF207" s="28">
        <v>64.32</v>
      </c>
    </row>
    <row r="208">
      <c r="C208" s="124"/>
      <c r="D208" s="88"/>
      <c r="H208" s="28">
        <v>40.0</v>
      </c>
      <c r="J208" s="28">
        <v>0.44</v>
      </c>
      <c r="K208" s="28">
        <v>45.0</v>
      </c>
      <c r="P208" s="133"/>
      <c r="AE208" s="28">
        <v>-26.16</v>
      </c>
      <c r="AF208" s="28">
        <v>-6.72</v>
      </c>
    </row>
    <row r="209">
      <c r="C209" s="124"/>
      <c r="D209" s="88"/>
      <c r="H209" s="28">
        <v>41.0</v>
      </c>
      <c r="J209" s="28">
        <v>0.44</v>
      </c>
      <c r="K209" s="28">
        <v>41.0</v>
      </c>
      <c r="P209" s="133"/>
      <c r="AE209" s="28">
        <v>-26.2</v>
      </c>
      <c r="AF209" s="28">
        <v>-38.56</v>
      </c>
    </row>
    <row r="210">
      <c r="C210" s="124"/>
      <c r="D210" s="88"/>
      <c r="H210" s="28">
        <v>43.0</v>
      </c>
      <c r="J210" s="28">
        <v>0.48</v>
      </c>
      <c r="K210" s="28">
        <v>49.0</v>
      </c>
      <c r="P210" s="133"/>
      <c r="AE210" s="28">
        <v>-26.52</v>
      </c>
      <c r="AF210" s="28">
        <v>-70.17</v>
      </c>
    </row>
    <row r="211">
      <c r="C211" s="124"/>
      <c r="D211" s="88"/>
      <c r="H211" s="28">
        <v>41.0</v>
      </c>
      <c r="J211" s="28">
        <v>0.57</v>
      </c>
      <c r="K211" s="28">
        <v>39.0</v>
      </c>
      <c r="P211" s="133"/>
      <c r="AE211" s="28">
        <v>-26.58</v>
      </c>
      <c r="AF211" s="28">
        <v>-35.45</v>
      </c>
    </row>
    <row r="212">
      <c r="C212" s="124"/>
      <c r="D212" s="88"/>
      <c r="H212" s="28">
        <v>45.0</v>
      </c>
      <c r="J212" s="28">
        <v>0.54</v>
      </c>
      <c r="K212" s="28">
        <v>46.0</v>
      </c>
      <c r="P212" s="133"/>
      <c r="AE212" s="28">
        <v>-26.69</v>
      </c>
      <c r="AF212" s="28">
        <v>-38.39</v>
      </c>
    </row>
    <row r="213">
      <c r="C213" s="124"/>
      <c r="D213" s="88"/>
      <c r="H213" s="28">
        <v>43.0</v>
      </c>
      <c r="J213" s="28">
        <v>0.56</v>
      </c>
      <c r="K213" s="28">
        <v>44.0</v>
      </c>
      <c r="P213" s="134"/>
      <c r="AE213" s="28">
        <v>-26.72</v>
      </c>
      <c r="AF213" s="28">
        <v>-51.72</v>
      </c>
    </row>
    <row r="214">
      <c r="C214" s="124"/>
      <c r="D214" s="88"/>
      <c r="H214" s="28">
        <v>47.0</v>
      </c>
      <c r="J214" s="28">
        <v>0.52</v>
      </c>
      <c r="K214" s="28">
        <v>51.0</v>
      </c>
      <c r="P214" s="134"/>
      <c r="AE214" s="28">
        <v>-27.56</v>
      </c>
      <c r="AF214" s="28">
        <v>-27.09</v>
      </c>
    </row>
    <row r="215">
      <c r="C215" s="124"/>
      <c r="D215" s="88"/>
      <c r="H215" s="28">
        <v>44.0</v>
      </c>
      <c r="J215" s="28">
        <v>0.49</v>
      </c>
      <c r="K215" s="28">
        <v>50.0</v>
      </c>
      <c r="P215" s="134"/>
      <c r="AE215" s="28">
        <v>-27.62</v>
      </c>
      <c r="AF215" s="28">
        <v>-42.02</v>
      </c>
    </row>
    <row r="216">
      <c r="C216" s="124"/>
      <c r="D216" s="88"/>
      <c r="H216" s="28">
        <v>44.0</v>
      </c>
      <c r="J216" s="28">
        <v>0.56</v>
      </c>
      <c r="K216" s="28">
        <v>45.0</v>
      </c>
      <c r="P216" s="134"/>
      <c r="AE216" s="28">
        <v>-27.92</v>
      </c>
      <c r="AF216" s="28">
        <v>2.15</v>
      </c>
    </row>
    <row r="217">
      <c r="C217" s="124"/>
      <c r="D217" s="88"/>
      <c r="H217" s="28">
        <v>42.0</v>
      </c>
      <c r="J217" s="28">
        <v>0.51</v>
      </c>
      <c r="K217" s="28">
        <v>46.0</v>
      </c>
      <c r="P217" s="134"/>
      <c r="AE217" s="28">
        <v>-27.95</v>
      </c>
      <c r="AF217" s="28">
        <v>-31.54</v>
      </c>
    </row>
    <row r="218">
      <c r="C218" s="124"/>
      <c r="D218" s="88"/>
      <c r="H218" s="28">
        <v>49.0</v>
      </c>
      <c r="J218" s="28">
        <v>0.51</v>
      </c>
      <c r="K218" s="28">
        <v>46.0</v>
      </c>
      <c r="P218" s="134"/>
      <c r="AE218" s="28">
        <v>-28.16</v>
      </c>
      <c r="AF218" s="28">
        <v>-40.49</v>
      </c>
    </row>
    <row r="219">
      <c r="C219" s="124"/>
      <c r="D219" s="88"/>
      <c r="H219" s="28">
        <v>47.0</v>
      </c>
      <c r="J219" s="28">
        <v>0.52</v>
      </c>
      <c r="K219" s="28">
        <v>41.0</v>
      </c>
      <c r="P219" s="134"/>
      <c r="AE219" s="28">
        <v>-28.34</v>
      </c>
      <c r="AF219" s="28">
        <v>-88.95</v>
      </c>
    </row>
    <row r="220">
      <c r="C220" s="124"/>
      <c r="D220" s="88"/>
      <c r="H220" s="28">
        <v>45.0</v>
      </c>
      <c r="J220" s="28">
        <v>0.53</v>
      </c>
      <c r="K220" s="28">
        <v>42.0</v>
      </c>
      <c r="P220" s="134"/>
      <c r="AE220" s="28">
        <v>-28.4</v>
      </c>
      <c r="AF220" s="28">
        <v>18.22</v>
      </c>
    </row>
    <row r="221">
      <c r="C221" s="124"/>
      <c r="D221" s="88"/>
      <c r="H221" s="28">
        <v>42.0</v>
      </c>
      <c r="J221" s="28">
        <v>0.52</v>
      </c>
      <c r="K221" s="28">
        <v>42.0</v>
      </c>
      <c r="P221" s="134"/>
      <c r="AE221" s="28">
        <v>-28.71</v>
      </c>
      <c r="AF221" s="28">
        <v>-52.2</v>
      </c>
    </row>
    <row r="222">
      <c r="C222" s="124"/>
      <c r="H222" s="28">
        <v>39.0</v>
      </c>
      <c r="J222" s="28">
        <v>0.49</v>
      </c>
      <c r="K222" s="28">
        <v>39.0</v>
      </c>
      <c r="P222" s="134"/>
      <c r="AE222" s="28">
        <v>-28.81</v>
      </c>
      <c r="AF222" s="28">
        <v>-37.85</v>
      </c>
    </row>
    <row r="223">
      <c r="C223" s="124"/>
      <c r="H223" s="28">
        <v>43.0</v>
      </c>
      <c r="J223" s="28">
        <v>0.5</v>
      </c>
      <c r="K223" s="28">
        <v>50.0</v>
      </c>
      <c r="P223" s="134"/>
      <c r="AE223" s="28">
        <v>-28.99</v>
      </c>
      <c r="AF223" s="28">
        <v>53.7</v>
      </c>
    </row>
    <row r="224">
      <c r="C224" s="124"/>
      <c r="H224" s="28">
        <v>49.0</v>
      </c>
      <c r="J224" s="28">
        <v>0.47</v>
      </c>
      <c r="K224" s="28">
        <v>48.0</v>
      </c>
      <c r="P224" s="134"/>
      <c r="AE224" s="28">
        <v>-29.99</v>
      </c>
      <c r="AF224" s="28">
        <v>-81.61</v>
      </c>
    </row>
    <row r="225">
      <c r="C225" s="124"/>
      <c r="H225" s="28">
        <v>41.0</v>
      </c>
      <c r="J225" s="28">
        <v>0.52</v>
      </c>
      <c r="K225" s="28">
        <v>40.0</v>
      </c>
      <c r="P225" s="134"/>
      <c r="AE225" s="28">
        <v>-30.24</v>
      </c>
      <c r="AF225" s="28">
        <v>-27.85</v>
      </c>
    </row>
    <row r="226">
      <c r="C226" s="124"/>
      <c r="H226" s="28">
        <v>43.0</v>
      </c>
      <c r="J226" s="28">
        <v>0.48</v>
      </c>
      <c r="K226" s="28">
        <v>43.0</v>
      </c>
      <c r="P226" s="134"/>
      <c r="AE226" s="28">
        <v>-30.39</v>
      </c>
      <c r="AF226" s="28">
        <v>-40.27</v>
      </c>
    </row>
    <row r="227">
      <c r="C227" s="124"/>
      <c r="H227" s="28">
        <v>44.0</v>
      </c>
      <c r="J227" s="28">
        <v>0.47</v>
      </c>
      <c r="K227" s="28">
        <v>47.0</v>
      </c>
      <c r="P227" s="134"/>
      <c r="AE227" s="28">
        <v>-30.43</v>
      </c>
      <c r="AF227" s="28">
        <v>-66.2</v>
      </c>
    </row>
    <row r="228">
      <c r="C228" s="124"/>
      <c r="H228" s="28">
        <v>45.0</v>
      </c>
      <c r="J228" s="28">
        <v>0.54</v>
      </c>
      <c r="K228" s="28">
        <v>41.0</v>
      </c>
      <c r="P228" s="134"/>
      <c r="AE228" s="28">
        <v>-30.64</v>
      </c>
      <c r="AF228" s="28">
        <v>-40.41</v>
      </c>
    </row>
    <row r="229">
      <c r="C229" s="124"/>
      <c r="H229" s="28">
        <v>44.0</v>
      </c>
      <c r="J229" s="28">
        <v>0.51</v>
      </c>
      <c r="K229" s="28">
        <v>42.0</v>
      </c>
      <c r="P229" s="134"/>
      <c r="AE229" s="28">
        <v>-30.82</v>
      </c>
      <c r="AF229" s="28">
        <v>-62.68</v>
      </c>
    </row>
    <row r="230">
      <c r="C230" s="124"/>
      <c r="H230" s="28">
        <v>44.0</v>
      </c>
      <c r="J230" s="28">
        <v>0.48</v>
      </c>
      <c r="K230" s="28">
        <v>41.0</v>
      </c>
      <c r="P230" s="134"/>
      <c r="AE230" s="28">
        <v>-31.31</v>
      </c>
      <c r="AF230" s="28">
        <v>-68.54</v>
      </c>
    </row>
    <row r="231">
      <c r="C231" s="124"/>
      <c r="H231" s="28">
        <v>43.0</v>
      </c>
      <c r="J231" s="28">
        <v>0.52</v>
      </c>
      <c r="K231" s="28">
        <v>43.0</v>
      </c>
      <c r="P231" s="134"/>
      <c r="AE231" s="28">
        <v>-31.46</v>
      </c>
      <c r="AF231" s="28">
        <v>-58.69</v>
      </c>
    </row>
    <row r="232">
      <c r="C232" s="124"/>
      <c r="H232" s="28">
        <v>44.0</v>
      </c>
      <c r="J232" s="28">
        <v>0.53</v>
      </c>
      <c r="K232" s="28">
        <v>41.0</v>
      </c>
      <c r="P232" s="134"/>
      <c r="AE232" s="28">
        <v>-31.87</v>
      </c>
      <c r="AF232" s="28">
        <v>-40.22</v>
      </c>
    </row>
    <row r="233">
      <c r="C233" s="124"/>
      <c r="H233" s="28">
        <v>44.0</v>
      </c>
      <c r="J233" s="28">
        <v>0.52</v>
      </c>
      <c r="K233" s="28">
        <v>39.0</v>
      </c>
      <c r="P233" s="134"/>
      <c r="AE233" s="28">
        <v>-32.0</v>
      </c>
      <c r="AF233" s="28">
        <v>-29.14</v>
      </c>
    </row>
    <row r="234">
      <c r="C234" s="124"/>
      <c r="H234" s="28">
        <v>45.0</v>
      </c>
      <c r="J234" s="28">
        <v>0.5</v>
      </c>
      <c r="K234" s="28">
        <v>45.0</v>
      </c>
      <c r="P234" s="134"/>
      <c r="AE234" s="28">
        <v>-32.12</v>
      </c>
      <c r="AF234" s="28">
        <v>96.73</v>
      </c>
    </row>
    <row r="235">
      <c r="C235" s="124"/>
      <c r="H235" s="28">
        <v>43.0</v>
      </c>
      <c r="J235" s="28">
        <v>0.53</v>
      </c>
      <c r="K235" s="28">
        <v>40.0</v>
      </c>
      <c r="P235" s="134"/>
      <c r="AE235" s="28">
        <v>-32.22</v>
      </c>
      <c r="AF235" s="28">
        <v>-42.92</v>
      </c>
    </row>
    <row r="236">
      <c r="C236" s="124"/>
      <c r="H236" s="28">
        <v>41.0</v>
      </c>
      <c r="J236" s="28">
        <v>0.56</v>
      </c>
      <c r="K236" s="28">
        <v>43.0</v>
      </c>
      <c r="P236" s="134"/>
      <c r="AE236" s="28">
        <v>-32.24</v>
      </c>
      <c r="AF236" s="28">
        <v>-48.67</v>
      </c>
    </row>
    <row r="237">
      <c r="C237" s="124"/>
      <c r="H237" s="28">
        <v>46.0</v>
      </c>
      <c r="J237" s="28">
        <v>0.51</v>
      </c>
      <c r="K237" s="28">
        <v>45.0</v>
      </c>
      <c r="P237" s="134"/>
      <c r="AE237" s="28">
        <v>-32.36</v>
      </c>
      <c r="AF237" s="28">
        <v>-28.84</v>
      </c>
    </row>
    <row r="238">
      <c r="C238" s="124"/>
      <c r="H238" s="28">
        <v>46.0</v>
      </c>
      <c r="J238" s="28">
        <v>0.53</v>
      </c>
      <c r="K238" s="28">
        <v>46.0</v>
      </c>
      <c r="P238" s="134"/>
      <c r="AE238" s="28">
        <v>-33.07</v>
      </c>
      <c r="AF238" s="28">
        <v>-44.62</v>
      </c>
    </row>
    <row r="239">
      <c r="C239" s="124"/>
      <c r="H239" s="28">
        <v>51.0</v>
      </c>
      <c r="J239" s="28">
        <v>0.53</v>
      </c>
      <c r="K239" s="28">
        <v>41.0</v>
      </c>
      <c r="P239" s="134"/>
      <c r="AE239" s="28">
        <v>-33.1</v>
      </c>
      <c r="AF239" s="28">
        <v>-57.46</v>
      </c>
    </row>
    <row r="240">
      <c r="C240" s="124"/>
      <c r="H240" s="28">
        <v>49.0</v>
      </c>
      <c r="J240" s="28">
        <v>0.57</v>
      </c>
      <c r="K240" s="28">
        <v>37.0</v>
      </c>
      <c r="P240" s="134"/>
      <c r="AE240" s="28">
        <v>-33.32</v>
      </c>
      <c r="AF240" s="28">
        <v>-15.2</v>
      </c>
    </row>
    <row r="241">
      <c r="C241" s="124"/>
      <c r="H241" s="28">
        <v>40.0</v>
      </c>
      <c r="J241" s="28">
        <v>0.52</v>
      </c>
      <c r="K241" s="28">
        <v>46.0</v>
      </c>
      <c r="P241" s="134"/>
      <c r="AE241" s="28">
        <v>-33.48</v>
      </c>
      <c r="AF241" s="28">
        <v>21.71</v>
      </c>
    </row>
    <row r="242">
      <c r="C242" s="124"/>
      <c r="H242" s="28">
        <v>49.0</v>
      </c>
      <c r="J242" s="28">
        <v>0.48</v>
      </c>
      <c r="K242" s="28">
        <v>47.0</v>
      </c>
      <c r="P242" s="134"/>
      <c r="AE242" s="28">
        <v>-33.84</v>
      </c>
      <c r="AF242" s="28">
        <v>-39.37</v>
      </c>
    </row>
    <row r="243">
      <c r="C243" s="124"/>
      <c r="H243" s="28">
        <v>44.0</v>
      </c>
      <c r="J243" s="28">
        <v>0.51</v>
      </c>
      <c r="K243" s="28">
        <v>41.0</v>
      </c>
      <c r="P243" s="134"/>
      <c r="AE243" s="28">
        <v>-33.87</v>
      </c>
      <c r="AF243" s="28">
        <v>-46.12</v>
      </c>
    </row>
    <row r="244">
      <c r="C244" s="124"/>
      <c r="H244" s="28">
        <v>45.0</v>
      </c>
      <c r="J244" s="28">
        <v>0.52</v>
      </c>
      <c r="K244" s="28">
        <v>45.0</v>
      </c>
      <c r="P244" s="134"/>
      <c r="AE244" s="28">
        <v>-33.99</v>
      </c>
      <c r="AF244" s="28">
        <v>-41.49</v>
      </c>
    </row>
    <row r="245">
      <c r="C245" s="124"/>
      <c r="H245" s="28">
        <v>46.0</v>
      </c>
      <c r="J245" s="28">
        <v>0.48</v>
      </c>
      <c r="K245" s="28">
        <v>45.0</v>
      </c>
      <c r="P245" s="134"/>
      <c r="AE245" s="28">
        <v>-34.04</v>
      </c>
      <c r="AF245" s="28">
        <v>-27.54</v>
      </c>
    </row>
    <row r="246">
      <c r="C246" s="124"/>
      <c r="H246" s="28">
        <v>44.0</v>
      </c>
      <c r="J246" s="28">
        <v>0.46</v>
      </c>
      <c r="K246" s="28">
        <v>47.0</v>
      </c>
      <c r="P246" s="134"/>
      <c r="AE246" s="28">
        <v>-34.08</v>
      </c>
      <c r="AF246" s="28">
        <v>-49.63</v>
      </c>
    </row>
    <row r="247">
      <c r="C247" s="124"/>
      <c r="H247" s="28">
        <v>50.0</v>
      </c>
      <c r="J247" s="28">
        <v>0.53</v>
      </c>
      <c r="K247" s="28">
        <v>46.0</v>
      </c>
      <c r="P247" s="134"/>
      <c r="AE247" s="28">
        <v>-34.11</v>
      </c>
      <c r="AF247" s="28">
        <v>-41.77</v>
      </c>
    </row>
    <row r="248">
      <c r="C248" s="124"/>
      <c r="H248" s="28">
        <v>44.0</v>
      </c>
      <c r="J248" s="28">
        <v>0.55</v>
      </c>
      <c r="K248" s="28">
        <v>42.0</v>
      </c>
      <c r="P248" s="134"/>
      <c r="AE248" s="28">
        <v>-34.13</v>
      </c>
      <c r="AF248" s="28">
        <v>-57.55</v>
      </c>
    </row>
    <row r="249">
      <c r="C249" s="124"/>
      <c r="H249" s="28">
        <v>37.0</v>
      </c>
      <c r="J249" s="28">
        <v>0.47</v>
      </c>
      <c r="K249" s="28">
        <v>47.0</v>
      </c>
      <c r="P249" s="134"/>
      <c r="AE249" s="28">
        <v>-34.24</v>
      </c>
      <c r="AF249" s="28">
        <v>-25.42</v>
      </c>
    </row>
    <row r="250">
      <c r="C250" s="124"/>
      <c r="H250" s="28">
        <v>46.0</v>
      </c>
      <c r="J250" s="28">
        <v>0.54</v>
      </c>
      <c r="K250" s="28">
        <v>46.0</v>
      </c>
      <c r="P250" s="134"/>
      <c r="AE250" s="28">
        <v>-34.36</v>
      </c>
      <c r="AF250" s="28">
        <v>-46.07</v>
      </c>
    </row>
    <row r="251">
      <c r="C251" s="124"/>
      <c r="H251" s="28">
        <v>46.0</v>
      </c>
      <c r="J251" s="28">
        <v>0.52</v>
      </c>
      <c r="K251" s="28">
        <v>48.0</v>
      </c>
      <c r="P251" s="134"/>
      <c r="AE251" s="28">
        <v>-34.44</v>
      </c>
      <c r="AF251" s="28">
        <v>-25.77</v>
      </c>
    </row>
    <row r="252">
      <c r="C252" s="124"/>
      <c r="H252" s="28">
        <v>45.0</v>
      </c>
      <c r="J252" s="28">
        <v>0.5</v>
      </c>
      <c r="K252" s="28">
        <v>38.0</v>
      </c>
      <c r="P252" s="134"/>
      <c r="AE252" s="28">
        <v>-34.56</v>
      </c>
      <c r="AF252" s="28">
        <v>-74.29</v>
      </c>
    </row>
    <row r="253">
      <c r="C253" s="124"/>
      <c r="H253" s="28">
        <v>38.0</v>
      </c>
      <c r="J253" s="28">
        <v>0.47</v>
      </c>
      <c r="K253" s="28">
        <v>53.0</v>
      </c>
      <c r="P253" s="134"/>
      <c r="AE253" s="28">
        <v>-34.76</v>
      </c>
      <c r="AF253" s="28">
        <v>-49.51</v>
      </c>
    </row>
    <row r="254">
      <c r="C254" s="124"/>
      <c r="H254" s="28">
        <v>44.0</v>
      </c>
      <c r="J254" s="28">
        <v>0.47</v>
      </c>
      <c r="K254" s="28">
        <v>42.0</v>
      </c>
      <c r="P254" s="134"/>
      <c r="AE254" s="28">
        <v>-34.78</v>
      </c>
      <c r="AF254" s="28">
        <v>-45.46</v>
      </c>
    </row>
    <row r="255">
      <c r="C255" s="124"/>
      <c r="H255" s="28">
        <v>47.0</v>
      </c>
      <c r="J255" s="28">
        <v>0.55</v>
      </c>
      <c r="K255" s="28">
        <v>49.0</v>
      </c>
      <c r="P255" s="134"/>
      <c r="AE255" s="28">
        <v>-34.92</v>
      </c>
      <c r="AF255" s="28">
        <v>-30.33</v>
      </c>
    </row>
    <row r="256">
      <c r="C256" s="124"/>
      <c r="H256" s="28">
        <v>45.0</v>
      </c>
      <c r="J256" s="28">
        <v>0.53</v>
      </c>
      <c r="K256" s="28">
        <v>42.0</v>
      </c>
      <c r="P256" s="134"/>
      <c r="AE256" s="28">
        <v>-35.41</v>
      </c>
      <c r="AF256" s="28">
        <v>-47.91</v>
      </c>
    </row>
    <row r="257">
      <c r="C257" s="124"/>
      <c r="H257" s="28">
        <v>38.0</v>
      </c>
      <c r="J257" s="28">
        <v>0.46</v>
      </c>
      <c r="K257" s="28">
        <v>45.0</v>
      </c>
      <c r="P257" s="134"/>
      <c r="AE257" s="28">
        <v>-35.68</v>
      </c>
      <c r="AF257" s="28">
        <v>-46.96</v>
      </c>
    </row>
    <row r="258">
      <c r="C258" s="124"/>
      <c r="H258" s="28">
        <v>44.0</v>
      </c>
      <c r="J258" s="28">
        <v>0.48</v>
      </c>
      <c r="K258" s="28">
        <v>44.0</v>
      </c>
      <c r="P258" s="134"/>
      <c r="AE258" s="28">
        <v>-36.1</v>
      </c>
      <c r="AF258" s="28">
        <v>-46.53</v>
      </c>
    </row>
    <row r="259">
      <c r="C259" s="124"/>
      <c r="H259" s="28">
        <v>41.0</v>
      </c>
      <c r="J259" s="28">
        <v>0.51</v>
      </c>
      <c r="K259" s="28">
        <v>45.0</v>
      </c>
      <c r="P259" s="134"/>
      <c r="AE259" s="28">
        <v>-36.43</v>
      </c>
      <c r="AF259" s="28">
        <v>-16.83</v>
      </c>
    </row>
    <row r="260">
      <c r="C260" s="124"/>
      <c r="H260" s="28">
        <v>44.0</v>
      </c>
      <c r="J260" s="28">
        <v>0.54</v>
      </c>
      <c r="K260" s="28">
        <v>42.0</v>
      </c>
      <c r="P260" s="134"/>
      <c r="AE260" s="28">
        <v>-37.34</v>
      </c>
      <c r="AF260" s="28">
        <v>-12.62</v>
      </c>
    </row>
    <row r="261">
      <c r="C261" s="124"/>
      <c r="H261" s="28">
        <v>45.0</v>
      </c>
      <c r="J261" s="28">
        <v>0.54</v>
      </c>
      <c r="K261" s="28">
        <v>49.0</v>
      </c>
      <c r="P261" s="134"/>
      <c r="AE261" s="28">
        <v>-37.37</v>
      </c>
      <c r="AF261" s="28">
        <v>-51.2</v>
      </c>
    </row>
    <row r="262">
      <c r="C262" s="124"/>
      <c r="H262" s="28">
        <v>44.0</v>
      </c>
      <c r="J262" s="28">
        <v>0.57</v>
      </c>
      <c r="K262" s="28">
        <v>44.0</v>
      </c>
      <c r="P262" s="134"/>
      <c r="AE262" s="28">
        <v>-37.86</v>
      </c>
      <c r="AF262" s="28">
        <v>-46.51</v>
      </c>
    </row>
    <row r="263">
      <c r="C263" s="124"/>
      <c r="H263" s="28">
        <v>53.0</v>
      </c>
      <c r="J263" s="28">
        <v>0.57</v>
      </c>
      <c r="K263" s="28">
        <v>50.0</v>
      </c>
      <c r="P263" s="134"/>
      <c r="AE263" s="28">
        <v>-38.13</v>
      </c>
      <c r="AF263" s="28">
        <v>-54.95</v>
      </c>
    </row>
    <row r="264">
      <c r="C264" s="124"/>
      <c r="H264" s="28">
        <v>45.0</v>
      </c>
      <c r="J264" s="28">
        <v>0.5</v>
      </c>
      <c r="K264" s="28">
        <v>39.0</v>
      </c>
      <c r="P264" s="134"/>
      <c r="AE264" s="28">
        <v>-38.56</v>
      </c>
      <c r="AF264" s="28">
        <v>25.89</v>
      </c>
    </row>
    <row r="265">
      <c r="C265" s="124"/>
      <c r="H265" s="28">
        <v>38.0</v>
      </c>
      <c r="J265" s="28">
        <v>0.45</v>
      </c>
      <c r="K265" s="28">
        <v>46.0</v>
      </c>
      <c r="P265" s="134"/>
      <c r="AE265" s="28">
        <v>-38.76</v>
      </c>
      <c r="AF265" s="28">
        <v>-31.88</v>
      </c>
    </row>
    <row r="266">
      <c r="C266" s="124"/>
      <c r="H266" s="28">
        <v>48.0</v>
      </c>
      <c r="J266" s="28">
        <v>0.52</v>
      </c>
      <c r="K266" s="28">
        <v>44.0</v>
      </c>
      <c r="P266" s="134"/>
      <c r="AE266" s="28">
        <v>-39.24</v>
      </c>
      <c r="AF266" s="28">
        <v>-42.85</v>
      </c>
    </row>
    <row r="267">
      <c r="C267" s="124"/>
      <c r="H267" s="28">
        <v>47.0</v>
      </c>
      <c r="J267" s="28">
        <v>0.55</v>
      </c>
      <c r="K267" s="28">
        <v>49.0</v>
      </c>
      <c r="P267" s="134"/>
      <c r="AE267" s="28">
        <v>-39.42</v>
      </c>
      <c r="AF267" s="28">
        <v>-37.05</v>
      </c>
    </row>
    <row r="268">
      <c r="C268" s="124"/>
      <c r="H268" s="28">
        <v>49.0</v>
      </c>
      <c r="J268" s="28">
        <v>0.53</v>
      </c>
      <c r="K268" s="28">
        <v>37.0</v>
      </c>
      <c r="P268" s="134"/>
      <c r="AE268" s="28">
        <v>-39.75</v>
      </c>
      <c r="AF268" s="28">
        <v>-49.85</v>
      </c>
    </row>
    <row r="269">
      <c r="C269" s="124"/>
      <c r="H269" s="28">
        <v>41.0</v>
      </c>
      <c r="J269" s="28">
        <v>0.51</v>
      </c>
      <c r="K269" s="28">
        <v>45.0</v>
      </c>
      <c r="P269" s="134"/>
      <c r="AE269" s="28">
        <v>-39.8</v>
      </c>
      <c r="AF269" s="28">
        <v>-28.85</v>
      </c>
    </row>
    <row r="270">
      <c r="C270" s="124"/>
      <c r="H270" s="28">
        <v>50.0</v>
      </c>
      <c r="J270" s="28">
        <v>0.52</v>
      </c>
      <c r="K270" s="28">
        <v>46.0</v>
      </c>
      <c r="P270" s="134"/>
      <c r="AE270" s="28">
        <v>-40.01</v>
      </c>
      <c r="AF270" s="28">
        <v>-32.23</v>
      </c>
    </row>
    <row r="271">
      <c r="C271" s="124"/>
      <c r="H271" s="28">
        <v>52.0</v>
      </c>
      <c r="J271" s="28">
        <v>0.53</v>
      </c>
      <c r="K271" s="28">
        <v>43.0</v>
      </c>
      <c r="P271" s="134"/>
      <c r="AE271" s="28">
        <v>-41.59</v>
      </c>
      <c r="AF271" s="28">
        <v>-35.17</v>
      </c>
    </row>
    <row r="272">
      <c r="C272" s="124"/>
      <c r="H272" s="28">
        <v>45.0</v>
      </c>
      <c r="J272" s="28">
        <v>0.54</v>
      </c>
      <c r="K272" s="28">
        <v>40.0</v>
      </c>
      <c r="P272" s="134"/>
      <c r="AE272" s="28">
        <v>-41.89</v>
      </c>
      <c r="AF272" s="28">
        <v>-85.39</v>
      </c>
    </row>
    <row r="273">
      <c r="C273" s="124"/>
      <c r="H273" s="28">
        <v>37.0</v>
      </c>
      <c r="J273" s="28">
        <v>0.49</v>
      </c>
      <c r="K273" s="28">
        <v>39.0</v>
      </c>
      <c r="P273" s="134"/>
      <c r="AE273" s="28">
        <v>-42.74</v>
      </c>
      <c r="AF273" s="28">
        <v>-52.11</v>
      </c>
    </row>
    <row r="274">
      <c r="C274" s="124"/>
      <c r="H274" s="28">
        <v>43.0</v>
      </c>
      <c r="J274" s="28">
        <v>0.49</v>
      </c>
      <c r="K274" s="28">
        <v>43.0</v>
      </c>
      <c r="P274" s="134"/>
      <c r="AE274" s="28">
        <v>-42.9</v>
      </c>
      <c r="AF274" s="28">
        <v>116.14</v>
      </c>
    </row>
    <row r="275">
      <c r="C275" s="124"/>
      <c r="H275" s="28">
        <v>38.0</v>
      </c>
      <c r="J275" s="28">
        <v>0.48</v>
      </c>
      <c r="K275" s="28">
        <v>42.0</v>
      </c>
      <c r="P275" s="134"/>
      <c r="AE275" s="28">
        <v>-43.06</v>
      </c>
      <c r="AF275" s="28">
        <v>-31.93</v>
      </c>
    </row>
    <row r="276">
      <c r="C276" s="124"/>
      <c r="H276" s="28">
        <v>42.0</v>
      </c>
      <c r="J276" s="28">
        <v>0.49</v>
      </c>
      <c r="K276" s="28">
        <v>46.0</v>
      </c>
      <c r="P276" s="134"/>
      <c r="AE276" s="28">
        <v>-43.26</v>
      </c>
      <c r="AF276" s="28">
        <v>-80.51</v>
      </c>
    </row>
    <row r="277">
      <c r="C277" s="124"/>
      <c r="H277" s="28">
        <v>42.0</v>
      </c>
      <c r="J277" s="28">
        <v>0.54</v>
      </c>
      <c r="K277" s="28">
        <v>45.0</v>
      </c>
      <c r="P277" s="134"/>
      <c r="AE277" s="28">
        <v>-43.35</v>
      </c>
      <c r="AF277" s="28">
        <v>-38.38</v>
      </c>
    </row>
    <row r="278">
      <c r="C278" s="124"/>
      <c r="H278" s="28">
        <v>43.0</v>
      </c>
      <c r="J278" s="28">
        <v>0.51</v>
      </c>
      <c r="K278" s="28">
        <v>42.0</v>
      </c>
      <c r="P278" s="134"/>
      <c r="AE278" s="28">
        <v>-43.44</v>
      </c>
      <c r="AF278" s="28">
        <v>-15.49</v>
      </c>
    </row>
    <row r="279">
      <c r="C279" s="124"/>
      <c r="H279" s="28">
        <v>44.0</v>
      </c>
      <c r="J279" s="28">
        <v>0.53</v>
      </c>
      <c r="K279" s="28">
        <v>46.0</v>
      </c>
      <c r="P279" s="134"/>
      <c r="AE279" s="28">
        <v>-43.81</v>
      </c>
      <c r="AF279" s="28">
        <v>-9.14</v>
      </c>
    </row>
    <row r="280">
      <c r="C280" s="124"/>
      <c r="H280" s="28">
        <v>43.0</v>
      </c>
      <c r="J280" s="28">
        <v>0.5</v>
      </c>
      <c r="K280" s="28">
        <v>41.0</v>
      </c>
      <c r="P280" s="134"/>
      <c r="AE280" s="28">
        <v>-44.65</v>
      </c>
      <c r="AF280" s="28">
        <v>-53.36</v>
      </c>
    </row>
    <row r="281">
      <c r="C281" s="124"/>
      <c r="H281" s="28">
        <v>40.0</v>
      </c>
      <c r="J281" s="28">
        <v>0.51</v>
      </c>
      <c r="K281" s="28">
        <v>42.0</v>
      </c>
      <c r="P281" s="134"/>
      <c r="AE281" s="28">
        <v>-45.04</v>
      </c>
      <c r="AF281" s="28">
        <v>-22.49</v>
      </c>
    </row>
    <row r="282">
      <c r="C282" s="124"/>
      <c r="H282" s="28">
        <v>40.0</v>
      </c>
      <c r="J282" s="28">
        <v>0.5</v>
      </c>
      <c r="K282" s="28">
        <v>48.0</v>
      </c>
      <c r="P282" s="134"/>
      <c r="AE282" s="28">
        <v>-45.14</v>
      </c>
      <c r="AF282" s="28">
        <v>-54.23</v>
      </c>
    </row>
    <row r="283">
      <c r="C283" s="124"/>
      <c r="H283" s="28">
        <v>46.0</v>
      </c>
      <c r="J283" s="28">
        <v>0.51</v>
      </c>
      <c r="K283" s="28">
        <v>48.0</v>
      </c>
      <c r="P283" s="134"/>
      <c r="AE283" s="28">
        <v>-45.32</v>
      </c>
      <c r="AF283" s="28">
        <v>-80.61</v>
      </c>
    </row>
    <row r="284">
      <c r="C284" s="124"/>
      <c r="H284" s="28">
        <v>48.0</v>
      </c>
      <c r="J284" s="28">
        <v>0.48</v>
      </c>
      <c r="K284" s="28">
        <v>46.0</v>
      </c>
      <c r="P284" s="134"/>
      <c r="AE284" s="28">
        <v>-45.46</v>
      </c>
      <c r="AF284" s="28">
        <v>-41.73</v>
      </c>
    </row>
    <row r="285">
      <c r="C285" s="124"/>
      <c r="H285" s="28">
        <v>48.0</v>
      </c>
      <c r="J285" s="28">
        <v>0.52</v>
      </c>
      <c r="K285" s="28">
        <v>44.0</v>
      </c>
      <c r="P285" s="134"/>
      <c r="AE285" s="28">
        <v>-45.5</v>
      </c>
      <c r="AF285" s="28">
        <v>-63.04</v>
      </c>
    </row>
    <row r="286">
      <c r="C286" s="124"/>
      <c r="H286" s="28">
        <v>41.0</v>
      </c>
      <c r="J286" s="28">
        <v>0.54</v>
      </c>
      <c r="K286" s="28">
        <v>46.0</v>
      </c>
      <c r="P286" s="134"/>
      <c r="AE286" s="28">
        <v>-45.76</v>
      </c>
      <c r="AF286" s="28">
        <v>-58.04</v>
      </c>
    </row>
    <row r="287">
      <c r="C287" s="124"/>
      <c r="H287" s="28">
        <v>45.0</v>
      </c>
      <c r="J287" s="28">
        <v>0.47</v>
      </c>
      <c r="K287" s="28">
        <v>41.0</v>
      </c>
      <c r="P287" s="134"/>
      <c r="AE287" s="28">
        <v>-46.0</v>
      </c>
      <c r="AF287" s="28">
        <v>-53.56</v>
      </c>
    </row>
    <row r="288">
      <c r="C288" s="124"/>
      <c r="H288" s="28">
        <v>47.0</v>
      </c>
      <c r="J288" s="28">
        <v>0.54</v>
      </c>
      <c r="K288" s="28">
        <v>45.0</v>
      </c>
      <c r="P288" s="134"/>
      <c r="AE288" s="28">
        <v>-46.3</v>
      </c>
      <c r="AF288" s="28">
        <v>8.8</v>
      </c>
    </row>
    <row r="289">
      <c r="C289" s="124"/>
      <c r="H289" s="28">
        <v>42.0</v>
      </c>
      <c r="J289" s="28">
        <v>0.52</v>
      </c>
      <c r="K289" s="28">
        <v>42.0</v>
      </c>
      <c r="P289" s="134"/>
      <c r="AE289" s="28">
        <v>-46.43</v>
      </c>
      <c r="AF289" s="28">
        <v>-50.29</v>
      </c>
    </row>
    <row r="290">
      <c r="C290" s="124"/>
      <c r="H290" s="28">
        <v>48.0</v>
      </c>
      <c r="J290" s="28">
        <v>0.5</v>
      </c>
      <c r="K290" s="28">
        <v>44.0</v>
      </c>
      <c r="P290" s="134"/>
      <c r="AE290" s="28">
        <v>-46.45</v>
      </c>
      <c r="AF290" s="28">
        <v>-79.5</v>
      </c>
    </row>
    <row r="291">
      <c r="C291" s="124"/>
      <c r="H291" s="28">
        <v>42.0</v>
      </c>
      <c r="J291" s="28">
        <v>0.47</v>
      </c>
      <c r="K291" s="28">
        <v>44.0</v>
      </c>
      <c r="P291" s="134"/>
      <c r="AE291" s="28">
        <v>-46.49</v>
      </c>
      <c r="AF291" s="28">
        <v>-59.45</v>
      </c>
    </row>
    <row r="292">
      <c r="C292" s="124"/>
      <c r="H292" s="28">
        <v>45.0</v>
      </c>
      <c r="J292" s="28">
        <v>0.49</v>
      </c>
      <c r="K292" s="28">
        <v>43.0</v>
      </c>
      <c r="P292" s="134"/>
      <c r="AE292" s="28">
        <v>-46.6</v>
      </c>
      <c r="AF292" s="28">
        <v>-93.96</v>
      </c>
    </row>
    <row r="293">
      <c r="C293" s="124"/>
      <c r="H293" s="28">
        <v>46.0</v>
      </c>
      <c r="J293" s="28">
        <v>0.49</v>
      </c>
      <c r="K293" s="28">
        <v>41.0</v>
      </c>
      <c r="P293" s="134"/>
      <c r="AE293" s="28">
        <v>-47.32</v>
      </c>
      <c r="AF293" s="28">
        <v>132.4</v>
      </c>
    </row>
    <row r="294">
      <c r="C294" s="124"/>
      <c r="H294" s="28">
        <v>47.0</v>
      </c>
      <c r="J294" s="28">
        <v>0.54</v>
      </c>
      <c r="K294" s="28">
        <v>40.0</v>
      </c>
      <c r="P294" s="134"/>
      <c r="AE294" s="28">
        <v>-47.49</v>
      </c>
      <c r="AF294" s="28">
        <v>-57.05</v>
      </c>
    </row>
    <row r="295">
      <c r="C295" s="124"/>
      <c r="H295" s="28">
        <v>46.0</v>
      </c>
      <c r="J295" s="28">
        <v>0.52</v>
      </c>
      <c r="K295" s="28">
        <v>46.0</v>
      </c>
      <c r="P295" s="134"/>
      <c r="AE295" s="28">
        <v>-47.55</v>
      </c>
      <c r="AF295" s="28">
        <v>-87.72</v>
      </c>
    </row>
    <row r="296">
      <c r="C296" s="124"/>
      <c r="H296" s="28">
        <v>47.0</v>
      </c>
      <c r="J296" s="28">
        <v>0.56</v>
      </c>
      <c r="K296" s="28">
        <v>45.0</v>
      </c>
      <c r="P296" s="134"/>
      <c r="AE296" s="28">
        <v>-47.75</v>
      </c>
      <c r="AF296" s="28">
        <v>-59.17</v>
      </c>
    </row>
    <row r="297">
      <c r="C297" s="124"/>
      <c r="H297" s="28">
        <v>49.0</v>
      </c>
      <c r="J297" s="28">
        <v>0.48</v>
      </c>
      <c r="K297" s="28">
        <v>46.0</v>
      </c>
      <c r="P297" s="134"/>
      <c r="AE297" s="28">
        <v>-47.98</v>
      </c>
      <c r="AF297" s="28">
        <v>-82.36</v>
      </c>
    </row>
    <row r="298">
      <c r="C298" s="124"/>
      <c r="H298" s="28">
        <v>45.0</v>
      </c>
      <c r="J298" s="28">
        <v>0.5</v>
      </c>
      <c r="K298" s="28">
        <v>46.0</v>
      </c>
      <c r="P298" s="134"/>
      <c r="AE298" s="28">
        <v>-48.06</v>
      </c>
      <c r="AF298" s="28">
        <v>-58.04</v>
      </c>
    </row>
    <row r="299">
      <c r="C299" s="124"/>
      <c r="H299" s="28">
        <v>47.0</v>
      </c>
      <c r="J299" s="28">
        <v>0.5</v>
      </c>
      <c r="K299" s="28">
        <v>44.0</v>
      </c>
      <c r="P299" s="134"/>
      <c r="AE299" s="28">
        <v>-48.14</v>
      </c>
      <c r="AF299" s="28">
        <v>67.08</v>
      </c>
    </row>
    <row r="300">
      <c r="C300" s="124"/>
      <c r="H300" s="28">
        <v>42.0</v>
      </c>
      <c r="J300" s="28">
        <v>0.5</v>
      </c>
      <c r="K300" s="28">
        <v>43.0</v>
      </c>
      <c r="P300" s="134"/>
      <c r="AE300" s="28">
        <v>-48.2</v>
      </c>
      <c r="AF300" s="28">
        <v>-18.42</v>
      </c>
    </row>
    <row r="301">
      <c r="C301" s="124"/>
      <c r="H301" s="28">
        <v>45.0</v>
      </c>
      <c r="J301" s="28">
        <v>0.48</v>
      </c>
      <c r="K301" s="28">
        <v>42.0</v>
      </c>
      <c r="P301" s="134"/>
      <c r="AE301" s="28">
        <v>-48.25</v>
      </c>
      <c r="AF301" s="28">
        <v>-35.34</v>
      </c>
    </row>
    <row r="302">
      <c r="C302" s="124"/>
      <c r="H302" s="28">
        <v>42.0</v>
      </c>
      <c r="J302" s="28">
        <v>0.48</v>
      </c>
      <c r="K302" s="28">
        <v>42.0</v>
      </c>
      <c r="P302" s="134"/>
      <c r="AE302" s="28">
        <v>-48.5</v>
      </c>
      <c r="AF302" s="28">
        <v>-19.81</v>
      </c>
    </row>
    <row r="303">
      <c r="C303" s="124"/>
      <c r="H303" s="28">
        <v>42.0</v>
      </c>
      <c r="J303" s="28">
        <v>0.53</v>
      </c>
      <c r="K303" s="28">
        <v>45.0</v>
      </c>
      <c r="P303" s="134"/>
      <c r="AE303" s="28">
        <v>-48.57</v>
      </c>
      <c r="AF303" s="28">
        <v>-64.2</v>
      </c>
    </row>
    <row r="304">
      <c r="C304" s="124"/>
      <c r="H304" s="28">
        <v>40.0</v>
      </c>
      <c r="J304" s="28">
        <v>0.51</v>
      </c>
      <c r="K304" s="28">
        <v>43.0</v>
      </c>
      <c r="P304" s="134"/>
      <c r="AE304" s="28">
        <v>-49.19</v>
      </c>
      <c r="AF304" s="28">
        <v>-50.36</v>
      </c>
    </row>
    <row r="305">
      <c r="C305" s="124"/>
      <c r="H305" s="28">
        <v>48.0</v>
      </c>
      <c r="J305" s="28">
        <v>0.49</v>
      </c>
      <c r="K305" s="28">
        <v>51.0</v>
      </c>
      <c r="P305" s="134"/>
      <c r="AE305" s="28">
        <v>-49.85</v>
      </c>
      <c r="AF305" s="28">
        <v>-58.58</v>
      </c>
    </row>
    <row r="306">
      <c r="C306" s="124"/>
      <c r="H306" s="28">
        <v>45.0</v>
      </c>
      <c r="J306" s="28">
        <v>0.51</v>
      </c>
      <c r="K306" s="28">
        <v>41.0</v>
      </c>
      <c r="P306" s="134"/>
      <c r="AE306" s="28">
        <v>-50.19</v>
      </c>
      <c r="AF306" s="28">
        <v>-69.6</v>
      </c>
    </row>
    <row r="307">
      <c r="C307" s="124"/>
      <c r="H307" s="28">
        <v>37.0</v>
      </c>
      <c r="J307" s="28">
        <v>0.5</v>
      </c>
      <c r="K307" s="28">
        <v>50.0</v>
      </c>
      <c r="P307" s="134"/>
      <c r="AE307" s="28">
        <v>-50.39</v>
      </c>
      <c r="AF307" s="28">
        <v>-35.21</v>
      </c>
    </row>
    <row r="308">
      <c r="C308" s="124"/>
      <c r="H308" s="28">
        <v>47.0</v>
      </c>
      <c r="J308" s="28">
        <v>0.51</v>
      </c>
      <c r="K308" s="28">
        <v>41.0</v>
      </c>
      <c r="P308" s="134"/>
      <c r="AE308" s="28">
        <v>-50.46</v>
      </c>
      <c r="AF308" s="28">
        <v>-45.24</v>
      </c>
    </row>
    <row r="309">
      <c r="C309" s="124"/>
      <c r="H309" s="28">
        <v>46.0</v>
      </c>
      <c r="J309" s="28">
        <v>0.52</v>
      </c>
      <c r="K309" s="28">
        <v>44.0</v>
      </c>
      <c r="P309" s="134"/>
      <c r="AE309" s="28">
        <v>-50.5</v>
      </c>
      <c r="AF309" s="28">
        <v>-30.0</v>
      </c>
    </row>
    <row r="310">
      <c r="C310" s="124"/>
      <c r="H310" s="28">
        <v>41.0</v>
      </c>
      <c r="J310" s="28">
        <v>0.46</v>
      </c>
      <c r="K310" s="28">
        <v>46.0</v>
      </c>
      <c r="P310" s="134"/>
      <c r="AE310" s="28">
        <v>-50.71</v>
      </c>
      <c r="AF310" s="28">
        <v>-32.85</v>
      </c>
    </row>
    <row r="311">
      <c r="C311" s="124"/>
      <c r="H311" s="28">
        <v>46.0</v>
      </c>
      <c r="J311" s="28">
        <v>0.46</v>
      </c>
      <c r="K311" s="28">
        <v>41.0</v>
      </c>
      <c r="P311" s="134"/>
      <c r="AE311" s="28">
        <v>-51.41</v>
      </c>
      <c r="AF311" s="28">
        <v>-72.97</v>
      </c>
    </row>
    <row r="312">
      <c r="C312" s="124"/>
      <c r="H312" s="28">
        <v>49.0</v>
      </c>
      <c r="J312" s="28">
        <v>0.48</v>
      </c>
      <c r="K312" s="28">
        <v>39.0</v>
      </c>
      <c r="P312" s="134"/>
      <c r="AE312" s="28">
        <v>-52.32</v>
      </c>
      <c r="AF312" s="28">
        <v>-66.69</v>
      </c>
    </row>
    <row r="313">
      <c r="C313" s="124"/>
      <c r="H313" s="28">
        <v>46.0</v>
      </c>
      <c r="J313" s="28">
        <v>0.43</v>
      </c>
      <c r="K313" s="28">
        <v>49.0</v>
      </c>
      <c r="P313" s="134"/>
      <c r="AE313" s="28">
        <v>-52.67</v>
      </c>
      <c r="AF313" s="28">
        <v>-78.32</v>
      </c>
    </row>
    <row r="314">
      <c r="C314" s="124"/>
      <c r="H314" s="28">
        <v>45.0</v>
      </c>
      <c r="J314" s="28">
        <v>0.52</v>
      </c>
      <c r="K314" s="28">
        <v>48.0</v>
      </c>
      <c r="P314" s="134"/>
      <c r="AE314" s="28">
        <v>-52.98</v>
      </c>
      <c r="AF314" s="28">
        <v>-45.63</v>
      </c>
    </row>
    <row r="315">
      <c r="C315" s="124"/>
      <c r="H315" s="28">
        <v>43.0</v>
      </c>
      <c r="J315" s="28">
        <v>0.42</v>
      </c>
      <c r="K315" s="28">
        <v>43.0</v>
      </c>
      <c r="P315" s="134"/>
      <c r="AE315" s="28">
        <v>-52.99</v>
      </c>
      <c r="AF315" s="28">
        <v>-44.34</v>
      </c>
    </row>
    <row r="316">
      <c r="C316" s="124"/>
      <c r="H316" s="28">
        <v>43.0</v>
      </c>
      <c r="J316" s="28">
        <v>0.48</v>
      </c>
      <c r="K316" s="28">
        <v>40.0</v>
      </c>
      <c r="P316" s="134"/>
      <c r="AE316" s="28">
        <v>-53.75</v>
      </c>
      <c r="AF316" s="28">
        <v>-62.38</v>
      </c>
    </row>
    <row r="317">
      <c r="C317" s="124"/>
      <c r="H317" s="28">
        <v>47.0</v>
      </c>
      <c r="J317" s="28">
        <v>0.47</v>
      </c>
      <c r="K317" s="28">
        <v>43.0</v>
      </c>
      <c r="P317" s="134"/>
      <c r="AE317" s="28">
        <v>-54.0</v>
      </c>
      <c r="AF317" s="28">
        <v>-31.7</v>
      </c>
    </row>
    <row r="318">
      <c r="C318" s="124"/>
      <c r="H318" s="28">
        <v>45.0</v>
      </c>
      <c r="J318" s="28">
        <v>0.48</v>
      </c>
      <c r="K318" s="28">
        <v>41.0</v>
      </c>
      <c r="P318" s="134"/>
      <c r="AE318" s="28">
        <v>-54.4</v>
      </c>
      <c r="AF318" s="28">
        <v>4.76</v>
      </c>
    </row>
    <row r="319">
      <c r="C319" s="124"/>
      <c r="H319" s="28">
        <v>50.0</v>
      </c>
      <c r="J319" s="28">
        <v>0.48</v>
      </c>
      <c r="K319" s="28">
        <v>44.0</v>
      </c>
      <c r="P319" s="134"/>
      <c r="AE319" s="28">
        <v>-54.58</v>
      </c>
      <c r="AF319" s="28">
        <v>-73.6</v>
      </c>
    </row>
    <row r="320">
      <c r="C320" s="124"/>
      <c r="H320" s="28">
        <v>43.0</v>
      </c>
      <c r="J320" s="28">
        <v>0.52</v>
      </c>
      <c r="K320" s="28">
        <v>45.0</v>
      </c>
      <c r="P320" s="134"/>
      <c r="AE320" s="28">
        <v>-54.61</v>
      </c>
      <c r="AF320" s="28">
        <v>-44.06</v>
      </c>
    </row>
    <row r="321">
      <c r="C321" s="124"/>
      <c r="H321" s="28">
        <v>48.0</v>
      </c>
      <c r="J321" s="28">
        <v>0.5</v>
      </c>
      <c r="K321" s="28">
        <v>42.0</v>
      </c>
      <c r="P321" s="134"/>
      <c r="AE321" s="28">
        <v>-54.9</v>
      </c>
      <c r="AF321" s="28">
        <v>-51.12</v>
      </c>
    </row>
    <row r="322">
      <c r="C322" s="124"/>
      <c r="H322" s="28">
        <v>46.0</v>
      </c>
      <c r="J322" s="28">
        <v>0.47</v>
      </c>
      <c r="K322" s="28">
        <v>47.0</v>
      </c>
      <c r="P322" s="134"/>
      <c r="AE322" s="28">
        <v>-55.28</v>
      </c>
      <c r="AF322" s="28">
        <v>-40.79</v>
      </c>
    </row>
    <row r="323">
      <c r="C323" s="124"/>
      <c r="H323" s="28">
        <v>43.0</v>
      </c>
      <c r="J323" s="28">
        <v>0.44</v>
      </c>
      <c r="K323" s="28">
        <v>47.0</v>
      </c>
      <c r="P323" s="134"/>
      <c r="AE323" s="28">
        <v>-55.64</v>
      </c>
      <c r="AF323" s="28">
        <v>-88.06</v>
      </c>
    </row>
    <row r="324">
      <c r="C324" s="124"/>
      <c r="H324" s="28">
        <v>45.0</v>
      </c>
      <c r="J324" s="28">
        <v>0.54</v>
      </c>
      <c r="K324" s="28">
        <v>42.0</v>
      </c>
      <c r="P324" s="134"/>
      <c r="AE324" s="28">
        <v>-56.41</v>
      </c>
      <c r="AF324" s="28">
        <v>-57.86</v>
      </c>
    </row>
    <row r="325">
      <c r="C325" s="124"/>
      <c r="H325" s="28">
        <v>45.0</v>
      </c>
      <c r="J325" s="28">
        <v>0.51</v>
      </c>
      <c r="K325" s="28">
        <v>41.0</v>
      </c>
      <c r="P325" s="134"/>
      <c r="AE325" s="28">
        <v>-56.58</v>
      </c>
      <c r="AF325" s="28">
        <v>-22.65</v>
      </c>
    </row>
    <row r="326">
      <c r="C326" s="124"/>
      <c r="H326" s="28">
        <v>45.0</v>
      </c>
      <c r="J326" s="28">
        <v>0.51</v>
      </c>
      <c r="K326" s="28">
        <v>41.0</v>
      </c>
      <c r="P326" s="134"/>
      <c r="AE326" s="28">
        <v>-56.69</v>
      </c>
      <c r="AF326" s="28">
        <v>-61.53</v>
      </c>
    </row>
    <row r="327">
      <c r="C327" s="124"/>
      <c r="H327" s="28">
        <v>43.0</v>
      </c>
      <c r="J327" s="28">
        <v>0.51</v>
      </c>
      <c r="K327" s="28">
        <v>45.0</v>
      </c>
      <c r="P327" s="134"/>
      <c r="AE327" s="28">
        <v>-57.05</v>
      </c>
      <c r="AF327" s="28">
        <v>9.91</v>
      </c>
    </row>
    <row r="328">
      <c r="C328" s="124"/>
      <c r="H328" s="28">
        <v>43.0</v>
      </c>
      <c r="J328" s="28">
        <v>0.51</v>
      </c>
      <c r="K328" s="28">
        <v>41.0</v>
      </c>
      <c r="P328" s="134"/>
      <c r="AE328" s="28">
        <v>-57.29</v>
      </c>
      <c r="AF328" s="28">
        <v>106.16</v>
      </c>
    </row>
    <row r="329">
      <c r="C329" s="124"/>
      <c r="H329" s="28">
        <v>45.0</v>
      </c>
      <c r="J329" s="28">
        <v>0.51</v>
      </c>
      <c r="K329" s="28">
        <v>46.0</v>
      </c>
      <c r="P329" s="134"/>
      <c r="AE329" s="28">
        <v>-57.43</v>
      </c>
      <c r="AF329" s="28">
        <v>-77.85</v>
      </c>
    </row>
    <row r="330">
      <c r="C330" s="124"/>
      <c r="H330" s="28">
        <v>48.0</v>
      </c>
      <c r="J330" s="28">
        <v>0.48</v>
      </c>
      <c r="K330" s="28">
        <v>44.0</v>
      </c>
      <c r="P330" s="134"/>
      <c r="AE330" s="28">
        <v>-57.74</v>
      </c>
      <c r="AF330" s="28">
        <v>-78.06</v>
      </c>
    </row>
    <row r="331">
      <c r="C331" s="124"/>
      <c r="H331" s="28">
        <v>45.0</v>
      </c>
      <c r="J331" s="28">
        <v>0.45</v>
      </c>
      <c r="K331" s="28">
        <v>47.0</v>
      </c>
      <c r="P331" s="134"/>
      <c r="AE331" s="28">
        <v>-57.8</v>
      </c>
      <c r="AF331" s="28">
        <v>-77.11</v>
      </c>
    </row>
    <row r="332">
      <c r="C332" s="124"/>
      <c r="H332" s="28">
        <v>44.0</v>
      </c>
      <c r="J332" s="28">
        <v>0.51</v>
      </c>
      <c r="K332" s="28">
        <v>42.0</v>
      </c>
      <c r="P332" s="134"/>
      <c r="AE332" s="28">
        <v>-58.03</v>
      </c>
      <c r="AF332" s="28">
        <v>-49.83</v>
      </c>
    </row>
    <row r="333">
      <c r="C333" s="124"/>
      <c r="H333" s="28">
        <v>44.0</v>
      </c>
      <c r="J333" s="28">
        <v>0.48</v>
      </c>
      <c r="K333" s="28">
        <v>47.0</v>
      </c>
      <c r="P333" s="134"/>
      <c r="AE333" s="28">
        <v>-58.25</v>
      </c>
      <c r="AF333" s="28">
        <v>-69.57</v>
      </c>
    </row>
    <row r="334">
      <c r="C334" s="124"/>
      <c r="H334" s="28">
        <v>49.0</v>
      </c>
      <c r="J334" s="28">
        <v>0.52</v>
      </c>
      <c r="K334" s="28">
        <v>42.0</v>
      </c>
      <c r="P334" s="134"/>
      <c r="AE334" s="28">
        <v>-58.45</v>
      </c>
      <c r="AF334" s="28">
        <v>-74.4</v>
      </c>
    </row>
    <row r="335">
      <c r="C335" s="124"/>
      <c r="H335" s="28">
        <v>46.0</v>
      </c>
      <c r="J335" s="28">
        <v>0.42</v>
      </c>
      <c r="K335" s="28">
        <v>47.0</v>
      </c>
      <c r="P335" s="134"/>
      <c r="AE335" s="28">
        <v>-58.7</v>
      </c>
      <c r="AF335" s="28">
        <v>-73.87</v>
      </c>
    </row>
    <row r="336">
      <c r="C336" s="124"/>
      <c r="H336" s="28">
        <v>47.0</v>
      </c>
      <c r="J336" s="28">
        <v>0.5</v>
      </c>
      <c r="K336" s="28">
        <v>39.0</v>
      </c>
      <c r="P336" s="134"/>
      <c r="AE336" s="28">
        <v>-59.1</v>
      </c>
      <c r="AF336" s="28">
        <v>-70.61</v>
      </c>
    </row>
    <row r="337">
      <c r="C337" s="124"/>
      <c r="H337" s="28">
        <v>44.0</v>
      </c>
      <c r="J337" s="28">
        <v>0.48</v>
      </c>
      <c r="K337" s="28">
        <v>46.0</v>
      </c>
      <c r="P337" s="134"/>
      <c r="AE337" s="28">
        <v>-60.56</v>
      </c>
      <c r="AF337" s="28">
        <v>-95.17</v>
      </c>
    </row>
    <row r="338">
      <c r="C338" s="124"/>
      <c r="H338" s="28">
        <v>44.0</v>
      </c>
      <c r="J338" s="28">
        <v>0.47</v>
      </c>
      <c r="K338" s="28">
        <v>43.0</v>
      </c>
      <c r="P338" s="134"/>
      <c r="AE338" s="28">
        <v>-60.78</v>
      </c>
      <c r="AF338" s="28">
        <v>-50.92</v>
      </c>
    </row>
    <row r="339">
      <c r="C339" s="124"/>
      <c r="H339" s="28">
        <v>47.0</v>
      </c>
      <c r="J339" s="28">
        <v>0.56</v>
      </c>
      <c r="K339" s="28">
        <v>46.0</v>
      </c>
      <c r="P339" s="134"/>
      <c r="AE339" s="28">
        <v>-61.12</v>
      </c>
      <c r="AF339" s="28">
        <v>-72.89</v>
      </c>
    </row>
    <row r="340">
      <c r="C340" s="124"/>
      <c r="H340" s="28">
        <v>47.0</v>
      </c>
      <c r="J340" s="28">
        <v>0.5</v>
      </c>
      <c r="K340" s="28">
        <v>41.0</v>
      </c>
      <c r="P340" s="134"/>
      <c r="AE340" s="28">
        <v>-61.16</v>
      </c>
      <c r="AF340" s="28">
        <v>-26.6</v>
      </c>
    </row>
    <row r="341">
      <c r="C341" s="124"/>
      <c r="H341" s="28">
        <v>43.0</v>
      </c>
      <c r="J341" s="28">
        <v>0.47</v>
      </c>
      <c r="K341" s="28">
        <v>45.0</v>
      </c>
      <c r="P341" s="134"/>
      <c r="AE341" s="28">
        <v>-61.68</v>
      </c>
      <c r="AF341" s="28">
        <v>-48.24</v>
      </c>
    </row>
    <row r="342">
      <c r="C342" s="124"/>
      <c r="H342" s="28">
        <v>40.0</v>
      </c>
      <c r="J342" s="28">
        <v>0.51</v>
      </c>
      <c r="K342" s="28">
        <v>45.0</v>
      </c>
      <c r="P342" s="134"/>
      <c r="AE342" s="28">
        <v>-61.7</v>
      </c>
      <c r="AF342" s="28">
        <v>-76.37</v>
      </c>
    </row>
    <row r="343">
      <c r="C343" s="124"/>
      <c r="H343" s="28">
        <v>40.0</v>
      </c>
      <c r="J343" s="28">
        <v>0.5</v>
      </c>
      <c r="K343" s="28">
        <v>48.0</v>
      </c>
      <c r="P343" s="134"/>
      <c r="AE343" s="28">
        <v>-64.73</v>
      </c>
      <c r="AF343" s="28">
        <v>-36.44</v>
      </c>
    </row>
    <row r="344">
      <c r="C344" s="124"/>
      <c r="H344" s="28">
        <v>50.0</v>
      </c>
      <c r="J344" s="28">
        <v>0.52</v>
      </c>
      <c r="K344" s="28">
        <v>44.0</v>
      </c>
      <c r="P344" s="134"/>
      <c r="AE344" s="28">
        <v>-64.95</v>
      </c>
      <c r="AF344" s="28">
        <v>-90.67</v>
      </c>
    </row>
    <row r="345">
      <c r="C345" s="124"/>
      <c r="H345" s="28">
        <v>42.0</v>
      </c>
      <c r="J345" s="28">
        <v>0.42</v>
      </c>
      <c r="K345" s="28">
        <v>44.0</v>
      </c>
      <c r="P345" s="134"/>
      <c r="AE345" s="28">
        <v>-65.45</v>
      </c>
      <c r="AF345" s="28">
        <v>-56.42</v>
      </c>
    </row>
    <row r="346">
      <c r="C346" s="124"/>
      <c r="H346" s="28">
        <v>48.0</v>
      </c>
      <c r="J346" s="28">
        <v>0.42</v>
      </c>
      <c r="K346" s="28">
        <v>45.0</v>
      </c>
      <c r="P346" s="134"/>
      <c r="AE346" s="28">
        <v>-66.19</v>
      </c>
      <c r="AF346" s="28">
        <v>-61.17</v>
      </c>
    </row>
    <row r="347">
      <c r="C347" s="124"/>
      <c r="H347" s="28">
        <v>48.0</v>
      </c>
      <c r="J347" s="28">
        <v>0.5</v>
      </c>
      <c r="K347" s="28">
        <v>43.0</v>
      </c>
      <c r="P347" s="134"/>
      <c r="AE347" s="28">
        <v>-66.74</v>
      </c>
      <c r="AF347" s="28">
        <v>11.35</v>
      </c>
    </row>
    <row r="348">
      <c r="C348" s="124"/>
      <c r="H348" s="28">
        <v>45.0</v>
      </c>
      <c r="J348" s="28">
        <v>0.39</v>
      </c>
      <c r="K348" s="28">
        <v>46.0</v>
      </c>
      <c r="P348" s="134"/>
      <c r="AE348" s="28">
        <v>-67.75</v>
      </c>
      <c r="AF348" s="28">
        <v>-29.75</v>
      </c>
    </row>
    <row r="349">
      <c r="C349" s="124"/>
      <c r="H349" s="28">
        <v>44.0</v>
      </c>
      <c r="J349" s="28">
        <v>0.44</v>
      </c>
      <c r="K349" s="28">
        <v>45.0</v>
      </c>
      <c r="P349" s="134"/>
      <c r="AE349" s="28">
        <v>-67.96</v>
      </c>
      <c r="AF349" s="28">
        <v>-29.69</v>
      </c>
    </row>
    <row r="350">
      <c r="C350" s="124"/>
      <c r="H350" s="28">
        <v>45.0</v>
      </c>
      <c r="J350" s="28">
        <v>0.43</v>
      </c>
      <c r="K350" s="28">
        <v>45.0</v>
      </c>
      <c r="P350" s="134"/>
      <c r="AE350" s="28">
        <v>-68.07</v>
      </c>
      <c r="AF350" s="28">
        <v>-96.63</v>
      </c>
    </row>
    <row r="351">
      <c r="C351" s="124"/>
      <c r="H351" s="28">
        <v>44.0</v>
      </c>
      <c r="J351" s="28">
        <v>0.47</v>
      </c>
      <c r="K351" s="28">
        <v>43.0</v>
      </c>
      <c r="P351" s="134"/>
      <c r="AE351" s="28">
        <v>-69.13</v>
      </c>
      <c r="AF351" s="28">
        <v>-82.96</v>
      </c>
    </row>
    <row r="352">
      <c r="C352" s="124"/>
      <c r="H352" s="28">
        <v>47.0</v>
      </c>
      <c r="J352" s="28">
        <v>0.46</v>
      </c>
      <c r="K352" s="28">
        <v>41.0</v>
      </c>
      <c r="P352" s="134"/>
      <c r="AE352" s="28">
        <v>-69.18</v>
      </c>
      <c r="AF352" s="28">
        <v>-82.71</v>
      </c>
    </row>
    <row r="353">
      <c r="C353" s="124"/>
      <c r="H353" s="28">
        <v>44.0</v>
      </c>
      <c r="J353" s="28">
        <v>0.41</v>
      </c>
      <c r="K353" s="28">
        <v>46.0</v>
      </c>
      <c r="P353" s="134"/>
      <c r="AE353" s="28">
        <v>-70.56</v>
      </c>
      <c r="AF353" s="28">
        <v>-62.62</v>
      </c>
    </row>
    <row r="354">
      <c r="C354" s="124"/>
      <c r="H354" s="28">
        <v>44.0</v>
      </c>
      <c r="J354" s="28">
        <v>0.47</v>
      </c>
      <c r="K354" s="28">
        <v>44.0</v>
      </c>
      <c r="P354" s="134"/>
      <c r="AE354" s="28">
        <v>-71.22</v>
      </c>
      <c r="AF354" s="28">
        <v>-48.5</v>
      </c>
    </row>
    <row r="355">
      <c r="C355" s="124"/>
      <c r="H355" s="28">
        <v>46.0</v>
      </c>
      <c r="J355" s="28">
        <v>0.43</v>
      </c>
      <c r="K355" s="28">
        <v>46.0</v>
      </c>
      <c r="P355" s="134"/>
      <c r="AE355" s="28">
        <v>-71.66</v>
      </c>
      <c r="AF355" s="28">
        <v>-34.2</v>
      </c>
    </row>
    <row r="356">
      <c r="C356" s="124"/>
      <c r="H356" s="28">
        <v>46.0</v>
      </c>
      <c r="J356" s="28">
        <v>0.42</v>
      </c>
      <c r="K356" s="28">
        <v>41.0</v>
      </c>
      <c r="P356" s="134"/>
      <c r="AE356" s="28">
        <v>-72.25</v>
      </c>
      <c r="AF356" s="28">
        <v>-73.98</v>
      </c>
    </row>
    <row r="357">
      <c r="C357" s="124"/>
      <c r="H357" s="28">
        <v>43.0</v>
      </c>
      <c r="J357" s="28">
        <v>0.44</v>
      </c>
      <c r="K357" s="28">
        <v>47.0</v>
      </c>
      <c r="P357" s="134"/>
      <c r="AE357" s="28">
        <v>-72.81</v>
      </c>
      <c r="AF357" s="28">
        <v>-51.19</v>
      </c>
    </row>
    <row r="358">
      <c r="C358" s="124"/>
      <c r="H358" s="28">
        <v>41.0</v>
      </c>
      <c r="J358" s="28">
        <v>0.53</v>
      </c>
      <c r="K358" s="28">
        <v>46.0</v>
      </c>
      <c r="P358" s="134"/>
      <c r="AE358" s="28">
        <v>-73.11</v>
      </c>
      <c r="AF358" s="28">
        <v>-61.21</v>
      </c>
    </row>
    <row r="359">
      <c r="C359" s="124"/>
      <c r="H359" s="28">
        <v>48.0</v>
      </c>
      <c r="J359" s="28">
        <v>0.41</v>
      </c>
      <c r="K359" s="28">
        <v>46.0</v>
      </c>
      <c r="P359" s="134"/>
      <c r="AE359" s="28">
        <v>-73.74</v>
      </c>
      <c r="AF359" s="28">
        <v>-75.29</v>
      </c>
    </row>
    <row r="360">
      <c r="C360" s="124"/>
      <c r="H360" s="28">
        <v>43.0</v>
      </c>
      <c r="J360" s="28">
        <v>0.47</v>
      </c>
      <c r="K360" s="28">
        <v>45.0</v>
      </c>
      <c r="P360" s="134"/>
      <c r="AE360" s="28">
        <v>-76.59</v>
      </c>
      <c r="AF360" s="28">
        <v>-69.34</v>
      </c>
    </row>
    <row r="361">
      <c r="C361" s="124"/>
      <c r="H361" s="28">
        <v>45.0</v>
      </c>
      <c r="J361" s="28">
        <v>0.41</v>
      </c>
      <c r="K361" s="28">
        <v>43.0</v>
      </c>
      <c r="P361" s="134"/>
      <c r="AE361" s="28">
        <v>-77.16</v>
      </c>
      <c r="AF361" s="28">
        <v>-48.89</v>
      </c>
    </row>
    <row r="362">
      <c r="C362" s="124"/>
      <c r="H362" s="28">
        <v>46.0</v>
      </c>
      <c r="J362" s="28">
        <v>0.43</v>
      </c>
      <c r="K362" s="28">
        <v>46.0</v>
      </c>
      <c r="P362" s="134"/>
      <c r="AE362" s="28">
        <v>-77.51</v>
      </c>
      <c r="AF362" s="28">
        <v>-33.52</v>
      </c>
    </row>
    <row r="363">
      <c r="C363" s="124"/>
      <c r="H363" s="28">
        <v>49.0</v>
      </c>
      <c r="J363" s="28">
        <v>0.48</v>
      </c>
      <c r="K363" s="28">
        <v>40.0</v>
      </c>
      <c r="P363" s="134"/>
      <c r="AE363" s="28">
        <v>-77.6</v>
      </c>
      <c r="AF363" s="28">
        <v>-45.33</v>
      </c>
    </row>
    <row r="364">
      <c r="C364" s="124"/>
      <c r="H364" s="28">
        <v>47.0</v>
      </c>
      <c r="J364" s="28">
        <v>0.49</v>
      </c>
      <c r="K364" s="28">
        <v>42.0</v>
      </c>
      <c r="P364" s="134"/>
      <c r="AE364" s="28">
        <v>-78.26</v>
      </c>
      <c r="AF364" s="28">
        <v>-93.6</v>
      </c>
    </row>
    <row r="365">
      <c r="C365" s="124"/>
      <c r="H365" s="28">
        <v>43.0</v>
      </c>
      <c r="J365" s="28">
        <v>0.48</v>
      </c>
      <c r="K365" s="28">
        <v>45.0</v>
      </c>
      <c r="P365" s="134"/>
      <c r="AE365" s="28">
        <v>-78.67</v>
      </c>
      <c r="AF365" s="28">
        <v>-48.63</v>
      </c>
    </row>
    <row r="366">
      <c r="C366" s="124"/>
      <c r="H366" s="28">
        <v>44.0</v>
      </c>
      <c r="J366" s="28">
        <v>0.46</v>
      </c>
      <c r="K366" s="28">
        <v>42.0</v>
      </c>
      <c r="P366" s="134"/>
      <c r="AE366" s="28">
        <v>-78.73</v>
      </c>
      <c r="AF366" s="28">
        <v>-74.2</v>
      </c>
    </row>
    <row r="367">
      <c r="C367" s="124"/>
      <c r="H367" s="28">
        <v>43.0</v>
      </c>
      <c r="J367" s="28">
        <v>0.46</v>
      </c>
      <c r="K367" s="28">
        <v>41.0</v>
      </c>
      <c r="P367" s="134"/>
      <c r="AE367" s="28">
        <v>-80.15</v>
      </c>
      <c r="AF367" s="28">
        <v>-83.62</v>
      </c>
    </row>
    <row r="368">
      <c r="C368" s="124"/>
      <c r="H368" s="28">
        <v>47.0</v>
      </c>
      <c r="J368" s="28">
        <v>0.46</v>
      </c>
      <c r="K368" s="28">
        <v>41.0</v>
      </c>
      <c r="P368" s="134"/>
      <c r="AE368" s="28">
        <v>-81.78</v>
      </c>
      <c r="AF368" s="28">
        <v>-41.35</v>
      </c>
    </row>
    <row r="369">
      <c r="C369" s="124"/>
      <c r="H369" s="28">
        <v>45.0</v>
      </c>
      <c r="J369" s="28">
        <v>0.46</v>
      </c>
      <c r="K369" s="28">
        <v>43.0</v>
      </c>
      <c r="P369" s="134"/>
      <c r="AE369" s="28">
        <v>-81.82</v>
      </c>
      <c r="AF369" s="28">
        <v>-66.67</v>
      </c>
    </row>
    <row r="370">
      <c r="C370" s="124"/>
      <c r="H370" s="28">
        <v>45.0</v>
      </c>
      <c r="J370" s="28">
        <v>0.45</v>
      </c>
      <c r="K370" s="28">
        <v>45.0</v>
      </c>
      <c r="P370" s="134"/>
      <c r="AE370" s="28">
        <v>-83.2</v>
      </c>
      <c r="AF370" s="28">
        <v>-70.52</v>
      </c>
    </row>
    <row r="371">
      <c r="C371" s="124"/>
      <c r="H371" s="28">
        <v>48.0</v>
      </c>
      <c r="J371" s="28">
        <v>0.5</v>
      </c>
      <c r="K371" s="28">
        <v>47.0</v>
      </c>
      <c r="P371" s="134"/>
      <c r="AE371" s="28">
        <v>-85.76</v>
      </c>
      <c r="AF371" s="28">
        <v>-30.34</v>
      </c>
    </row>
    <row r="372">
      <c r="C372" s="124"/>
      <c r="H372" s="28">
        <v>45.0</v>
      </c>
      <c r="J372" s="28">
        <v>0.5</v>
      </c>
      <c r="K372" s="28">
        <v>39.0</v>
      </c>
      <c r="P372" s="134"/>
      <c r="AE372" s="28">
        <v>-86.13</v>
      </c>
      <c r="AF372" s="28">
        <v>-86.46</v>
      </c>
    </row>
    <row r="373">
      <c r="C373" s="124"/>
      <c r="H373" s="28">
        <v>50.0</v>
      </c>
      <c r="J373" s="28">
        <v>0.45</v>
      </c>
      <c r="K373" s="28">
        <v>42.0</v>
      </c>
      <c r="P373" s="134"/>
      <c r="AE373" s="28">
        <v>-89.52</v>
      </c>
      <c r="AF373" s="28">
        <v>-64.9</v>
      </c>
    </row>
    <row r="374">
      <c r="C374" s="124"/>
      <c r="H374" s="28">
        <v>45.0</v>
      </c>
      <c r="J374" s="28">
        <v>0.45</v>
      </c>
      <c r="K374" s="28">
        <v>41.0</v>
      </c>
      <c r="P374" s="134"/>
      <c r="AE374" s="28">
        <v>-89.64</v>
      </c>
      <c r="AF374" s="28">
        <v>-85.44</v>
      </c>
    </row>
    <row r="375">
      <c r="C375" s="124"/>
      <c r="H375" s="28">
        <v>44.0</v>
      </c>
      <c r="J375" s="28">
        <v>0.42</v>
      </c>
      <c r="K375" s="28">
        <v>39.0</v>
      </c>
      <c r="P375" s="134"/>
      <c r="AE375" s="28">
        <v>-91.46</v>
      </c>
      <c r="AF375" s="28">
        <v>-88.67</v>
      </c>
    </row>
    <row r="376">
      <c r="C376" s="124"/>
      <c r="H376" s="28">
        <v>43.0</v>
      </c>
      <c r="J376" s="28">
        <v>0.45</v>
      </c>
      <c r="K376" s="28">
        <v>42.0</v>
      </c>
      <c r="P376" s="134"/>
      <c r="AE376" s="28">
        <v>-92.32</v>
      </c>
      <c r="AF376" s="28">
        <v>-88.03</v>
      </c>
    </row>
    <row r="377">
      <c r="C377" s="124"/>
      <c r="H377" s="28">
        <v>44.0</v>
      </c>
      <c r="J377" s="28">
        <v>0.44</v>
      </c>
      <c r="K377" s="28">
        <v>40.0</v>
      </c>
      <c r="P377" s="134"/>
      <c r="AE377" s="28">
        <v>-93.64</v>
      </c>
      <c r="AF377" s="28">
        <v>-77.77</v>
      </c>
    </row>
    <row r="378">
      <c r="C378" s="124"/>
      <c r="H378" s="28">
        <v>43.0</v>
      </c>
      <c r="J378" s="28">
        <v>0.48</v>
      </c>
      <c r="K378" s="28">
        <v>43.0</v>
      </c>
      <c r="P378" s="134"/>
    </row>
    <row r="379">
      <c r="C379" s="124"/>
      <c r="H379" s="28">
        <v>47.0</v>
      </c>
      <c r="J379" s="28">
        <v>0.48</v>
      </c>
      <c r="K379" s="28">
        <v>42.0</v>
      </c>
      <c r="P379" s="134"/>
    </row>
    <row r="380">
      <c r="C380" s="124"/>
      <c r="H380" s="28">
        <v>45.0</v>
      </c>
      <c r="J380" s="28">
        <v>0.53</v>
      </c>
      <c r="K380" s="28">
        <v>40.0</v>
      </c>
      <c r="P380" s="134"/>
    </row>
    <row r="381">
      <c r="C381" s="124"/>
      <c r="H381" s="28">
        <v>45.0</v>
      </c>
      <c r="J381" s="28">
        <v>0.44</v>
      </c>
      <c r="K381" s="28">
        <v>44.0</v>
      </c>
      <c r="P381" s="134"/>
    </row>
    <row r="382">
      <c r="C382" s="124"/>
      <c r="H382" s="28">
        <v>52.0</v>
      </c>
      <c r="J382" s="28">
        <v>0.49</v>
      </c>
      <c r="K382" s="28">
        <v>45.0</v>
      </c>
      <c r="P382" s="134"/>
    </row>
    <row r="383">
      <c r="C383" s="124"/>
      <c r="H383" s="28">
        <v>46.0</v>
      </c>
      <c r="J383" s="28">
        <v>0.49</v>
      </c>
      <c r="K383" s="28">
        <v>46.0</v>
      </c>
      <c r="P383" s="134"/>
    </row>
    <row r="384">
      <c r="C384" s="124"/>
      <c r="H384" s="28">
        <v>42.0</v>
      </c>
      <c r="J384" s="28">
        <v>0.48</v>
      </c>
      <c r="K384" s="28">
        <v>44.0</v>
      </c>
      <c r="P384" s="134"/>
    </row>
    <row r="385">
      <c r="C385" s="124"/>
      <c r="H385" s="28">
        <v>48.0</v>
      </c>
      <c r="J385" s="28">
        <v>0.44</v>
      </c>
      <c r="K385" s="28">
        <v>46.0</v>
      </c>
      <c r="P385" s="134"/>
    </row>
    <row r="386">
      <c r="C386" s="124"/>
      <c r="H386" s="28">
        <v>44.0</v>
      </c>
      <c r="J386" s="28">
        <v>0.47</v>
      </c>
      <c r="K386" s="28">
        <v>48.0</v>
      </c>
      <c r="P386" s="134"/>
    </row>
    <row r="387">
      <c r="C387" s="124"/>
      <c r="H387" s="28">
        <v>43.0</v>
      </c>
      <c r="J387" s="28">
        <v>0.44</v>
      </c>
      <c r="K387" s="28">
        <v>42.0</v>
      </c>
      <c r="P387" s="134"/>
    </row>
    <row r="388">
      <c r="C388" s="124"/>
      <c r="H388" s="28">
        <v>46.0</v>
      </c>
      <c r="J388" s="28">
        <v>0.5</v>
      </c>
      <c r="K388" s="28">
        <v>43.0</v>
      </c>
      <c r="P388" s="134"/>
    </row>
    <row r="389">
      <c r="C389" s="124"/>
      <c r="H389" s="28">
        <v>47.0</v>
      </c>
      <c r="J389" s="28">
        <v>0.47</v>
      </c>
      <c r="K389" s="28">
        <v>47.0</v>
      </c>
      <c r="P389" s="134"/>
    </row>
    <row r="390">
      <c r="C390" s="124"/>
      <c r="H390" s="28">
        <v>49.0</v>
      </c>
      <c r="J390" s="28">
        <v>0.44</v>
      </c>
      <c r="K390" s="28">
        <v>47.0</v>
      </c>
      <c r="P390" s="134"/>
    </row>
    <row r="391">
      <c r="C391" s="124"/>
      <c r="H391" s="28">
        <v>44.0</v>
      </c>
      <c r="J391" s="28">
        <v>0.43</v>
      </c>
      <c r="K391" s="28">
        <v>46.0</v>
      </c>
      <c r="P391" s="134"/>
    </row>
    <row r="392">
      <c r="C392" s="124"/>
      <c r="H392" s="28">
        <v>46.0</v>
      </c>
      <c r="J392" s="28">
        <v>0.44</v>
      </c>
      <c r="K392" s="28">
        <v>45.0</v>
      </c>
      <c r="P392" s="134"/>
    </row>
    <row r="393">
      <c r="C393" s="124"/>
      <c r="H393" s="28">
        <v>45.0</v>
      </c>
      <c r="J393" s="28">
        <v>0.47</v>
      </c>
      <c r="K393" s="28">
        <v>46.0</v>
      </c>
      <c r="P393" s="134"/>
    </row>
    <row r="394">
      <c r="C394" s="124"/>
      <c r="H394" s="28">
        <v>49.0</v>
      </c>
      <c r="J394" s="28">
        <v>0.49</v>
      </c>
      <c r="K394" s="28">
        <v>49.0</v>
      </c>
      <c r="P394" s="134"/>
    </row>
    <row r="395">
      <c r="C395" s="124"/>
      <c r="H395" s="28">
        <v>49.0</v>
      </c>
      <c r="J395" s="28">
        <v>0.49</v>
      </c>
      <c r="K395" s="28">
        <v>42.0</v>
      </c>
      <c r="P395" s="134"/>
    </row>
    <row r="396">
      <c r="C396" s="124"/>
      <c r="H396" s="28">
        <v>50.0</v>
      </c>
      <c r="J396" s="28">
        <v>0.51</v>
      </c>
      <c r="K396" s="28">
        <v>44.0</v>
      </c>
      <c r="P396" s="134"/>
    </row>
    <row r="397">
      <c r="C397" s="124"/>
      <c r="H397" s="28">
        <v>43.0</v>
      </c>
      <c r="J397" s="28">
        <v>0.44</v>
      </c>
      <c r="K397" s="28">
        <v>51.0</v>
      </c>
      <c r="P397" s="134"/>
    </row>
    <row r="398">
      <c r="C398" s="124"/>
      <c r="H398" s="28">
        <v>46.0</v>
      </c>
      <c r="J398" s="28">
        <v>0.45</v>
      </c>
      <c r="K398" s="28">
        <v>51.0</v>
      </c>
      <c r="P398" s="134"/>
    </row>
    <row r="399">
      <c r="C399" s="124"/>
      <c r="H399" s="28">
        <v>49.0</v>
      </c>
      <c r="J399" s="28">
        <v>0.47</v>
      </c>
      <c r="K399" s="28">
        <v>45.0</v>
      </c>
      <c r="P399" s="134"/>
    </row>
    <row r="400">
      <c r="C400" s="124"/>
      <c r="H400" s="28">
        <v>47.0</v>
      </c>
      <c r="J400" s="28">
        <v>0.51</v>
      </c>
      <c r="K400" s="28">
        <v>50.0</v>
      </c>
      <c r="P400" s="134"/>
    </row>
    <row r="401">
      <c r="C401" s="124"/>
      <c r="H401" s="28">
        <v>45.0</v>
      </c>
      <c r="J401" s="28">
        <v>0.47</v>
      </c>
      <c r="K401" s="28">
        <v>47.0</v>
      </c>
      <c r="P401" s="134"/>
    </row>
    <row r="402">
      <c r="C402" s="124"/>
      <c r="H402" s="28">
        <v>52.0</v>
      </c>
      <c r="J402" s="28">
        <v>0.49</v>
      </c>
      <c r="K402" s="28">
        <v>50.0</v>
      </c>
      <c r="P402" s="134"/>
    </row>
    <row r="403">
      <c r="C403" s="124"/>
      <c r="H403" s="28">
        <v>47.0</v>
      </c>
      <c r="J403" s="28">
        <v>0.48</v>
      </c>
      <c r="K403" s="28">
        <v>44.0</v>
      </c>
      <c r="P403" s="134"/>
    </row>
    <row r="404">
      <c r="C404" s="124"/>
      <c r="H404" s="28">
        <v>44.0</v>
      </c>
      <c r="J404" s="28">
        <v>0.45</v>
      </c>
      <c r="K404" s="28">
        <v>38.0</v>
      </c>
      <c r="P404" s="134"/>
    </row>
    <row r="405">
      <c r="C405" s="124"/>
      <c r="H405" s="28">
        <v>49.0</v>
      </c>
      <c r="J405" s="28">
        <v>0.48</v>
      </c>
      <c r="K405" s="28">
        <v>49.0</v>
      </c>
      <c r="P405" s="134"/>
    </row>
    <row r="406">
      <c r="C406" s="124"/>
      <c r="H406" s="28">
        <v>47.0</v>
      </c>
      <c r="J406" s="28">
        <v>0.47</v>
      </c>
      <c r="K406" s="28">
        <v>53.0</v>
      </c>
      <c r="P406" s="134"/>
    </row>
    <row r="407">
      <c r="C407" s="124"/>
      <c r="H407" s="28">
        <v>47.0</v>
      </c>
      <c r="J407" s="28">
        <v>0.46</v>
      </c>
      <c r="K407" s="28">
        <v>45.0</v>
      </c>
      <c r="P407" s="134"/>
    </row>
    <row r="408">
      <c r="C408" s="124"/>
      <c r="H408" s="28">
        <v>48.0</v>
      </c>
      <c r="J408" s="28">
        <v>0.5</v>
      </c>
      <c r="K408" s="28">
        <v>38.0</v>
      </c>
      <c r="P408" s="134"/>
    </row>
    <row r="409">
      <c r="C409" s="124"/>
      <c r="H409" s="28">
        <v>46.0</v>
      </c>
      <c r="J409" s="28">
        <v>0.49</v>
      </c>
      <c r="K409" s="28">
        <v>49.0</v>
      </c>
      <c r="P409" s="134"/>
    </row>
    <row r="410">
      <c r="C410" s="124"/>
      <c r="H410" s="28">
        <v>49.0</v>
      </c>
      <c r="J410" s="28">
        <v>0.47</v>
      </c>
      <c r="K410" s="28">
        <v>47.0</v>
      </c>
      <c r="P410" s="134"/>
    </row>
    <row r="411">
      <c r="C411" s="124"/>
      <c r="H411" s="28">
        <v>51.0</v>
      </c>
      <c r="J411" s="28">
        <v>0.49</v>
      </c>
      <c r="K411" s="28">
        <v>46.0</v>
      </c>
      <c r="P411" s="134"/>
    </row>
    <row r="412">
      <c r="C412" s="124"/>
      <c r="H412" s="28">
        <v>47.0</v>
      </c>
      <c r="J412" s="28">
        <v>0.47</v>
      </c>
      <c r="K412" s="28">
        <v>40.0</v>
      </c>
      <c r="P412" s="134"/>
    </row>
    <row r="413">
      <c r="C413" s="124"/>
      <c r="H413" s="28">
        <v>46.0</v>
      </c>
      <c r="J413" s="28">
        <v>0.45</v>
      </c>
      <c r="K413" s="28">
        <v>48.0</v>
      </c>
      <c r="P413" s="134"/>
    </row>
    <row r="414">
      <c r="C414" s="124"/>
      <c r="H414" s="28">
        <v>51.0</v>
      </c>
      <c r="J414" s="28">
        <v>0.47</v>
      </c>
      <c r="K414" s="28">
        <v>48.0</v>
      </c>
      <c r="P414" s="134"/>
    </row>
    <row r="415">
      <c r="C415" s="124"/>
      <c r="H415" s="28">
        <v>49.0</v>
      </c>
      <c r="J415" s="28">
        <v>0.45</v>
      </c>
      <c r="K415" s="28">
        <v>45.0</v>
      </c>
      <c r="P415" s="134"/>
    </row>
    <row r="416">
      <c r="C416" s="124"/>
      <c r="H416" s="28">
        <v>49.0</v>
      </c>
      <c r="J416" s="28">
        <v>0.47</v>
      </c>
      <c r="K416" s="28">
        <v>40.0</v>
      </c>
      <c r="P416" s="134"/>
    </row>
    <row r="417">
      <c r="C417" s="124"/>
      <c r="H417" s="28">
        <v>44.0</v>
      </c>
      <c r="J417" s="28">
        <v>0.46</v>
      </c>
      <c r="K417" s="28">
        <v>42.0</v>
      </c>
      <c r="P417" s="134"/>
    </row>
    <row r="418">
      <c r="C418" s="124"/>
      <c r="H418" s="28">
        <v>42.0</v>
      </c>
      <c r="J418" s="28">
        <v>0.47</v>
      </c>
      <c r="K418" s="28">
        <v>37.0</v>
      </c>
      <c r="P418" s="134"/>
    </row>
    <row r="419">
      <c r="C419" s="124"/>
      <c r="H419" s="28">
        <v>41.0</v>
      </c>
      <c r="J419" s="28">
        <v>0.47</v>
      </c>
      <c r="K419" s="28">
        <v>37.0</v>
      </c>
      <c r="P419" s="134"/>
    </row>
    <row r="420">
      <c r="C420" s="124"/>
      <c r="H420" s="28">
        <v>40.0</v>
      </c>
      <c r="J420" s="28">
        <v>0.51</v>
      </c>
      <c r="K420" s="28">
        <v>42.0</v>
      </c>
      <c r="P420" s="134"/>
    </row>
    <row r="421">
      <c r="C421" s="124"/>
      <c r="H421" s="28">
        <v>40.0</v>
      </c>
      <c r="J421" s="28">
        <v>0.46</v>
      </c>
      <c r="K421" s="28">
        <v>37.0</v>
      </c>
      <c r="P421" s="134"/>
    </row>
    <row r="422">
      <c r="C422" s="124"/>
      <c r="H422" s="28">
        <v>41.0</v>
      </c>
      <c r="J422" s="28">
        <v>0.48</v>
      </c>
      <c r="K422" s="28">
        <v>41.0</v>
      </c>
      <c r="P422" s="134"/>
    </row>
    <row r="423">
      <c r="C423" s="124"/>
      <c r="H423" s="28">
        <v>42.0</v>
      </c>
      <c r="J423" s="28">
        <v>0.47</v>
      </c>
      <c r="K423" s="28">
        <v>36.0</v>
      </c>
      <c r="P423" s="134"/>
    </row>
    <row r="424">
      <c r="C424" s="124"/>
      <c r="H424" s="28">
        <v>37.0</v>
      </c>
      <c r="J424" s="28">
        <v>0.46</v>
      </c>
      <c r="K424" s="28">
        <v>39.0</v>
      </c>
      <c r="P424" s="134"/>
    </row>
    <row r="425">
      <c r="C425" s="124"/>
      <c r="H425" s="28">
        <v>41.0</v>
      </c>
      <c r="J425" s="28">
        <v>0.47</v>
      </c>
      <c r="K425" s="28">
        <v>44.0</v>
      </c>
      <c r="P425" s="134"/>
    </row>
    <row r="426">
      <c r="C426" s="124"/>
      <c r="H426" s="28">
        <v>49.0</v>
      </c>
      <c r="J426" s="28">
        <v>0.46</v>
      </c>
      <c r="K426" s="28">
        <v>41.0</v>
      </c>
      <c r="P426" s="134"/>
    </row>
    <row r="427">
      <c r="C427" s="124"/>
      <c r="H427" s="28">
        <v>43.0</v>
      </c>
      <c r="J427" s="28">
        <v>0.48</v>
      </c>
      <c r="K427" s="28">
        <v>42.0</v>
      </c>
      <c r="P427" s="134"/>
    </row>
    <row r="428">
      <c r="C428" s="124"/>
      <c r="H428" s="28">
        <v>46.0</v>
      </c>
      <c r="J428" s="28">
        <v>0.45</v>
      </c>
      <c r="K428" s="28">
        <v>47.0</v>
      </c>
      <c r="P428" s="134"/>
    </row>
    <row r="429">
      <c r="C429" s="124"/>
      <c r="H429" s="28">
        <v>45.0</v>
      </c>
      <c r="J429" s="28">
        <v>0.48</v>
      </c>
      <c r="K429" s="28">
        <v>41.0</v>
      </c>
      <c r="P429" s="134"/>
    </row>
    <row r="430">
      <c r="C430" s="124"/>
      <c r="H430" s="28">
        <v>48.0</v>
      </c>
      <c r="J430" s="28">
        <v>0.47</v>
      </c>
      <c r="K430" s="28">
        <v>41.0</v>
      </c>
      <c r="P430" s="134"/>
    </row>
    <row r="431">
      <c r="C431" s="124"/>
      <c r="H431" s="28">
        <v>44.0</v>
      </c>
      <c r="J431" s="28">
        <v>0.47</v>
      </c>
      <c r="K431" s="28">
        <v>38.0</v>
      </c>
      <c r="P431" s="134"/>
    </row>
    <row r="432">
      <c r="C432" s="124"/>
      <c r="H432" s="28">
        <v>42.0</v>
      </c>
      <c r="J432" s="28">
        <v>0.46</v>
      </c>
      <c r="K432" s="28">
        <v>39.0</v>
      </c>
      <c r="P432" s="134"/>
    </row>
    <row r="433">
      <c r="C433" s="124"/>
      <c r="H433" s="28">
        <v>44.0</v>
      </c>
      <c r="J433" s="28">
        <v>0.48</v>
      </c>
      <c r="K433" s="28">
        <v>43.0</v>
      </c>
      <c r="P433" s="134"/>
    </row>
    <row r="434">
      <c r="C434" s="124"/>
      <c r="H434" s="28">
        <v>41.0</v>
      </c>
      <c r="J434" s="28">
        <v>0.48</v>
      </c>
      <c r="K434" s="28">
        <v>44.0</v>
      </c>
      <c r="P434" s="134"/>
    </row>
    <row r="435">
      <c r="C435" s="124"/>
      <c r="H435" s="28">
        <v>43.0</v>
      </c>
      <c r="J435" s="28">
        <v>0.45</v>
      </c>
      <c r="K435" s="28">
        <v>39.0</v>
      </c>
      <c r="P435" s="134"/>
    </row>
    <row r="436">
      <c r="C436" s="124"/>
      <c r="H436" s="28">
        <v>41.0</v>
      </c>
      <c r="J436" s="28">
        <v>0.45</v>
      </c>
      <c r="K436" s="28">
        <v>40.0</v>
      </c>
      <c r="P436" s="134"/>
    </row>
    <row r="437">
      <c r="C437" s="124"/>
      <c r="H437" s="28">
        <v>41.0</v>
      </c>
      <c r="J437" s="28">
        <v>0.44</v>
      </c>
      <c r="K437" s="28">
        <v>44.0</v>
      </c>
      <c r="P437" s="134"/>
    </row>
    <row r="438">
      <c r="C438" s="124"/>
      <c r="H438" s="28">
        <v>48.0</v>
      </c>
      <c r="J438" s="28">
        <v>0.46</v>
      </c>
      <c r="K438" s="28">
        <v>45.0</v>
      </c>
      <c r="P438" s="134"/>
    </row>
    <row r="439">
      <c r="C439" s="124"/>
      <c r="H439" s="28">
        <v>52.0</v>
      </c>
      <c r="J439" s="28">
        <v>0.5</v>
      </c>
      <c r="K439" s="28">
        <v>45.0</v>
      </c>
      <c r="P439" s="134"/>
    </row>
    <row r="440">
      <c r="C440" s="124"/>
      <c r="H440" s="28">
        <v>47.0</v>
      </c>
      <c r="J440" s="28">
        <v>0.46</v>
      </c>
      <c r="K440" s="28">
        <v>47.0</v>
      </c>
      <c r="P440" s="134"/>
    </row>
    <row r="441">
      <c r="C441" s="124"/>
      <c r="H441" s="28">
        <v>40.0</v>
      </c>
      <c r="J441" s="28">
        <v>0.46</v>
      </c>
      <c r="K441" s="28">
        <v>42.0</v>
      </c>
      <c r="P441" s="134"/>
    </row>
    <row r="442">
      <c r="C442" s="124"/>
      <c r="H442" s="28">
        <v>43.0</v>
      </c>
      <c r="J442" s="28">
        <v>0.47</v>
      </c>
      <c r="K442" s="28">
        <v>42.0</v>
      </c>
      <c r="P442" s="134"/>
    </row>
    <row r="443">
      <c r="C443" s="124"/>
      <c r="H443" s="28">
        <v>38.0</v>
      </c>
      <c r="J443" s="28">
        <v>0.48</v>
      </c>
      <c r="K443" s="28">
        <v>40.0</v>
      </c>
      <c r="P443" s="134"/>
    </row>
    <row r="444">
      <c r="C444" s="124"/>
      <c r="H444" s="28">
        <v>42.0</v>
      </c>
      <c r="J444" s="28">
        <v>0.46</v>
      </c>
      <c r="K444" s="28">
        <v>37.0</v>
      </c>
      <c r="P444" s="134"/>
    </row>
    <row r="445">
      <c r="C445" s="124"/>
      <c r="H445" s="28">
        <v>44.0</v>
      </c>
      <c r="J445" s="28">
        <v>0.5</v>
      </c>
      <c r="K445" s="28">
        <v>44.0</v>
      </c>
      <c r="P445" s="134"/>
    </row>
    <row r="446">
      <c r="C446" s="124"/>
      <c r="H446" s="28">
        <v>44.0</v>
      </c>
      <c r="J446" s="28">
        <v>0.48</v>
      </c>
      <c r="K446" s="28">
        <v>44.0</v>
      </c>
      <c r="P446" s="134"/>
    </row>
    <row r="447">
      <c r="C447" s="124"/>
      <c r="H447" s="28">
        <v>43.0</v>
      </c>
      <c r="J447" s="28">
        <v>0.46</v>
      </c>
      <c r="K447" s="28">
        <v>37.0</v>
      </c>
      <c r="P447" s="134"/>
    </row>
    <row r="448">
      <c r="C448" s="124"/>
      <c r="H448" s="28">
        <v>42.0</v>
      </c>
      <c r="J448" s="28">
        <v>0.47</v>
      </c>
      <c r="K448" s="28">
        <v>39.0</v>
      </c>
      <c r="P448" s="134"/>
    </row>
    <row r="449">
      <c r="C449" s="124"/>
      <c r="H449" s="28">
        <v>41.0</v>
      </c>
      <c r="J449" s="28">
        <v>0.48</v>
      </c>
      <c r="K449" s="28">
        <v>44.0</v>
      </c>
      <c r="P449" s="134"/>
    </row>
    <row r="450">
      <c r="C450" s="124"/>
      <c r="H450" s="28">
        <v>51.0</v>
      </c>
      <c r="J450" s="28">
        <v>0.5</v>
      </c>
      <c r="K450" s="28">
        <v>46.0</v>
      </c>
      <c r="P450" s="134"/>
    </row>
    <row r="451">
      <c r="C451" s="124"/>
      <c r="H451" s="28">
        <v>51.0</v>
      </c>
      <c r="J451" s="28">
        <v>0.49</v>
      </c>
      <c r="K451" s="28">
        <v>44.0</v>
      </c>
      <c r="P451" s="134"/>
    </row>
    <row r="452">
      <c r="C452" s="124"/>
      <c r="H452" s="28">
        <v>49.0</v>
      </c>
      <c r="J452" s="28">
        <v>0.47</v>
      </c>
      <c r="K452" s="28">
        <v>46.0</v>
      </c>
      <c r="P452" s="134"/>
    </row>
    <row r="453">
      <c r="C453" s="124"/>
      <c r="H453" s="28">
        <v>44.0</v>
      </c>
      <c r="J453" s="28">
        <v>0.53</v>
      </c>
      <c r="K453" s="28">
        <v>40.0</v>
      </c>
      <c r="P453" s="134"/>
    </row>
    <row r="454">
      <c r="C454" s="124"/>
      <c r="H454" s="28">
        <v>46.0</v>
      </c>
      <c r="J454" s="28">
        <v>0.53</v>
      </c>
      <c r="K454" s="28">
        <v>52.0</v>
      </c>
      <c r="P454" s="134"/>
    </row>
    <row r="455">
      <c r="C455" s="124"/>
      <c r="H455" s="28">
        <v>45.0</v>
      </c>
      <c r="J455" s="28">
        <v>0.54</v>
      </c>
      <c r="K455" s="28">
        <v>40.0</v>
      </c>
      <c r="P455" s="134"/>
    </row>
    <row r="456">
      <c r="C456" s="124"/>
      <c r="H456" s="28">
        <v>46.0</v>
      </c>
      <c r="J456" s="28">
        <v>0.52</v>
      </c>
      <c r="K456" s="28">
        <v>41.0</v>
      </c>
      <c r="P456" s="134"/>
    </row>
    <row r="457">
      <c r="C457" s="124"/>
      <c r="H457" s="28">
        <v>44.0</v>
      </c>
      <c r="J457" s="28">
        <v>0.5</v>
      </c>
      <c r="K457" s="28">
        <v>41.0</v>
      </c>
      <c r="P457" s="134"/>
    </row>
    <row r="458">
      <c r="C458" s="124"/>
      <c r="H458" s="28">
        <v>46.0</v>
      </c>
      <c r="J458" s="28">
        <v>0.52</v>
      </c>
      <c r="K458" s="28">
        <v>37.0</v>
      </c>
      <c r="P458" s="134"/>
    </row>
    <row r="459">
      <c r="C459" s="124"/>
      <c r="H459" s="28">
        <v>45.0</v>
      </c>
      <c r="J459" s="28">
        <v>0.52</v>
      </c>
      <c r="K459" s="28">
        <v>41.0</v>
      </c>
      <c r="P459" s="134"/>
    </row>
    <row r="460">
      <c r="C460" s="124"/>
      <c r="H460" s="28">
        <v>44.0</v>
      </c>
      <c r="J460" s="28">
        <v>0.59</v>
      </c>
      <c r="K460" s="28">
        <v>40.0</v>
      </c>
      <c r="P460" s="134"/>
    </row>
    <row r="461">
      <c r="C461" s="124"/>
      <c r="H461" s="28">
        <v>53.0</v>
      </c>
      <c r="J461" s="28">
        <v>0.53</v>
      </c>
      <c r="K461" s="28">
        <v>45.0</v>
      </c>
      <c r="P461" s="134"/>
    </row>
    <row r="462">
      <c r="C462" s="124"/>
      <c r="H462" s="28">
        <v>48.0</v>
      </c>
      <c r="J462" s="28">
        <v>0.32</v>
      </c>
      <c r="K462" s="28">
        <v>48.0</v>
      </c>
      <c r="P462" s="134"/>
    </row>
    <row r="463">
      <c r="C463" s="124"/>
      <c r="H463" s="28">
        <v>39.0</v>
      </c>
      <c r="J463" s="28">
        <v>0.43</v>
      </c>
      <c r="K463" s="28">
        <v>41.0</v>
      </c>
      <c r="P463" s="134"/>
    </row>
    <row r="464">
      <c r="C464" s="124"/>
      <c r="H464" s="28">
        <v>56.0</v>
      </c>
      <c r="J464" s="28">
        <v>0.5</v>
      </c>
      <c r="K464" s="28">
        <v>41.0</v>
      </c>
      <c r="P464" s="134"/>
    </row>
    <row r="465">
      <c r="C465" s="124"/>
      <c r="H465" s="28">
        <v>38.0</v>
      </c>
      <c r="J465" s="28">
        <v>0.45</v>
      </c>
      <c r="K465" s="28">
        <v>39.0</v>
      </c>
      <c r="P465" s="134"/>
    </row>
    <row r="466">
      <c r="C466" s="124"/>
      <c r="H466" s="28">
        <v>44.0</v>
      </c>
      <c r="J466" s="28">
        <v>0.53</v>
      </c>
      <c r="K466" s="28">
        <v>41.0</v>
      </c>
      <c r="P466" s="134"/>
    </row>
    <row r="467">
      <c r="C467" s="124"/>
      <c r="H467" s="28">
        <v>46.0</v>
      </c>
      <c r="J467" s="28">
        <v>0.57</v>
      </c>
      <c r="K467" s="28">
        <v>39.0</v>
      </c>
      <c r="P467" s="134"/>
    </row>
    <row r="468">
      <c r="C468" s="124"/>
      <c r="H468" s="28">
        <v>42.0</v>
      </c>
      <c r="J468" s="28">
        <v>0.58</v>
      </c>
      <c r="K468" s="28">
        <v>43.0</v>
      </c>
      <c r="P468" s="134"/>
    </row>
    <row r="469">
      <c r="C469" s="124"/>
      <c r="H469" s="28">
        <v>43.0</v>
      </c>
      <c r="J469" s="28">
        <v>0.49</v>
      </c>
      <c r="K469" s="28">
        <v>41.0</v>
      </c>
      <c r="P469" s="134"/>
    </row>
    <row r="470">
      <c r="C470" s="124"/>
      <c r="H470" s="28">
        <v>47.0</v>
      </c>
      <c r="J470" s="28">
        <v>0.58</v>
      </c>
      <c r="K470" s="28">
        <v>38.0</v>
      </c>
      <c r="P470" s="134"/>
    </row>
    <row r="471">
      <c r="C471" s="124"/>
      <c r="H471" s="28">
        <v>51.0</v>
      </c>
      <c r="J471" s="28">
        <v>0.54</v>
      </c>
      <c r="K471" s="28">
        <v>41.0</v>
      </c>
      <c r="P471" s="134"/>
    </row>
    <row r="472">
      <c r="C472" s="124"/>
      <c r="H472" s="28">
        <v>46.0</v>
      </c>
      <c r="J472" s="28">
        <v>0.48</v>
      </c>
      <c r="K472" s="28">
        <v>47.0</v>
      </c>
      <c r="P472" s="134"/>
    </row>
    <row r="473">
      <c r="C473" s="124"/>
      <c r="H473" s="28">
        <v>40.0</v>
      </c>
      <c r="J473" s="28">
        <v>0.5</v>
      </c>
      <c r="K473" s="28">
        <v>40.0</v>
      </c>
      <c r="P473" s="134"/>
    </row>
    <row r="474">
      <c r="C474" s="124"/>
      <c r="H474" s="28">
        <v>49.0</v>
      </c>
      <c r="J474" s="28">
        <v>0.48</v>
      </c>
      <c r="K474" s="28">
        <v>52.0</v>
      </c>
      <c r="P474" s="134"/>
    </row>
    <row r="475">
      <c r="C475" s="124"/>
      <c r="H475" s="28">
        <v>49.0</v>
      </c>
      <c r="J475" s="28">
        <v>0.51</v>
      </c>
      <c r="K475" s="28">
        <v>42.0</v>
      </c>
      <c r="P475" s="134"/>
    </row>
    <row r="476">
      <c r="C476" s="124"/>
      <c r="H476" s="28">
        <v>41.0</v>
      </c>
      <c r="J476" s="28">
        <v>0.58</v>
      </c>
      <c r="K476" s="28">
        <v>42.0</v>
      </c>
      <c r="P476" s="134"/>
    </row>
    <row r="477">
      <c r="C477" s="124"/>
      <c r="H477" s="28">
        <v>43.0</v>
      </c>
      <c r="J477" s="28">
        <v>0.57</v>
      </c>
      <c r="K477" s="28">
        <v>39.0</v>
      </c>
      <c r="P477" s="134"/>
    </row>
    <row r="478">
      <c r="C478" s="124"/>
      <c r="H478" s="28">
        <v>45.0</v>
      </c>
      <c r="J478" s="28">
        <v>0.54</v>
      </c>
      <c r="K478" s="28">
        <v>39.0</v>
      </c>
      <c r="P478" s="134"/>
    </row>
    <row r="479">
      <c r="C479" s="124"/>
      <c r="H479" s="28">
        <v>44.0</v>
      </c>
      <c r="J479" s="28">
        <v>0.48</v>
      </c>
      <c r="K479" s="28">
        <v>37.0</v>
      </c>
      <c r="P479" s="134"/>
    </row>
    <row r="480">
      <c r="C480" s="124"/>
      <c r="H480" s="28">
        <v>44.0</v>
      </c>
      <c r="J480" s="28">
        <v>0.47</v>
      </c>
      <c r="K480" s="28">
        <v>40.0</v>
      </c>
      <c r="P480" s="134"/>
    </row>
    <row r="481">
      <c r="C481" s="124"/>
      <c r="H481" s="28">
        <v>45.0</v>
      </c>
      <c r="J481" s="28">
        <v>0.54</v>
      </c>
      <c r="K481" s="28">
        <v>40.0</v>
      </c>
      <c r="P481" s="134"/>
    </row>
    <row r="482">
      <c r="C482" s="124"/>
      <c r="H482" s="28">
        <v>47.0</v>
      </c>
      <c r="J482" s="28">
        <v>0.53</v>
      </c>
      <c r="K482" s="28">
        <v>42.0</v>
      </c>
      <c r="P482" s="134"/>
    </row>
    <row r="483">
      <c r="C483" s="124"/>
      <c r="H483" s="28">
        <v>42.0</v>
      </c>
      <c r="J483" s="28">
        <v>0.56</v>
      </c>
      <c r="K483" s="28">
        <v>50.0</v>
      </c>
      <c r="P483" s="134"/>
    </row>
    <row r="484">
      <c r="C484" s="124"/>
      <c r="H484" s="28">
        <v>47.0</v>
      </c>
      <c r="J484" s="28">
        <v>0.57</v>
      </c>
      <c r="K484" s="28">
        <v>49.0</v>
      </c>
      <c r="P484" s="134"/>
    </row>
    <row r="485">
      <c r="C485" s="124"/>
      <c r="H485" s="28">
        <v>41.0</v>
      </c>
      <c r="J485" s="28">
        <v>0.54</v>
      </c>
      <c r="K485" s="28">
        <v>46.0</v>
      </c>
      <c r="P485" s="134"/>
    </row>
    <row r="486">
      <c r="C486" s="124"/>
      <c r="H486" s="28">
        <v>44.0</v>
      </c>
      <c r="J486" s="28">
        <v>0.48</v>
      </c>
      <c r="K486" s="28">
        <v>48.0</v>
      </c>
      <c r="P486" s="134"/>
    </row>
    <row r="487">
      <c r="C487" s="124"/>
      <c r="H487" s="28">
        <v>45.0</v>
      </c>
      <c r="J487" s="28">
        <v>0.44</v>
      </c>
      <c r="K487" s="28">
        <v>53.0</v>
      </c>
      <c r="P487" s="134"/>
    </row>
    <row r="488">
      <c r="C488" s="124"/>
      <c r="H488" s="28">
        <v>47.0</v>
      </c>
      <c r="J488" s="28">
        <v>0.48</v>
      </c>
      <c r="K488" s="28">
        <v>45.0</v>
      </c>
      <c r="P488" s="134"/>
    </row>
    <row r="489">
      <c r="C489" s="124"/>
      <c r="H489" s="28">
        <v>46.0</v>
      </c>
      <c r="J489" s="28">
        <v>0.49</v>
      </c>
      <c r="K489" s="28">
        <v>43.0</v>
      </c>
      <c r="P489" s="134"/>
    </row>
    <row r="490">
      <c r="C490" s="124"/>
      <c r="H490" s="28">
        <v>52.0</v>
      </c>
      <c r="J490" s="28">
        <v>0.61</v>
      </c>
      <c r="K490" s="28">
        <v>43.0</v>
      </c>
      <c r="P490" s="134"/>
    </row>
    <row r="491">
      <c r="C491" s="124"/>
      <c r="H491" s="28">
        <v>41.0</v>
      </c>
      <c r="J491" s="28">
        <v>0.55</v>
      </c>
      <c r="K491" s="28">
        <v>45.0</v>
      </c>
      <c r="P491" s="134"/>
    </row>
    <row r="492">
      <c r="C492" s="124"/>
      <c r="H492" s="28">
        <v>44.0</v>
      </c>
      <c r="J492" s="28">
        <v>0.54</v>
      </c>
      <c r="K492" s="28">
        <v>35.0</v>
      </c>
      <c r="P492" s="134"/>
    </row>
    <row r="493">
      <c r="C493" s="124"/>
      <c r="H493" s="28">
        <v>49.0</v>
      </c>
      <c r="J493" s="28">
        <v>0.48</v>
      </c>
      <c r="K493" s="28">
        <v>46.0</v>
      </c>
      <c r="P493" s="134"/>
    </row>
    <row r="494">
      <c r="C494" s="124"/>
      <c r="H494" s="28">
        <v>43.0</v>
      </c>
      <c r="J494" s="28">
        <v>0.49</v>
      </c>
      <c r="K494" s="28">
        <v>41.0</v>
      </c>
      <c r="P494" s="134"/>
    </row>
    <row r="495">
      <c r="C495" s="124"/>
      <c r="H495" s="28">
        <v>46.0</v>
      </c>
      <c r="J495" s="28">
        <v>0.6</v>
      </c>
      <c r="K495" s="28">
        <v>44.0</v>
      </c>
      <c r="P495" s="134"/>
    </row>
    <row r="496">
      <c r="C496" s="124"/>
      <c r="H496" s="28">
        <v>50.0</v>
      </c>
      <c r="J496" s="28">
        <v>0.56</v>
      </c>
      <c r="K496" s="28">
        <v>43.0</v>
      </c>
      <c r="P496" s="134"/>
    </row>
    <row r="497">
      <c r="C497" s="124"/>
      <c r="H497" s="28">
        <v>49.0</v>
      </c>
      <c r="J497" s="28">
        <v>0.47</v>
      </c>
      <c r="K497" s="28">
        <v>43.0</v>
      </c>
      <c r="P497" s="134"/>
    </row>
    <row r="498">
      <c r="C498" s="124"/>
      <c r="H498" s="28">
        <v>45.0</v>
      </c>
      <c r="J498" s="28">
        <v>0.53</v>
      </c>
      <c r="K498" s="28">
        <v>43.0</v>
      </c>
      <c r="P498" s="134"/>
    </row>
    <row r="499">
      <c r="C499" s="124"/>
      <c r="H499" s="28">
        <v>43.0</v>
      </c>
      <c r="J499" s="28">
        <v>0.54</v>
      </c>
      <c r="K499" s="28">
        <v>44.0</v>
      </c>
      <c r="P499" s="134"/>
    </row>
    <row r="500">
      <c r="C500" s="124"/>
      <c r="H500" s="28">
        <v>45.0</v>
      </c>
      <c r="J500" s="28">
        <v>0.46</v>
      </c>
      <c r="K500" s="28">
        <v>46.0</v>
      </c>
      <c r="P500" s="134"/>
    </row>
    <row r="501">
      <c r="C501" s="124"/>
      <c r="H501" s="28">
        <v>46.0</v>
      </c>
      <c r="J501" s="28">
        <v>0.54</v>
      </c>
      <c r="K501" s="28">
        <v>41.0</v>
      </c>
      <c r="P501" s="134"/>
    </row>
    <row r="502">
      <c r="C502" s="124"/>
      <c r="H502" s="28">
        <v>37.0</v>
      </c>
      <c r="J502" s="28">
        <v>0.46</v>
      </c>
      <c r="K502" s="28">
        <v>48.0</v>
      </c>
      <c r="P502" s="134"/>
    </row>
    <row r="503">
      <c r="C503" s="124"/>
      <c r="H503" s="28">
        <v>43.0</v>
      </c>
      <c r="J503" s="28">
        <v>0.57</v>
      </c>
      <c r="K503" s="28">
        <v>46.0</v>
      </c>
      <c r="P503" s="134"/>
    </row>
    <row r="504">
      <c r="C504" s="124"/>
      <c r="H504" s="28">
        <v>49.0</v>
      </c>
      <c r="J504" s="28">
        <v>0.55</v>
      </c>
      <c r="K504" s="28">
        <v>42.0</v>
      </c>
      <c r="P504" s="134"/>
    </row>
    <row r="505">
      <c r="C505" s="124"/>
      <c r="H505" s="28">
        <v>43.0</v>
      </c>
      <c r="J505" s="28">
        <v>0.53</v>
      </c>
      <c r="K505" s="28">
        <v>44.0</v>
      </c>
      <c r="P505" s="134"/>
    </row>
    <row r="506">
      <c r="C506" s="124"/>
      <c r="H506" s="28">
        <v>47.0</v>
      </c>
      <c r="J506" s="28">
        <v>0.5</v>
      </c>
      <c r="K506" s="28">
        <v>43.0</v>
      </c>
      <c r="P506" s="134"/>
    </row>
    <row r="507">
      <c r="C507" s="124"/>
      <c r="H507" s="28">
        <v>41.0</v>
      </c>
      <c r="J507" s="28">
        <v>0.53</v>
      </c>
      <c r="K507" s="28">
        <v>42.0</v>
      </c>
      <c r="P507" s="134"/>
    </row>
    <row r="508">
      <c r="C508" s="124"/>
      <c r="H508" s="28">
        <v>42.0</v>
      </c>
      <c r="J508" s="28">
        <v>0.49</v>
      </c>
      <c r="K508" s="28">
        <v>39.0</v>
      </c>
      <c r="P508" s="134"/>
    </row>
    <row r="509">
      <c r="C509" s="124"/>
      <c r="H509" s="28">
        <v>49.0</v>
      </c>
      <c r="J509" s="28">
        <v>0.44</v>
      </c>
      <c r="K509" s="28">
        <v>42.0</v>
      </c>
      <c r="P509" s="134"/>
    </row>
    <row r="510">
      <c r="C510" s="124"/>
      <c r="H510" s="28">
        <v>47.0</v>
      </c>
      <c r="J510" s="28">
        <v>0.47</v>
      </c>
      <c r="K510" s="28">
        <v>48.0</v>
      </c>
      <c r="P510" s="134"/>
    </row>
    <row r="511">
      <c r="C511" s="124"/>
      <c r="H511" s="28">
        <v>44.0</v>
      </c>
      <c r="J511" s="28">
        <v>0.6</v>
      </c>
      <c r="K511" s="28">
        <v>44.0</v>
      </c>
      <c r="P511" s="134"/>
    </row>
    <row r="512">
      <c r="C512" s="124"/>
      <c r="H512" s="28">
        <v>54.0</v>
      </c>
      <c r="J512" s="28">
        <v>0.53</v>
      </c>
      <c r="K512" s="28">
        <v>40.0</v>
      </c>
      <c r="P512" s="134"/>
    </row>
    <row r="513">
      <c r="C513" s="124"/>
      <c r="H513" s="28">
        <v>46.0</v>
      </c>
      <c r="J513" s="28">
        <v>0.52</v>
      </c>
      <c r="K513" s="28">
        <v>43.0</v>
      </c>
      <c r="P513" s="134"/>
    </row>
    <row r="514">
      <c r="C514" s="124"/>
      <c r="H514" s="28">
        <v>47.0</v>
      </c>
      <c r="J514" s="28">
        <v>0.41</v>
      </c>
      <c r="K514" s="28">
        <v>45.0</v>
      </c>
      <c r="P514" s="134"/>
    </row>
    <row r="515">
      <c r="C515" s="124"/>
      <c r="H515" s="28">
        <v>48.0</v>
      </c>
      <c r="J515" s="28">
        <v>0.47</v>
      </c>
      <c r="K515" s="28">
        <v>40.0</v>
      </c>
      <c r="P515" s="134"/>
    </row>
    <row r="516">
      <c r="C516" s="124"/>
      <c r="H516" s="28">
        <v>48.0</v>
      </c>
      <c r="J516" s="28">
        <v>0.5</v>
      </c>
      <c r="K516" s="28">
        <v>43.0</v>
      </c>
      <c r="P516" s="134"/>
    </row>
    <row r="517">
      <c r="C517" s="124"/>
      <c r="H517" s="28">
        <v>49.0</v>
      </c>
      <c r="J517" s="28">
        <v>0.51</v>
      </c>
      <c r="K517" s="28">
        <v>47.0</v>
      </c>
      <c r="P517" s="134"/>
    </row>
    <row r="518">
      <c r="C518" s="124"/>
      <c r="H518" s="28">
        <v>46.0</v>
      </c>
      <c r="J518" s="28">
        <v>0.5</v>
      </c>
      <c r="K518" s="28">
        <v>47.0</v>
      </c>
      <c r="P518" s="134"/>
    </row>
    <row r="519">
      <c r="C519" s="124"/>
      <c r="H519" s="28">
        <v>41.0</v>
      </c>
      <c r="J519" s="28">
        <v>0.47</v>
      </c>
      <c r="K519" s="28">
        <v>46.0</v>
      </c>
      <c r="P519" s="134"/>
    </row>
    <row r="520">
      <c r="C520" s="124"/>
      <c r="H520" s="28">
        <v>44.0</v>
      </c>
      <c r="J520" s="28">
        <v>0.52</v>
      </c>
      <c r="K520" s="28">
        <v>39.0</v>
      </c>
      <c r="P520" s="134"/>
    </row>
    <row r="521">
      <c r="C521" s="124"/>
      <c r="H521" s="28">
        <v>39.0</v>
      </c>
      <c r="J521" s="28">
        <v>0.53</v>
      </c>
      <c r="K521" s="28">
        <v>48.0</v>
      </c>
      <c r="P521" s="134"/>
    </row>
    <row r="522">
      <c r="C522" s="124"/>
      <c r="H522" s="28">
        <v>41.0</v>
      </c>
      <c r="J522" s="28">
        <v>0.52</v>
      </c>
      <c r="K522" s="28">
        <v>50.0</v>
      </c>
      <c r="P522" s="134"/>
    </row>
    <row r="523">
      <c r="C523" s="124"/>
      <c r="H523" s="28">
        <v>45.0</v>
      </c>
      <c r="J523" s="28">
        <v>0.48</v>
      </c>
      <c r="K523" s="28">
        <v>48.0</v>
      </c>
      <c r="P523" s="134"/>
    </row>
    <row r="524">
      <c r="C524" s="124"/>
      <c r="H524" s="28">
        <v>41.0</v>
      </c>
      <c r="J524" s="28">
        <v>0.51</v>
      </c>
      <c r="K524" s="28">
        <v>37.0</v>
      </c>
      <c r="P524" s="134"/>
    </row>
    <row r="525">
      <c r="C525" s="124"/>
      <c r="H525" s="28">
        <v>41.0</v>
      </c>
      <c r="J525" s="28">
        <v>0.53</v>
      </c>
      <c r="K525" s="28">
        <v>39.0</v>
      </c>
      <c r="P525" s="134"/>
    </row>
    <row r="526">
      <c r="C526" s="124"/>
      <c r="H526" s="28">
        <v>46.0</v>
      </c>
      <c r="J526" s="28">
        <v>0.53</v>
      </c>
      <c r="K526" s="28">
        <v>43.0</v>
      </c>
      <c r="P526" s="134"/>
    </row>
    <row r="527">
      <c r="C527" s="124"/>
      <c r="H527" s="28">
        <v>46.0</v>
      </c>
      <c r="J527" s="28">
        <v>0.53</v>
      </c>
      <c r="K527" s="28">
        <v>45.0</v>
      </c>
      <c r="P527" s="134"/>
    </row>
    <row r="528">
      <c r="C528" s="124"/>
      <c r="H528" s="28">
        <v>43.0</v>
      </c>
      <c r="J528" s="28">
        <v>0.47</v>
      </c>
      <c r="K528" s="28">
        <v>41.0</v>
      </c>
      <c r="P528" s="134"/>
    </row>
    <row r="529">
      <c r="C529" s="124"/>
      <c r="H529" s="28">
        <v>40.0</v>
      </c>
      <c r="J529" s="28">
        <v>0.49</v>
      </c>
      <c r="K529" s="28">
        <v>43.0</v>
      </c>
      <c r="P529" s="134"/>
    </row>
    <row r="530">
      <c r="C530" s="124"/>
      <c r="H530" s="28">
        <v>47.0</v>
      </c>
      <c r="J530" s="28">
        <v>0.54</v>
      </c>
      <c r="K530" s="28">
        <v>48.0</v>
      </c>
      <c r="P530" s="134"/>
    </row>
    <row r="531">
      <c r="C531" s="124"/>
      <c r="H531" s="28">
        <v>48.0</v>
      </c>
      <c r="J531" s="28">
        <v>0.52</v>
      </c>
      <c r="K531" s="28">
        <v>43.0</v>
      </c>
      <c r="P531" s="134"/>
    </row>
    <row r="532">
      <c r="C532" s="124"/>
      <c r="H532" s="28">
        <v>41.0</v>
      </c>
      <c r="J532" s="28">
        <v>0.51</v>
      </c>
      <c r="K532" s="28">
        <v>43.0</v>
      </c>
      <c r="P532" s="134"/>
    </row>
    <row r="533">
      <c r="C533" s="124"/>
      <c r="H533" s="28">
        <v>46.0</v>
      </c>
      <c r="J533" s="28">
        <v>0.48</v>
      </c>
      <c r="K533" s="28">
        <v>48.0</v>
      </c>
      <c r="P533" s="134"/>
    </row>
    <row r="534">
      <c r="C534" s="124"/>
      <c r="H534" s="28">
        <v>44.0</v>
      </c>
      <c r="J534" s="28">
        <v>0.53</v>
      </c>
      <c r="K534" s="28">
        <v>48.0</v>
      </c>
      <c r="P534" s="134"/>
    </row>
    <row r="535">
      <c r="C535" s="124"/>
      <c r="H535" s="28">
        <v>43.0</v>
      </c>
      <c r="J535" s="28">
        <v>0.55</v>
      </c>
      <c r="K535" s="28">
        <v>42.0</v>
      </c>
      <c r="P535" s="134"/>
    </row>
    <row r="536">
      <c r="C536" s="124"/>
      <c r="H536" s="28">
        <v>48.0</v>
      </c>
      <c r="J536" s="28">
        <v>0.5</v>
      </c>
      <c r="K536" s="28">
        <v>41.0</v>
      </c>
      <c r="P536" s="134"/>
    </row>
    <row r="537">
      <c r="C537" s="124"/>
      <c r="H537" s="28">
        <v>44.0</v>
      </c>
      <c r="J537" s="28">
        <v>0.47</v>
      </c>
      <c r="K537" s="28">
        <v>45.0</v>
      </c>
      <c r="P537" s="134"/>
    </row>
    <row r="538">
      <c r="C538" s="124"/>
      <c r="H538" s="28">
        <v>43.0</v>
      </c>
      <c r="J538" s="28">
        <v>0.53</v>
      </c>
      <c r="K538" s="28">
        <v>43.0</v>
      </c>
      <c r="P538" s="134"/>
    </row>
    <row r="539">
      <c r="C539" s="124"/>
      <c r="H539" s="28">
        <v>45.0</v>
      </c>
      <c r="J539" s="28">
        <v>0.52</v>
      </c>
      <c r="K539" s="28">
        <v>45.0</v>
      </c>
      <c r="P539" s="134"/>
    </row>
    <row r="540">
      <c r="C540" s="124"/>
      <c r="H540" s="28">
        <v>50.0</v>
      </c>
      <c r="J540" s="28">
        <v>0.54</v>
      </c>
      <c r="K540" s="28">
        <v>44.0</v>
      </c>
      <c r="P540" s="134"/>
    </row>
    <row r="541">
      <c r="C541" s="124"/>
      <c r="H541" s="28">
        <v>46.0</v>
      </c>
      <c r="J541" s="28">
        <v>0.59</v>
      </c>
      <c r="K541" s="28">
        <v>44.0</v>
      </c>
      <c r="P541" s="134"/>
    </row>
    <row r="542">
      <c r="C542" s="124"/>
      <c r="H542" s="28">
        <v>40.0</v>
      </c>
      <c r="J542" s="28">
        <v>0.54</v>
      </c>
      <c r="K542" s="28">
        <v>41.0</v>
      </c>
      <c r="P542" s="134"/>
    </row>
    <row r="543">
      <c r="C543" s="124"/>
      <c r="H543" s="28">
        <v>41.0</v>
      </c>
      <c r="J543" s="28">
        <v>0.52</v>
      </c>
      <c r="K543" s="28">
        <v>53.0</v>
      </c>
      <c r="P543" s="134"/>
    </row>
    <row r="544">
      <c r="C544" s="124"/>
      <c r="H544" s="28">
        <v>41.0</v>
      </c>
      <c r="J544" s="28">
        <v>0.55</v>
      </c>
      <c r="K544" s="28">
        <v>40.0</v>
      </c>
      <c r="P544" s="134"/>
    </row>
    <row r="545">
      <c r="C545" s="124"/>
      <c r="H545" s="28">
        <v>46.0</v>
      </c>
      <c r="J545" s="28">
        <v>0.5</v>
      </c>
      <c r="K545" s="28">
        <v>43.0</v>
      </c>
      <c r="P545" s="134"/>
    </row>
    <row r="546">
      <c r="C546" s="124"/>
      <c r="H546" s="28">
        <v>40.0</v>
      </c>
      <c r="J546" s="28">
        <v>0.51</v>
      </c>
      <c r="K546" s="28">
        <v>41.0</v>
      </c>
      <c r="P546" s="134"/>
    </row>
    <row r="547">
      <c r="C547" s="124"/>
      <c r="H547" s="28">
        <v>46.0</v>
      </c>
      <c r="J547" s="28">
        <v>0.5</v>
      </c>
      <c r="K547" s="28">
        <v>43.0</v>
      </c>
      <c r="P547" s="134"/>
    </row>
    <row r="548">
      <c r="C548" s="124"/>
      <c r="H548" s="28">
        <v>46.0</v>
      </c>
      <c r="J548" s="28">
        <v>0.57</v>
      </c>
      <c r="K548" s="28">
        <v>42.0</v>
      </c>
      <c r="P548" s="134"/>
    </row>
    <row r="549">
      <c r="C549" s="124"/>
      <c r="H549" s="28">
        <v>48.0</v>
      </c>
      <c r="J549" s="28">
        <v>0.5</v>
      </c>
      <c r="K549" s="28">
        <v>43.0</v>
      </c>
      <c r="P549" s="134"/>
    </row>
    <row r="550">
      <c r="C550" s="124"/>
      <c r="H550" s="28">
        <v>47.0</v>
      </c>
      <c r="J550" s="28">
        <v>0.54</v>
      </c>
      <c r="K550" s="28">
        <v>39.0</v>
      </c>
      <c r="P550" s="134"/>
    </row>
    <row r="551">
      <c r="C551" s="124"/>
      <c r="H551" s="28">
        <v>43.0</v>
      </c>
      <c r="J551" s="28">
        <v>0.46</v>
      </c>
      <c r="K551" s="28">
        <v>44.0</v>
      </c>
      <c r="P551" s="134"/>
    </row>
    <row r="552">
      <c r="C552" s="124"/>
      <c r="H552" s="28">
        <v>46.0</v>
      </c>
      <c r="J552" s="28">
        <v>0.53</v>
      </c>
      <c r="K552" s="28">
        <v>42.0</v>
      </c>
      <c r="P552" s="134"/>
    </row>
    <row r="553">
      <c r="C553" s="124"/>
      <c r="H553" s="28">
        <v>47.0</v>
      </c>
      <c r="J553" s="28">
        <v>0.49</v>
      </c>
      <c r="K553" s="28">
        <v>46.0</v>
      </c>
      <c r="P553" s="134"/>
    </row>
    <row r="554">
      <c r="C554" s="124"/>
      <c r="H554" s="28">
        <v>44.0</v>
      </c>
      <c r="J554" s="28">
        <v>0.49</v>
      </c>
      <c r="K554" s="28">
        <v>43.0</v>
      </c>
      <c r="P554" s="134"/>
    </row>
    <row r="555">
      <c r="C555" s="124"/>
      <c r="H555" s="28">
        <v>48.0</v>
      </c>
      <c r="J555" s="28">
        <v>0.51</v>
      </c>
      <c r="K555" s="28">
        <v>43.0</v>
      </c>
      <c r="P555" s="134"/>
    </row>
    <row r="556">
      <c r="C556" s="124"/>
      <c r="H556" s="28">
        <v>45.0</v>
      </c>
      <c r="J556" s="28">
        <v>0.48</v>
      </c>
      <c r="K556" s="28">
        <v>39.0</v>
      </c>
      <c r="P556" s="134"/>
    </row>
    <row r="557">
      <c r="C557" s="124"/>
      <c r="H557" s="28">
        <v>43.0</v>
      </c>
      <c r="J557" s="28">
        <v>0.48</v>
      </c>
      <c r="K557" s="28">
        <v>48.0</v>
      </c>
      <c r="P557" s="134"/>
    </row>
    <row r="558">
      <c r="C558" s="124"/>
      <c r="H558" s="28">
        <v>43.0</v>
      </c>
      <c r="J558" s="28">
        <v>0.47</v>
      </c>
      <c r="K558" s="28">
        <v>41.0</v>
      </c>
      <c r="P558" s="134"/>
    </row>
    <row r="559">
      <c r="C559" s="124"/>
      <c r="H559" s="28">
        <v>43.0</v>
      </c>
      <c r="J559" s="28">
        <v>0.53</v>
      </c>
      <c r="K559" s="28">
        <v>42.0</v>
      </c>
      <c r="P559" s="134"/>
    </row>
    <row r="560">
      <c r="C560" s="124"/>
      <c r="H560" s="28">
        <v>47.0</v>
      </c>
      <c r="J560" s="28">
        <v>0.44</v>
      </c>
      <c r="K560" s="28">
        <v>43.0</v>
      </c>
      <c r="P560" s="134"/>
    </row>
    <row r="561">
      <c r="C561" s="124"/>
      <c r="H561" s="28">
        <v>47.0</v>
      </c>
      <c r="J561" s="28">
        <v>0.49</v>
      </c>
      <c r="K561" s="28">
        <v>44.0</v>
      </c>
      <c r="P561" s="134"/>
    </row>
    <row r="562">
      <c r="C562" s="124"/>
      <c r="H562" s="28">
        <v>50.0</v>
      </c>
      <c r="J562" s="28">
        <v>0.46</v>
      </c>
      <c r="K562" s="28">
        <v>49.0</v>
      </c>
      <c r="P562" s="134"/>
    </row>
    <row r="563">
      <c r="C563" s="124"/>
      <c r="H563" s="28">
        <v>47.0</v>
      </c>
      <c r="J563" s="28">
        <v>0.51</v>
      </c>
      <c r="K563" s="28">
        <v>44.0</v>
      </c>
      <c r="P563" s="134"/>
    </row>
    <row r="564">
      <c r="C564" s="124"/>
      <c r="H564" s="28">
        <v>47.0</v>
      </c>
      <c r="J564" s="28">
        <v>0.48</v>
      </c>
      <c r="K564" s="28">
        <v>44.0</v>
      </c>
      <c r="P564" s="134"/>
    </row>
    <row r="565">
      <c r="C565" s="124"/>
      <c r="H565" s="28">
        <v>48.0</v>
      </c>
      <c r="J565" s="28">
        <v>0.53</v>
      </c>
      <c r="K565" s="28">
        <v>47.0</v>
      </c>
      <c r="P565" s="134"/>
    </row>
    <row r="566">
      <c r="C566" s="124"/>
      <c r="H566" s="28">
        <v>47.0</v>
      </c>
      <c r="J566" s="28">
        <v>0.49</v>
      </c>
      <c r="K566" s="28">
        <v>45.0</v>
      </c>
      <c r="P566" s="134"/>
    </row>
    <row r="567">
      <c r="C567" s="124"/>
      <c r="H567" s="28">
        <v>44.0</v>
      </c>
      <c r="J567" s="28">
        <v>0.44</v>
      </c>
      <c r="K567" s="28">
        <v>44.0</v>
      </c>
      <c r="P567" s="134"/>
    </row>
    <row r="568">
      <c r="C568" s="124"/>
      <c r="H568" s="28">
        <v>48.0</v>
      </c>
      <c r="J568" s="28">
        <v>0.45</v>
      </c>
      <c r="K568" s="28">
        <v>41.0</v>
      </c>
      <c r="P568" s="134"/>
    </row>
    <row r="569">
      <c r="C569" s="124"/>
      <c r="H569" s="28">
        <v>40.0</v>
      </c>
      <c r="J569" s="28">
        <v>0.53</v>
      </c>
      <c r="K569" s="28">
        <v>41.0</v>
      </c>
      <c r="P569" s="134"/>
    </row>
    <row r="570">
      <c r="C570" s="124"/>
      <c r="H570" s="28">
        <v>42.0</v>
      </c>
      <c r="J570" s="28">
        <v>0.48</v>
      </c>
      <c r="K570" s="28">
        <v>54.0</v>
      </c>
      <c r="P570" s="134"/>
    </row>
    <row r="571">
      <c r="C571" s="124"/>
      <c r="H571" s="28">
        <v>50.0</v>
      </c>
      <c r="J571" s="28">
        <v>0.5</v>
      </c>
      <c r="K571" s="28">
        <v>44.0</v>
      </c>
      <c r="P571" s="134"/>
    </row>
    <row r="572">
      <c r="C572" s="124"/>
      <c r="H572" s="28">
        <v>49.0</v>
      </c>
      <c r="J572" s="28">
        <v>0.57</v>
      </c>
      <c r="K572" s="28">
        <v>41.0</v>
      </c>
      <c r="P572" s="134"/>
    </row>
    <row r="573">
      <c r="C573" s="124"/>
      <c r="H573" s="28">
        <v>49.0</v>
      </c>
      <c r="J573" s="28">
        <v>0.51</v>
      </c>
      <c r="K573" s="28">
        <v>53.0</v>
      </c>
      <c r="P573" s="134"/>
    </row>
    <row r="574">
      <c r="C574" s="124"/>
      <c r="H574" s="28">
        <v>43.0</v>
      </c>
      <c r="J574" s="28">
        <v>0.48</v>
      </c>
      <c r="K574" s="28">
        <v>45.0</v>
      </c>
      <c r="P574" s="134"/>
    </row>
    <row r="575">
      <c r="C575" s="124"/>
      <c r="H575" s="28">
        <v>47.0</v>
      </c>
      <c r="J575" s="28">
        <v>0.48</v>
      </c>
      <c r="K575" s="28">
        <v>48.0</v>
      </c>
      <c r="P575" s="134"/>
    </row>
    <row r="576">
      <c r="C576" s="124"/>
      <c r="H576" s="28">
        <v>50.0</v>
      </c>
      <c r="J576" s="28">
        <v>0.51</v>
      </c>
      <c r="K576" s="28">
        <v>44.0</v>
      </c>
      <c r="P576" s="134"/>
    </row>
    <row r="577">
      <c r="C577" s="124"/>
      <c r="H577" s="28">
        <v>46.0</v>
      </c>
      <c r="J577" s="28">
        <v>0.49</v>
      </c>
      <c r="K577" s="28">
        <v>48.0</v>
      </c>
      <c r="P577" s="134"/>
    </row>
    <row r="578">
      <c r="C578" s="124"/>
      <c r="H578" s="28">
        <v>45.0</v>
      </c>
      <c r="J578" s="28">
        <v>0.51</v>
      </c>
      <c r="K578" s="28">
        <v>41.0</v>
      </c>
      <c r="P578" s="134"/>
    </row>
    <row r="579">
      <c r="C579" s="124"/>
      <c r="H579" s="28">
        <v>45.0</v>
      </c>
      <c r="J579" s="28">
        <v>0.5</v>
      </c>
      <c r="K579" s="28">
        <v>43.0</v>
      </c>
      <c r="P579" s="134"/>
    </row>
    <row r="580">
      <c r="C580" s="124"/>
      <c r="H580" s="28">
        <v>42.0</v>
      </c>
      <c r="J580" s="28">
        <v>0.52</v>
      </c>
      <c r="K580" s="28">
        <v>41.0</v>
      </c>
      <c r="P580" s="134"/>
    </row>
    <row r="581">
      <c r="C581" s="124"/>
      <c r="H581" s="28">
        <v>46.0</v>
      </c>
      <c r="J581" s="28">
        <v>0.54</v>
      </c>
      <c r="K581" s="28">
        <v>51.0</v>
      </c>
      <c r="P581" s="134"/>
    </row>
    <row r="582">
      <c r="C582" s="124"/>
      <c r="H582" s="28">
        <v>44.0</v>
      </c>
      <c r="J582" s="28">
        <v>0.5</v>
      </c>
      <c r="K582" s="28">
        <v>44.0</v>
      </c>
      <c r="P582" s="134"/>
    </row>
    <row r="583">
      <c r="C583" s="124"/>
      <c r="H583" s="28">
        <v>50.0</v>
      </c>
      <c r="J583" s="28">
        <v>0.49</v>
      </c>
      <c r="K583" s="28">
        <v>45.0</v>
      </c>
      <c r="P583" s="134"/>
    </row>
    <row r="584">
      <c r="C584" s="124"/>
      <c r="H584" s="28">
        <v>46.0</v>
      </c>
      <c r="J584" s="28">
        <v>0.53</v>
      </c>
      <c r="K584" s="28">
        <v>47.0</v>
      </c>
      <c r="P584" s="134"/>
    </row>
    <row r="585">
      <c r="C585" s="124"/>
      <c r="H585" s="28">
        <v>48.0</v>
      </c>
      <c r="J585" s="28">
        <v>0.51</v>
      </c>
      <c r="K585" s="28">
        <v>51.0</v>
      </c>
      <c r="P585" s="134"/>
    </row>
    <row r="586">
      <c r="C586" s="124"/>
      <c r="H586" s="28">
        <v>45.0</v>
      </c>
      <c r="J586" s="28">
        <v>0.53</v>
      </c>
      <c r="K586" s="28">
        <v>47.0</v>
      </c>
      <c r="P586" s="134"/>
    </row>
    <row r="587">
      <c r="C587" s="124"/>
      <c r="H587" s="28">
        <v>49.0</v>
      </c>
      <c r="J587" s="28">
        <v>0.49</v>
      </c>
      <c r="K587" s="28">
        <v>45.0</v>
      </c>
      <c r="P587" s="134"/>
    </row>
    <row r="588">
      <c r="C588" s="124"/>
      <c r="H588" s="28">
        <v>46.0</v>
      </c>
      <c r="J588" s="28">
        <v>0.47</v>
      </c>
      <c r="K588" s="28">
        <v>42.0</v>
      </c>
      <c r="P588" s="134"/>
    </row>
    <row r="589">
      <c r="C589" s="124"/>
      <c r="H589" s="28">
        <v>48.0</v>
      </c>
      <c r="J589" s="28">
        <v>0.54</v>
      </c>
      <c r="K589" s="28">
        <v>42.0</v>
      </c>
      <c r="P589" s="134"/>
    </row>
    <row r="590">
      <c r="C590" s="124"/>
      <c r="H590" s="28">
        <v>47.0</v>
      </c>
      <c r="J590" s="28">
        <v>0.48</v>
      </c>
      <c r="K590" s="28">
        <v>43.0</v>
      </c>
      <c r="P590" s="134"/>
    </row>
    <row r="591">
      <c r="C591" s="124"/>
      <c r="H591" s="28">
        <v>48.0</v>
      </c>
      <c r="J591" s="28">
        <v>0.53</v>
      </c>
      <c r="K591" s="28">
        <v>46.0</v>
      </c>
      <c r="P591" s="134"/>
    </row>
    <row r="592">
      <c r="C592" s="124"/>
      <c r="H592" s="28">
        <v>44.0</v>
      </c>
      <c r="J592" s="28">
        <v>0.57</v>
      </c>
      <c r="K592" s="28">
        <v>38.0</v>
      </c>
      <c r="P592" s="134"/>
    </row>
    <row r="593">
      <c r="C593" s="124"/>
      <c r="H593" s="28">
        <v>46.0</v>
      </c>
      <c r="J593" s="28">
        <v>0.48</v>
      </c>
      <c r="K593" s="28">
        <v>45.0</v>
      </c>
      <c r="P593" s="134"/>
    </row>
    <row r="594">
      <c r="C594" s="124"/>
      <c r="H594" s="28">
        <v>40.0</v>
      </c>
      <c r="J594" s="28">
        <v>0.53</v>
      </c>
      <c r="K594" s="28">
        <v>46.0</v>
      </c>
      <c r="P594" s="134"/>
    </row>
    <row r="595">
      <c r="C595" s="124"/>
      <c r="H595" s="28">
        <v>47.0</v>
      </c>
      <c r="J595" s="28">
        <v>0.59</v>
      </c>
      <c r="K595" s="28">
        <v>40.0</v>
      </c>
      <c r="P595" s="134"/>
    </row>
    <row r="596">
      <c r="C596" s="124"/>
      <c r="H596" s="28">
        <v>48.0</v>
      </c>
      <c r="J596" s="28">
        <v>0.62</v>
      </c>
      <c r="K596" s="28">
        <v>41.0</v>
      </c>
      <c r="P596" s="134"/>
    </row>
    <row r="597">
      <c r="C597" s="124"/>
      <c r="H597" s="28">
        <v>47.0</v>
      </c>
      <c r="J597" s="28">
        <v>0.57</v>
      </c>
      <c r="K597" s="28">
        <v>46.0</v>
      </c>
      <c r="P597" s="134"/>
    </row>
    <row r="598">
      <c r="C598" s="124"/>
      <c r="H598" s="28">
        <v>42.0</v>
      </c>
      <c r="J598" s="28">
        <v>0.5</v>
      </c>
      <c r="K598" s="28">
        <v>51.0</v>
      </c>
      <c r="P598" s="134"/>
    </row>
    <row r="599">
      <c r="C599" s="124"/>
      <c r="H599" s="28">
        <v>43.0</v>
      </c>
      <c r="J599" s="28">
        <v>0.5</v>
      </c>
      <c r="K599" s="28">
        <v>38.0</v>
      </c>
      <c r="P599" s="134"/>
    </row>
    <row r="600">
      <c r="C600" s="124"/>
      <c r="H600" s="28">
        <v>51.0</v>
      </c>
      <c r="J600" s="28">
        <v>0.56</v>
      </c>
      <c r="K600" s="28">
        <v>44.0</v>
      </c>
      <c r="P600" s="134"/>
    </row>
    <row r="601">
      <c r="C601" s="124"/>
      <c r="H601" s="28">
        <v>44.0</v>
      </c>
      <c r="J601" s="28">
        <v>0.6</v>
      </c>
      <c r="K601" s="28">
        <v>40.0</v>
      </c>
      <c r="P601" s="134"/>
    </row>
    <row r="602">
      <c r="C602" s="124"/>
      <c r="H602" s="28">
        <v>42.0</v>
      </c>
      <c r="J602" s="28">
        <v>0.44</v>
      </c>
      <c r="K602" s="28">
        <v>42.0</v>
      </c>
      <c r="P602" s="134"/>
    </row>
    <row r="603">
      <c r="C603" s="124"/>
      <c r="H603" s="28">
        <v>41.0</v>
      </c>
      <c r="J603" s="28">
        <v>0.52</v>
      </c>
      <c r="K603" s="28">
        <v>43.0</v>
      </c>
      <c r="P603" s="134"/>
    </row>
    <row r="604">
      <c r="C604" s="124"/>
      <c r="H604" s="28">
        <v>42.0</v>
      </c>
      <c r="J604" s="28">
        <v>0.53</v>
      </c>
      <c r="K604" s="28">
        <v>42.0</v>
      </c>
      <c r="P604" s="134"/>
    </row>
    <row r="605">
      <c r="C605" s="124"/>
      <c r="H605" s="28">
        <v>45.0</v>
      </c>
      <c r="J605" s="28">
        <v>0.51</v>
      </c>
      <c r="K605" s="28">
        <v>43.0</v>
      </c>
      <c r="P605" s="134"/>
    </row>
    <row r="606">
      <c r="C606" s="124"/>
      <c r="H606" s="28">
        <v>43.0</v>
      </c>
      <c r="J606" s="28">
        <v>0.54</v>
      </c>
      <c r="K606" s="28">
        <v>42.0</v>
      </c>
      <c r="P606" s="134"/>
    </row>
    <row r="607">
      <c r="C607" s="124"/>
      <c r="H607" s="28">
        <v>47.0</v>
      </c>
      <c r="J607" s="28">
        <v>0.49</v>
      </c>
      <c r="K607" s="28">
        <v>40.0</v>
      </c>
      <c r="P607" s="134"/>
    </row>
    <row r="608">
      <c r="C608" s="124"/>
      <c r="H608" s="28">
        <v>45.0</v>
      </c>
      <c r="J608" s="28">
        <v>0.51</v>
      </c>
      <c r="K608" s="28">
        <v>42.0</v>
      </c>
      <c r="P608" s="134"/>
    </row>
    <row r="609">
      <c r="C609" s="124"/>
      <c r="H609" s="28">
        <v>43.0</v>
      </c>
      <c r="J609" s="28">
        <v>0.55</v>
      </c>
      <c r="K609" s="28">
        <v>38.0</v>
      </c>
      <c r="P609" s="134"/>
    </row>
    <row r="610">
      <c r="C610" s="124"/>
      <c r="H610" s="28">
        <v>41.0</v>
      </c>
      <c r="J610" s="28">
        <v>0.57</v>
      </c>
      <c r="K610" s="28">
        <v>42.0</v>
      </c>
      <c r="P610" s="134"/>
    </row>
    <row r="611">
      <c r="C611" s="124"/>
      <c r="H611" s="28">
        <v>49.0</v>
      </c>
      <c r="J611" s="28">
        <v>0.61</v>
      </c>
      <c r="K611" s="28">
        <v>42.0</v>
      </c>
      <c r="P611" s="134"/>
    </row>
    <row r="612">
      <c r="C612" s="124"/>
      <c r="H612" s="28">
        <v>44.0</v>
      </c>
      <c r="J612" s="28">
        <v>0.53</v>
      </c>
      <c r="K612" s="28">
        <v>43.0</v>
      </c>
      <c r="P612" s="134"/>
    </row>
    <row r="613">
      <c r="C613" s="124"/>
      <c r="H613" s="28">
        <v>43.0</v>
      </c>
      <c r="J613" s="28">
        <v>0.52</v>
      </c>
      <c r="K613" s="28">
        <v>40.0</v>
      </c>
      <c r="P613" s="134"/>
    </row>
    <row r="614">
      <c r="C614" s="124"/>
      <c r="H614" s="28">
        <v>47.0</v>
      </c>
      <c r="J614" s="28">
        <v>0.5</v>
      </c>
      <c r="K614" s="28">
        <v>43.0</v>
      </c>
      <c r="P614" s="134"/>
    </row>
    <row r="615">
      <c r="C615" s="124"/>
      <c r="H615" s="28">
        <v>38.0</v>
      </c>
      <c r="J615" s="28">
        <v>0.59</v>
      </c>
      <c r="K615" s="28">
        <v>49.0</v>
      </c>
      <c r="P615" s="134"/>
    </row>
    <row r="616">
      <c r="C616" s="124"/>
      <c r="H616" s="28">
        <v>39.0</v>
      </c>
      <c r="J616" s="28">
        <v>0.53</v>
      </c>
      <c r="K616" s="28">
        <v>41.0</v>
      </c>
      <c r="P616" s="134"/>
    </row>
    <row r="617">
      <c r="C617" s="124"/>
      <c r="H617" s="28">
        <v>44.0</v>
      </c>
      <c r="J617" s="28">
        <v>0.6</v>
      </c>
      <c r="K617" s="28">
        <v>41.0</v>
      </c>
      <c r="P617" s="134"/>
    </row>
    <row r="618">
      <c r="C618" s="124"/>
      <c r="H618" s="28">
        <v>44.0</v>
      </c>
      <c r="J618" s="28">
        <v>0.52</v>
      </c>
      <c r="K618" s="28">
        <v>42.0</v>
      </c>
      <c r="P618" s="134"/>
    </row>
    <row r="619">
      <c r="C619" s="124"/>
      <c r="H619" s="28">
        <v>40.0</v>
      </c>
      <c r="J619" s="28">
        <v>0.55</v>
      </c>
      <c r="K619" s="28">
        <v>42.0</v>
      </c>
      <c r="P619" s="134"/>
    </row>
    <row r="620">
      <c r="C620" s="124"/>
      <c r="H620" s="28">
        <v>43.0</v>
      </c>
      <c r="J620" s="28">
        <v>0.47</v>
      </c>
      <c r="K620" s="28">
        <v>48.0</v>
      </c>
      <c r="P620" s="134"/>
    </row>
    <row r="621">
      <c r="C621" s="124"/>
      <c r="H621" s="28">
        <v>45.0</v>
      </c>
      <c r="J621" s="28">
        <v>0.57</v>
      </c>
      <c r="K621" s="28">
        <v>45.0</v>
      </c>
      <c r="P621" s="134"/>
    </row>
    <row r="622">
      <c r="C622" s="124"/>
      <c r="H622" s="28">
        <v>45.0</v>
      </c>
      <c r="J622" s="28">
        <v>0.49</v>
      </c>
      <c r="K622" s="28">
        <v>44.0</v>
      </c>
      <c r="P622" s="134"/>
    </row>
    <row r="623">
      <c r="C623" s="124"/>
      <c r="H623" s="28">
        <v>45.0</v>
      </c>
      <c r="J623" s="28">
        <v>0.47</v>
      </c>
      <c r="K623" s="28">
        <v>48.0</v>
      </c>
      <c r="P623" s="134"/>
    </row>
    <row r="624">
      <c r="C624" s="124"/>
      <c r="H624" s="28">
        <v>47.0</v>
      </c>
      <c r="J624" s="28">
        <v>0.5</v>
      </c>
      <c r="K624" s="28">
        <v>39.0</v>
      </c>
      <c r="P624" s="134"/>
    </row>
    <row r="625">
      <c r="C625" s="124"/>
      <c r="H625" s="28">
        <v>46.0</v>
      </c>
      <c r="J625" s="28">
        <v>0.52</v>
      </c>
      <c r="K625" s="28">
        <v>39.0</v>
      </c>
      <c r="P625" s="134"/>
    </row>
    <row r="626">
      <c r="C626" s="124"/>
      <c r="H626" s="28">
        <v>43.0</v>
      </c>
      <c r="J626" s="28">
        <v>0.55</v>
      </c>
      <c r="K626" s="28">
        <v>42.0</v>
      </c>
      <c r="P626" s="134"/>
    </row>
    <row r="627">
      <c r="C627" s="124"/>
      <c r="H627" s="28">
        <v>48.0</v>
      </c>
      <c r="J627" s="28">
        <v>0.59</v>
      </c>
      <c r="K627" s="28">
        <v>50.0</v>
      </c>
      <c r="P627" s="134"/>
    </row>
    <row r="628">
      <c r="C628" s="124"/>
      <c r="H628" s="28">
        <v>45.0</v>
      </c>
      <c r="J628" s="28">
        <v>0.65</v>
      </c>
      <c r="K628" s="28">
        <v>51.0</v>
      </c>
      <c r="P628" s="134"/>
    </row>
    <row r="629">
      <c r="C629" s="124"/>
      <c r="H629" s="28">
        <v>45.0</v>
      </c>
      <c r="J629" s="28">
        <v>0.49</v>
      </c>
      <c r="K629" s="28">
        <v>44.0</v>
      </c>
      <c r="P629" s="134"/>
    </row>
    <row r="630">
      <c r="C630" s="124"/>
      <c r="H630" s="28">
        <v>44.0</v>
      </c>
      <c r="J630" s="28">
        <v>0.58</v>
      </c>
      <c r="K630" s="28">
        <v>48.0</v>
      </c>
      <c r="P630" s="134"/>
    </row>
    <row r="631">
      <c r="C631" s="124"/>
      <c r="H631" s="28">
        <v>44.0</v>
      </c>
      <c r="J631" s="28">
        <v>0.57</v>
      </c>
      <c r="K631" s="28">
        <v>50.0</v>
      </c>
      <c r="P631" s="134"/>
    </row>
    <row r="632">
      <c r="C632" s="124"/>
      <c r="H632" s="28">
        <v>46.0</v>
      </c>
      <c r="J632" s="28">
        <v>0.49</v>
      </c>
      <c r="K632" s="28">
        <v>46.0</v>
      </c>
      <c r="P632" s="134"/>
    </row>
    <row r="633">
      <c r="C633" s="124"/>
      <c r="H633" s="28">
        <v>45.0</v>
      </c>
      <c r="J633" s="28">
        <v>0.45</v>
      </c>
      <c r="K633" s="28">
        <v>43.0</v>
      </c>
      <c r="P633" s="134"/>
    </row>
    <row r="634">
      <c r="C634" s="124"/>
      <c r="H634" s="28">
        <v>48.0</v>
      </c>
      <c r="J634" s="28">
        <v>0.51</v>
      </c>
      <c r="K634" s="28">
        <v>43.0</v>
      </c>
      <c r="P634" s="134"/>
    </row>
    <row r="635">
      <c r="C635" s="124"/>
      <c r="H635" s="28">
        <v>41.0</v>
      </c>
      <c r="J635" s="28">
        <v>0.49</v>
      </c>
      <c r="K635" s="28">
        <v>42.0</v>
      </c>
      <c r="P635" s="134"/>
    </row>
    <row r="636">
      <c r="C636" s="124"/>
      <c r="H636" s="28">
        <v>52.0</v>
      </c>
      <c r="J636" s="28">
        <v>0.56</v>
      </c>
      <c r="K636" s="28">
        <v>40.0</v>
      </c>
      <c r="P636" s="134"/>
    </row>
    <row r="637">
      <c r="C637" s="124"/>
      <c r="H637" s="28">
        <v>46.0</v>
      </c>
      <c r="J637" s="28">
        <v>0.55</v>
      </c>
      <c r="K637" s="28">
        <v>39.0</v>
      </c>
      <c r="P637" s="134"/>
    </row>
    <row r="638">
      <c r="C638" s="124"/>
      <c r="H638" s="28">
        <v>40.0</v>
      </c>
      <c r="J638" s="28">
        <v>0.49</v>
      </c>
      <c r="K638" s="28">
        <v>47.0</v>
      </c>
      <c r="P638" s="134"/>
    </row>
    <row r="639">
      <c r="C639" s="124"/>
      <c r="H639" s="28">
        <v>46.0</v>
      </c>
      <c r="J639" s="28">
        <v>0.48</v>
      </c>
      <c r="K639" s="28">
        <v>47.0</v>
      </c>
      <c r="P639" s="134"/>
    </row>
    <row r="640">
      <c r="C640" s="124"/>
      <c r="H640" s="28">
        <v>46.0</v>
      </c>
      <c r="J640" s="28">
        <v>0.52</v>
      </c>
      <c r="K640" s="28">
        <v>42.0</v>
      </c>
      <c r="P640" s="134"/>
    </row>
    <row r="641">
      <c r="C641" s="124"/>
      <c r="H641" s="28">
        <v>41.0</v>
      </c>
      <c r="J641" s="28">
        <v>0.53</v>
      </c>
      <c r="K641" s="28">
        <v>38.0</v>
      </c>
      <c r="P641" s="134"/>
    </row>
    <row r="642">
      <c r="C642" s="124"/>
      <c r="H642" s="28">
        <v>38.0</v>
      </c>
      <c r="J642" s="28">
        <v>0.58</v>
      </c>
      <c r="K642" s="28">
        <v>54.0</v>
      </c>
      <c r="P642" s="134"/>
    </row>
    <row r="643">
      <c r="C643" s="124"/>
      <c r="H643" s="28">
        <v>43.0</v>
      </c>
      <c r="J643" s="28">
        <v>0.48</v>
      </c>
      <c r="K643" s="28">
        <v>46.0</v>
      </c>
      <c r="P643" s="134"/>
    </row>
    <row r="644">
      <c r="C644" s="124"/>
      <c r="H644" s="28">
        <v>52.0</v>
      </c>
      <c r="J644" s="28">
        <v>0.56</v>
      </c>
      <c r="K644" s="28">
        <v>37.0</v>
      </c>
      <c r="P644" s="134"/>
    </row>
    <row r="645">
      <c r="C645" s="124"/>
      <c r="H645" s="28">
        <v>41.0</v>
      </c>
      <c r="J645" s="28">
        <v>0.54</v>
      </c>
      <c r="K645" s="28">
        <v>40.0</v>
      </c>
      <c r="P645" s="134"/>
    </row>
    <row r="646">
      <c r="C646" s="124"/>
      <c r="H646" s="28">
        <v>40.0</v>
      </c>
      <c r="J646" s="28">
        <v>0.54</v>
      </c>
      <c r="K646" s="28">
        <v>42.0</v>
      </c>
      <c r="P646" s="134"/>
    </row>
    <row r="647">
      <c r="C647" s="124"/>
      <c r="H647" s="28">
        <v>46.0</v>
      </c>
      <c r="J647" s="28">
        <v>0.56</v>
      </c>
      <c r="K647" s="28">
        <v>48.0</v>
      </c>
      <c r="P647" s="134"/>
    </row>
    <row r="648">
      <c r="C648" s="124"/>
      <c r="H648" s="28">
        <v>45.0</v>
      </c>
      <c r="J648" s="28">
        <v>0.46</v>
      </c>
      <c r="K648" s="28">
        <v>46.0</v>
      </c>
      <c r="P648" s="134"/>
    </row>
    <row r="649">
      <c r="C649" s="124"/>
      <c r="H649" s="28">
        <v>44.0</v>
      </c>
      <c r="J649" s="28">
        <v>0.52</v>
      </c>
      <c r="K649" s="28">
        <v>40.0</v>
      </c>
      <c r="P649" s="134"/>
    </row>
    <row r="650">
      <c r="C650" s="124"/>
      <c r="H650" s="28">
        <v>41.0</v>
      </c>
      <c r="J650" s="28">
        <v>0.49</v>
      </c>
      <c r="K650" s="28">
        <v>47.0</v>
      </c>
      <c r="P650" s="134"/>
    </row>
    <row r="651">
      <c r="C651" s="124"/>
      <c r="H651" s="28">
        <v>43.0</v>
      </c>
      <c r="J651" s="28">
        <v>0.54</v>
      </c>
      <c r="K651" s="28">
        <v>41.0</v>
      </c>
      <c r="P651" s="134"/>
    </row>
    <row r="652">
      <c r="C652" s="124"/>
      <c r="H652" s="28">
        <v>43.0</v>
      </c>
      <c r="J652" s="28">
        <v>0.54</v>
      </c>
      <c r="K652" s="28">
        <v>48.0</v>
      </c>
      <c r="P652" s="134"/>
    </row>
    <row r="653">
      <c r="C653" s="124"/>
      <c r="H653" s="28">
        <v>54.0</v>
      </c>
      <c r="J653" s="28">
        <v>0.44</v>
      </c>
      <c r="K653" s="28">
        <v>36.0</v>
      </c>
      <c r="P653" s="134"/>
    </row>
    <row r="654">
      <c r="C654" s="124"/>
      <c r="H654" s="28">
        <v>48.0</v>
      </c>
      <c r="J654" s="28">
        <v>0.48</v>
      </c>
      <c r="K654" s="28">
        <v>43.0</v>
      </c>
      <c r="P654" s="134"/>
    </row>
    <row r="655">
      <c r="C655" s="124"/>
      <c r="H655" s="28">
        <v>43.0</v>
      </c>
      <c r="J655" s="28">
        <v>0.53</v>
      </c>
      <c r="K655" s="28">
        <v>50.0</v>
      </c>
      <c r="P655" s="134"/>
    </row>
    <row r="656">
      <c r="C656" s="124"/>
      <c r="H656" s="28">
        <v>45.0</v>
      </c>
      <c r="J656" s="28">
        <v>0.48</v>
      </c>
      <c r="K656" s="28">
        <v>47.0</v>
      </c>
      <c r="P656" s="134"/>
    </row>
    <row r="657">
      <c r="C657" s="124"/>
      <c r="H657" s="28">
        <v>44.0</v>
      </c>
      <c r="J657" s="28">
        <v>0.53</v>
      </c>
      <c r="K657" s="28">
        <v>49.0</v>
      </c>
      <c r="P657" s="134"/>
    </row>
    <row r="658">
      <c r="C658" s="124"/>
      <c r="H658" s="28">
        <v>39.0</v>
      </c>
      <c r="J658" s="28">
        <v>0.5</v>
      </c>
      <c r="K658" s="28">
        <v>44.0</v>
      </c>
      <c r="P658" s="134"/>
    </row>
    <row r="659">
      <c r="C659" s="124"/>
      <c r="H659" s="28">
        <v>51.0</v>
      </c>
      <c r="J659" s="28">
        <v>0.48</v>
      </c>
      <c r="K659" s="28">
        <v>46.0</v>
      </c>
      <c r="P659" s="134"/>
    </row>
    <row r="660">
      <c r="C660" s="124"/>
      <c r="H660" s="28">
        <v>39.0</v>
      </c>
      <c r="J660" s="28">
        <v>0.53</v>
      </c>
      <c r="K660" s="28">
        <v>42.0</v>
      </c>
      <c r="P660" s="134"/>
    </row>
    <row r="661">
      <c r="C661" s="124"/>
      <c r="H661" s="28">
        <v>45.0</v>
      </c>
      <c r="J661" s="28">
        <v>0.5</v>
      </c>
      <c r="K661" s="28">
        <v>39.0</v>
      </c>
      <c r="P661" s="134"/>
    </row>
    <row r="662">
      <c r="C662" s="124"/>
      <c r="H662" s="28">
        <v>41.0</v>
      </c>
      <c r="J662" s="28">
        <v>0.46</v>
      </c>
      <c r="K662" s="28">
        <v>46.0</v>
      </c>
      <c r="P662" s="134"/>
    </row>
    <row r="663">
      <c r="C663" s="124"/>
      <c r="H663" s="28">
        <v>45.0</v>
      </c>
      <c r="J663" s="28">
        <v>0.48</v>
      </c>
      <c r="K663" s="28">
        <v>46.0</v>
      </c>
      <c r="P663" s="134"/>
    </row>
    <row r="664">
      <c r="C664" s="124"/>
      <c r="H664" s="28">
        <v>42.0</v>
      </c>
      <c r="J664" s="28">
        <v>0.53</v>
      </c>
      <c r="K664" s="28">
        <v>47.0</v>
      </c>
      <c r="P664" s="134"/>
    </row>
    <row r="665">
      <c r="C665" s="124"/>
      <c r="H665" s="28">
        <v>48.0</v>
      </c>
      <c r="J665" s="28">
        <v>0.49</v>
      </c>
      <c r="K665" s="28">
        <v>43.0</v>
      </c>
      <c r="P665" s="134"/>
    </row>
    <row r="666">
      <c r="C666" s="124"/>
      <c r="H666" s="28">
        <v>44.0</v>
      </c>
      <c r="J666" s="28">
        <v>0.48</v>
      </c>
      <c r="K666" s="28">
        <v>42.0</v>
      </c>
      <c r="P666" s="134"/>
    </row>
    <row r="667">
      <c r="C667" s="124"/>
      <c r="H667" s="28">
        <v>46.0</v>
      </c>
      <c r="J667" s="28">
        <v>0.49</v>
      </c>
      <c r="K667" s="28">
        <v>45.0</v>
      </c>
      <c r="P667" s="134"/>
    </row>
    <row r="668">
      <c r="C668" s="124"/>
      <c r="H668" s="28">
        <v>40.0</v>
      </c>
      <c r="J668" s="28">
        <v>0.57</v>
      </c>
      <c r="K668" s="28">
        <v>49.0</v>
      </c>
      <c r="P668" s="134"/>
    </row>
    <row r="669">
      <c r="C669" s="124"/>
      <c r="H669" s="28">
        <v>51.0</v>
      </c>
      <c r="J669" s="28">
        <v>0.53</v>
      </c>
      <c r="K669" s="28">
        <v>40.0</v>
      </c>
      <c r="P669" s="134"/>
    </row>
    <row r="670">
      <c r="C670" s="124"/>
      <c r="H670" s="28">
        <v>46.0</v>
      </c>
      <c r="J670" s="28">
        <v>0.53</v>
      </c>
      <c r="K670" s="28">
        <v>42.0</v>
      </c>
      <c r="P670" s="134"/>
    </row>
    <row r="671">
      <c r="C671" s="124"/>
      <c r="H671" s="28">
        <v>47.0</v>
      </c>
      <c r="J671" s="28">
        <v>0.51</v>
      </c>
      <c r="K671" s="28">
        <v>44.0</v>
      </c>
      <c r="P671" s="134"/>
    </row>
    <row r="672">
      <c r="C672" s="124"/>
      <c r="H672" s="28">
        <v>46.0</v>
      </c>
      <c r="J672" s="28">
        <v>0.54</v>
      </c>
      <c r="K672" s="28">
        <v>45.0</v>
      </c>
      <c r="P672" s="134"/>
    </row>
    <row r="673">
      <c r="C673" s="124"/>
      <c r="H673" s="28">
        <v>42.0</v>
      </c>
      <c r="J673" s="28">
        <v>0.58</v>
      </c>
      <c r="K673" s="28">
        <v>39.0</v>
      </c>
      <c r="P673" s="134"/>
    </row>
    <row r="674">
      <c r="C674" s="124"/>
      <c r="H674" s="28">
        <v>42.0</v>
      </c>
      <c r="J674" s="28">
        <v>0.57</v>
      </c>
      <c r="K674" s="28">
        <v>44.0</v>
      </c>
      <c r="P674" s="134"/>
    </row>
    <row r="675">
      <c r="C675" s="124"/>
      <c r="H675" s="28">
        <v>39.0</v>
      </c>
      <c r="J675" s="28">
        <v>0.5</v>
      </c>
      <c r="K675" s="28">
        <v>42.0</v>
      </c>
      <c r="P675" s="134"/>
    </row>
    <row r="676">
      <c r="C676" s="124"/>
      <c r="H676" s="28">
        <v>46.0</v>
      </c>
      <c r="J676" s="28">
        <v>0.55</v>
      </c>
      <c r="K676" s="28">
        <v>42.0</v>
      </c>
      <c r="P676" s="134"/>
    </row>
    <row r="677">
      <c r="C677" s="124"/>
      <c r="H677" s="28">
        <v>45.0</v>
      </c>
      <c r="J677" s="28">
        <v>0.54</v>
      </c>
      <c r="K677" s="28">
        <v>37.0</v>
      </c>
      <c r="P677" s="134"/>
    </row>
    <row r="678">
      <c r="C678" s="124"/>
      <c r="H678" s="28">
        <v>45.0</v>
      </c>
      <c r="J678" s="28">
        <v>0.56</v>
      </c>
      <c r="K678" s="28">
        <v>50.0</v>
      </c>
      <c r="P678" s="134"/>
    </row>
    <row r="679">
      <c r="C679" s="124"/>
      <c r="H679" s="28">
        <v>51.0</v>
      </c>
      <c r="J679" s="28">
        <v>0.55</v>
      </c>
      <c r="K679" s="28">
        <v>42.0</v>
      </c>
      <c r="P679" s="134"/>
    </row>
    <row r="680">
      <c r="C680" s="124"/>
      <c r="H680" s="28">
        <v>46.0</v>
      </c>
      <c r="J680" s="28">
        <v>0.55</v>
      </c>
      <c r="K680" s="28">
        <v>41.0</v>
      </c>
      <c r="P680" s="134"/>
    </row>
    <row r="681">
      <c r="C681" s="124"/>
      <c r="H681" s="28">
        <v>45.0</v>
      </c>
      <c r="J681" s="28">
        <v>0.5</v>
      </c>
      <c r="K681" s="28">
        <v>45.0</v>
      </c>
      <c r="P681" s="134"/>
    </row>
    <row r="682">
      <c r="C682" s="124"/>
      <c r="H682" s="28">
        <v>46.0</v>
      </c>
      <c r="J682" s="28">
        <v>0.54</v>
      </c>
      <c r="K682" s="28">
        <v>42.0</v>
      </c>
      <c r="P682" s="134"/>
    </row>
    <row r="683">
      <c r="C683" s="124"/>
      <c r="H683" s="28">
        <v>44.0</v>
      </c>
      <c r="J683" s="28">
        <v>0.54</v>
      </c>
      <c r="K683" s="28">
        <v>39.0</v>
      </c>
      <c r="P683" s="134"/>
    </row>
    <row r="684">
      <c r="C684" s="124"/>
      <c r="H684" s="28">
        <v>48.0</v>
      </c>
      <c r="J684" s="28">
        <v>0.59</v>
      </c>
      <c r="K684" s="28">
        <v>45.0</v>
      </c>
      <c r="P684" s="134"/>
    </row>
    <row r="685">
      <c r="C685" s="124"/>
      <c r="H685" s="28">
        <v>40.0</v>
      </c>
      <c r="J685" s="28">
        <v>0.5</v>
      </c>
      <c r="K685" s="28">
        <v>37.0</v>
      </c>
      <c r="P685" s="134"/>
    </row>
    <row r="686">
      <c r="C686" s="124"/>
      <c r="H686" s="28">
        <v>42.0</v>
      </c>
      <c r="J686" s="28">
        <v>0.52</v>
      </c>
      <c r="K686" s="28">
        <v>52.0</v>
      </c>
      <c r="P686" s="134"/>
    </row>
    <row r="687">
      <c r="C687" s="124"/>
      <c r="H687" s="28">
        <v>46.0</v>
      </c>
      <c r="J687" s="28">
        <v>0.52</v>
      </c>
      <c r="K687" s="28">
        <v>43.0</v>
      </c>
      <c r="P687" s="134"/>
    </row>
    <row r="688">
      <c r="C688" s="124"/>
      <c r="H688" s="28">
        <v>41.0</v>
      </c>
      <c r="J688" s="28">
        <v>0.56</v>
      </c>
      <c r="K688" s="28">
        <v>42.0</v>
      </c>
      <c r="P688" s="134"/>
    </row>
    <row r="689">
      <c r="C689" s="124"/>
      <c r="H689" s="28">
        <v>44.0</v>
      </c>
      <c r="J689" s="28">
        <v>0.54</v>
      </c>
      <c r="K689" s="28">
        <v>45.0</v>
      </c>
      <c r="P689" s="134"/>
    </row>
    <row r="690">
      <c r="C690" s="124"/>
      <c r="H690" s="28">
        <v>48.0</v>
      </c>
      <c r="J690" s="28">
        <v>0.53</v>
      </c>
      <c r="K690" s="28">
        <v>45.0</v>
      </c>
      <c r="P690" s="134"/>
    </row>
    <row r="691">
      <c r="C691" s="124"/>
      <c r="H691" s="28">
        <v>48.0</v>
      </c>
      <c r="J691" s="28">
        <v>0.56</v>
      </c>
      <c r="K691" s="28">
        <v>46.0</v>
      </c>
      <c r="P691" s="134"/>
    </row>
    <row r="692">
      <c r="C692" s="124"/>
      <c r="H692" s="28">
        <v>45.0</v>
      </c>
      <c r="J692" s="28">
        <v>0.5</v>
      </c>
      <c r="K692" s="28">
        <v>40.0</v>
      </c>
      <c r="P692" s="134"/>
    </row>
    <row r="693">
      <c r="C693" s="124"/>
      <c r="H693" s="28">
        <v>42.0</v>
      </c>
      <c r="J693" s="28">
        <v>0.52</v>
      </c>
      <c r="K693" s="28">
        <v>45.0</v>
      </c>
      <c r="P693" s="134"/>
    </row>
    <row r="694">
      <c r="C694" s="124"/>
      <c r="H694" s="28">
        <v>43.0</v>
      </c>
      <c r="J694" s="28">
        <v>0.52</v>
      </c>
      <c r="K694" s="28">
        <v>35.0</v>
      </c>
      <c r="P694" s="134"/>
    </row>
    <row r="695">
      <c r="C695" s="124"/>
      <c r="H695" s="28">
        <v>46.0</v>
      </c>
      <c r="J695" s="28">
        <v>0.53</v>
      </c>
      <c r="K695" s="28">
        <v>42.0</v>
      </c>
      <c r="P695" s="134"/>
    </row>
    <row r="696">
      <c r="C696" s="124"/>
      <c r="H696" s="28">
        <v>41.0</v>
      </c>
      <c r="J696" s="28">
        <v>0.51</v>
      </c>
      <c r="K696" s="28">
        <v>43.0</v>
      </c>
      <c r="P696" s="134"/>
    </row>
    <row r="697">
      <c r="C697" s="124"/>
      <c r="H697" s="28">
        <v>41.0</v>
      </c>
      <c r="J697" s="28">
        <v>0.52</v>
      </c>
      <c r="K697" s="28">
        <v>39.0</v>
      </c>
      <c r="P697" s="134"/>
    </row>
    <row r="698">
      <c r="C698" s="124"/>
      <c r="H698" s="28">
        <v>41.0</v>
      </c>
      <c r="J698" s="28">
        <v>0.52</v>
      </c>
      <c r="K698" s="28">
        <v>48.0</v>
      </c>
      <c r="P698" s="134"/>
    </row>
    <row r="699">
      <c r="C699" s="124"/>
      <c r="H699" s="28">
        <v>39.0</v>
      </c>
      <c r="J699" s="28">
        <v>0.53</v>
      </c>
      <c r="K699" s="28">
        <v>38.0</v>
      </c>
      <c r="P699" s="134"/>
    </row>
    <row r="700">
      <c r="C700" s="124"/>
      <c r="H700" s="28">
        <v>40.0</v>
      </c>
      <c r="J700" s="28">
        <v>0.53</v>
      </c>
      <c r="K700" s="28">
        <v>50.0</v>
      </c>
      <c r="P700" s="134"/>
    </row>
    <row r="701">
      <c r="C701" s="124"/>
      <c r="H701" s="28">
        <v>50.0</v>
      </c>
      <c r="J701" s="28">
        <v>0.5</v>
      </c>
      <c r="K701" s="28">
        <v>44.0</v>
      </c>
      <c r="P701" s="134"/>
    </row>
    <row r="702">
      <c r="C702" s="124"/>
      <c r="H702" s="28">
        <v>46.0</v>
      </c>
      <c r="J702" s="28">
        <v>0.54</v>
      </c>
      <c r="K702" s="28">
        <v>43.0</v>
      </c>
      <c r="P702" s="134"/>
    </row>
    <row r="703">
      <c r="C703" s="124"/>
      <c r="H703" s="28">
        <v>47.0</v>
      </c>
      <c r="J703" s="28">
        <v>0.54</v>
      </c>
      <c r="K703" s="28">
        <v>45.0</v>
      </c>
      <c r="P703" s="134"/>
    </row>
    <row r="704">
      <c r="C704" s="124"/>
      <c r="H704" s="28">
        <v>48.0</v>
      </c>
      <c r="J704" s="28">
        <v>0.49</v>
      </c>
      <c r="K704" s="28">
        <v>45.0</v>
      </c>
      <c r="P704" s="134"/>
    </row>
    <row r="705">
      <c r="C705" s="124"/>
      <c r="H705" s="28">
        <v>44.0</v>
      </c>
      <c r="J705" s="28">
        <v>0.54</v>
      </c>
      <c r="K705" s="28">
        <v>45.0</v>
      </c>
      <c r="P705" s="134"/>
    </row>
    <row r="706">
      <c r="C706" s="124"/>
      <c r="H706" s="28">
        <v>45.0</v>
      </c>
      <c r="J706" s="28">
        <v>0.49</v>
      </c>
      <c r="K706" s="28">
        <v>37.0</v>
      </c>
      <c r="P706" s="134"/>
    </row>
    <row r="707">
      <c r="C707" s="124"/>
      <c r="H707" s="28">
        <v>45.0</v>
      </c>
      <c r="J707" s="28">
        <v>0.5</v>
      </c>
      <c r="K707" s="28">
        <v>39.0</v>
      </c>
      <c r="P707" s="134"/>
    </row>
    <row r="708">
      <c r="C708" s="124"/>
      <c r="H708" s="28">
        <v>39.0</v>
      </c>
      <c r="J708" s="28">
        <v>0.52</v>
      </c>
      <c r="K708" s="28">
        <v>41.0</v>
      </c>
      <c r="P708" s="134"/>
    </row>
    <row r="709">
      <c r="C709" s="124"/>
      <c r="H709" s="28">
        <v>41.0</v>
      </c>
      <c r="J709" s="28">
        <v>0.49</v>
      </c>
      <c r="K709" s="28">
        <v>39.0</v>
      </c>
      <c r="P709" s="134"/>
    </row>
    <row r="710">
      <c r="C710" s="124"/>
      <c r="H710" s="28">
        <v>39.0</v>
      </c>
      <c r="J710" s="28">
        <v>0.51</v>
      </c>
      <c r="K710" s="28">
        <v>42.0</v>
      </c>
      <c r="P710" s="134"/>
    </row>
    <row r="711">
      <c r="C711" s="124"/>
      <c r="H711" s="28">
        <v>43.0</v>
      </c>
      <c r="J711" s="28">
        <v>0.53</v>
      </c>
      <c r="K711" s="28">
        <v>44.0</v>
      </c>
      <c r="P711" s="134"/>
    </row>
    <row r="712">
      <c r="C712" s="124"/>
      <c r="H712" s="28">
        <v>46.0</v>
      </c>
      <c r="J712" s="28">
        <v>0.55</v>
      </c>
      <c r="K712" s="28">
        <v>46.0</v>
      </c>
      <c r="P712" s="134"/>
    </row>
    <row r="713">
      <c r="C713" s="124"/>
      <c r="H713" s="28">
        <v>41.0</v>
      </c>
      <c r="J713" s="28">
        <v>0.49</v>
      </c>
      <c r="K713" s="28">
        <v>44.0</v>
      </c>
      <c r="P713" s="134"/>
    </row>
    <row r="714">
      <c r="C714" s="124"/>
      <c r="H714" s="28">
        <v>44.0</v>
      </c>
      <c r="J714" s="28">
        <v>0.54</v>
      </c>
      <c r="K714" s="28">
        <v>43.0</v>
      </c>
      <c r="P714" s="134"/>
    </row>
    <row r="715">
      <c r="C715" s="124"/>
      <c r="H715" s="28">
        <v>51.0</v>
      </c>
      <c r="J715" s="28">
        <v>0.56</v>
      </c>
      <c r="K715" s="28">
        <v>42.0</v>
      </c>
      <c r="P715" s="134"/>
    </row>
    <row r="716">
      <c r="C716" s="124"/>
      <c r="H716" s="28">
        <v>50.0</v>
      </c>
      <c r="J716" s="28">
        <v>0.49</v>
      </c>
      <c r="K716" s="28">
        <v>45.0</v>
      </c>
      <c r="P716" s="134"/>
    </row>
    <row r="717">
      <c r="C717" s="124"/>
      <c r="H717" s="28">
        <v>48.0</v>
      </c>
      <c r="J717" s="28">
        <v>0.49</v>
      </c>
      <c r="K717" s="28">
        <v>43.0</v>
      </c>
      <c r="P717" s="134"/>
    </row>
    <row r="718">
      <c r="C718" s="124"/>
      <c r="H718" s="28">
        <v>45.0</v>
      </c>
      <c r="J718" s="28">
        <v>0.54</v>
      </c>
      <c r="K718" s="28">
        <v>41.0</v>
      </c>
      <c r="P718" s="134"/>
    </row>
    <row r="719">
      <c r="C719" s="124"/>
      <c r="H719" s="28">
        <v>45.0</v>
      </c>
      <c r="J719" s="28">
        <v>0.55</v>
      </c>
      <c r="K719" s="28">
        <v>39.0</v>
      </c>
      <c r="P719" s="134"/>
    </row>
    <row r="720">
      <c r="C720" s="124"/>
      <c r="H720" s="28">
        <v>42.0</v>
      </c>
      <c r="J720" s="28">
        <v>0.53</v>
      </c>
      <c r="K720" s="28">
        <v>40.0</v>
      </c>
      <c r="P720" s="134"/>
    </row>
    <row r="721">
      <c r="C721" s="124"/>
      <c r="H721" s="28">
        <v>40.0</v>
      </c>
      <c r="J721" s="28">
        <v>0.49</v>
      </c>
      <c r="K721" s="28">
        <v>38.0</v>
      </c>
      <c r="P721" s="134"/>
    </row>
    <row r="722">
      <c r="C722" s="124"/>
      <c r="H722" s="28">
        <v>39.0</v>
      </c>
      <c r="J722" s="28">
        <v>0.5</v>
      </c>
      <c r="K722" s="28">
        <v>41.0</v>
      </c>
      <c r="P722" s="134"/>
    </row>
    <row r="723">
      <c r="C723" s="124"/>
      <c r="H723" s="28">
        <v>39.0</v>
      </c>
      <c r="J723" s="28">
        <v>0.56</v>
      </c>
      <c r="K723" s="28">
        <v>41.0</v>
      </c>
      <c r="P723" s="134"/>
    </row>
    <row r="724">
      <c r="C724" s="124"/>
      <c r="H724" s="28">
        <v>40.0</v>
      </c>
      <c r="J724" s="28">
        <v>0.52</v>
      </c>
      <c r="K724" s="28">
        <v>42.0</v>
      </c>
      <c r="P724" s="134"/>
    </row>
    <row r="725">
      <c r="C725" s="124"/>
      <c r="H725" s="28">
        <v>48.0</v>
      </c>
      <c r="J725" s="28">
        <v>0.49</v>
      </c>
      <c r="K725" s="28">
        <v>47.0</v>
      </c>
      <c r="P725" s="134"/>
    </row>
    <row r="726">
      <c r="C726" s="124"/>
      <c r="H726" s="28">
        <v>45.0</v>
      </c>
      <c r="J726" s="28">
        <v>0.5</v>
      </c>
      <c r="K726" s="28">
        <v>43.0</v>
      </c>
      <c r="P726" s="134"/>
    </row>
    <row r="727">
      <c r="C727" s="124"/>
      <c r="H727" s="28">
        <v>48.0</v>
      </c>
      <c r="J727" s="28">
        <v>0.51</v>
      </c>
      <c r="K727" s="28">
        <v>46.0</v>
      </c>
      <c r="P727" s="134"/>
    </row>
    <row r="728">
      <c r="C728" s="124"/>
      <c r="H728" s="28">
        <v>42.0</v>
      </c>
      <c r="J728" s="28">
        <v>0.49</v>
      </c>
      <c r="K728" s="28">
        <v>44.0</v>
      </c>
      <c r="P728" s="134"/>
    </row>
    <row r="729">
      <c r="C729" s="124"/>
      <c r="H729" s="28">
        <v>48.0</v>
      </c>
      <c r="J729" s="28">
        <v>0.5</v>
      </c>
      <c r="K729" s="28">
        <v>41.0</v>
      </c>
      <c r="P729" s="134"/>
    </row>
    <row r="730">
      <c r="C730" s="124"/>
      <c r="H730" s="28">
        <v>45.0</v>
      </c>
      <c r="J730" s="28">
        <v>0.48</v>
      </c>
      <c r="K730" s="28">
        <v>45.0</v>
      </c>
      <c r="P730" s="134"/>
    </row>
    <row r="731">
      <c r="C731" s="124"/>
      <c r="H731" s="28">
        <v>47.0</v>
      </c>
      <c r="J731" s="28">
        <v>0.5</v>
      </c>
      <c r="K731" s="28">
        <v>42.0</v>
      </c>
      <c r="P731" s="134"/>
    </row>
    <row r="732">
      <c r="C732" s="124"/>
      <c r="H732" s="28">
        <v>44.0</v>
      </c>
      <c r="J732" s="28">
        <v>0.46</v>
      </c>
      <c r="K732" s="28">
        <v>40.0</v>
      </c>
      <c r="P732" s="134"/>
    </row>
    <row r="733">
      <c r="C733" s="124"/>
      <c r="H733" s="28">
        <v>47.0</v>
      </c>
      <c r="J733" s="28">
        <v>0.51</v>
      </c>
      <c r="K733" s="28">
        <v>39.0</v>
      </c>
      <c r="P733" s="134"/>
    </row>
    <row r="734">
      <c r="C734" s="124"/>
      <c r="H734" s="28">
        <v>48.0</v>
      </c>
      <c r="J734" s="28">
        <v>0.43</v>
      </c>
      <c r="K734" s="28">
        <v>44.0</v>
      </c>
      <c r="P734" s="134"/>
    </row>
    <row r="735">
      <c r="C735" s="124"/>
      <c r="H735" s="28">
        <v>45.0</v>
      </c>
      <c r="J735" s="28">
        <v>0.43</v>
      </c>
      <c r="K735" s="28">
        <v>41.0</v>
      </c>
      <c r="P735" s="134"/>
    </row>
    <row r="736">
      <c r="C736" s="124"/>
      <c r="H736" s="28">
        <v>45.0</v>
      </c>
      <c r="J736" s="28">
        <v>0.51</v>
      </c>
      <c r="K736" s="28">
        <v>47.0</v>
      </c>
      <c r="P736" s="134"/>
    </row>
    <row r="737">
      <c r="C737" s="124"/>
      <c r="H737" s="28">
        <v>47.0</v>
      </c>
      <c r="J737" s="28">
        <v>0.51</v>
      </c>
      <c r="K737" s="28">
        <v>42.0</v>
      </c>
      <c r="P737" s="134"/>
    </row>
    <row r="738">
      <c r="C738" s="124"/>
      <c r="H738" s="28">
        <v>50.0</v>
      </c>
      <c r="J738" s="28">
        <v>0.48</v>
      </c>
      <c r="K738" s="28">
        <v>40.0</v>
      </c>
      <c r="P738" s="134"/>
    </row>
    <row r="739">
      <c r="C739" s="124"/>
      <c r="H739" s="28">
        <v>43.0</v>
      </c>
      <c r="J739" s="28">
        <v>0.53</v>
      </c>
      <c r="K739" s="28">
        <v>46.0</v>
      </c>
      <c r="P739" s="134"/>
    </row>
    <row r="740">
      <c r="C740" s="124"/>
      <c r="H740" s="28">
        <v>47.0</v>
      </c>
      <c r="J740" s="28">
        <v>0.51</v>
      </c>
      <c r="K740" s="28">
        <v>48.0</v>
      </c>
      <c r="P740" s="134"/>
    </row>
    <row r="741">
      <c r="C741" s="124"/>
      <c r="H741" s="28">
        <v>50.0</v>
      </c>
      <c r="J741" s="28">
        <v>0.54</v>
      </c>
      <c r="K741" s="28">
        <v>44.0</v>
      </c>
      <c r="P741" s="134"/>
    </row>
    <row r="742">
      <c r="C742" s="124"/>
      <c r="H742" s="28">
        <v>48.0</v>
      </c>
      <c r="J742" s="28">
        <v>0.44</v>
      </c>
      <c r="K742" s="28">
        <v>44.0</v>
      </c>
      <c r="P742" s="134"/>
    </row>
    <row r="743">
      <c r="C743" s="124"/>
      <c r="H743" s="28">
        <v>46.0</v>
      </c>
      <c r="J743" s="28">
        <v>0.45</v>
      </c>
      <c r="K743" s="28">
        <v>50.0</v>
      </c>
      <c r="P743" s="134"/>
    </row>
    <row r="744">
      <c r="C744" s="124"/>
      <c r="H744" s="28">
        <v>44.0</v>
      </c>
      <c r="J744" s="28">
        <v>0.45</v>
      </c>
      <c r="K744" s="28">
        <v>39.0</v>
      </c>
      <c r="P744" s="134"/>
    </row>
    <row r="745">
      <c r="C745" s="124"/>
      <c r="H745" s="28">
        <v>44.0</v>
      </c>
      <c r="J745" s="28">
        <v>0.43</v>
      </c>
      <c r="K745" s="28">
        <v>36.0</v>
      </c>
      <c r="P745" s="134"/>
    </row>
    <row r="746">
      <c r="C746" s="124"/>
      <c r="H746" s="28">
        <v>44.0</v>
      </c>
      <c r="J746" s="28">
        <v>0.45</v>
      </c>
      <c r="K746" s="28">
        <v>46.0</v>
      </c>
      <c r="P746" s="134"/>
    </row>
    <row r="747">
      <c r="C747" s="124"/>
      <c r="H747" s="28">
        <v>46.0</v>
      </c>
      <c r="J747" s="28">
        <v>0.5</v>
      </c>
      <c r="K747" s="28">
        <v>46.0</v>
      </c>
      <c r="P747" s="134"/>
    </row>
    <row r="748">
      <c r="C748" s="124"/>
      <c r="H748" s="28">
        <v>47.0</v>
      </c>
      <c r="J748" s="28">
        <v>0.46</v>
      </c>
      <c r="K748" s="28">
        <v>42.0</v>
      </c>
      <c r="P748" s="134"/>
    </row>
    <row r="749">
      <c r="C749" s="124"/>
      <c r="H749" s="28">
        <v>47.0</v>
      </c>
      <c r="J749" s="28">
        <v>0.56</v>
      </c>
      <c r="K749" s="28">
        <v>41.0</v>
      </c>
      <c r="P749" s="134"/>
    </row>
    <row r="750">
      <c r="C750" s="124"/>
      <c r="H750" s="28">
        <v>48.0</v>
      </c>
      <c r="J750" s="28">
        <v>0.5</v>
      </c>
      <c r="K750" s="28">
        <v>44.0</v>
      </c>
      <c r="P750" s="134"/>
    </row>
    <row r="751">
      <c r="C751" s="124"/>
      <c r="H751" s="28">
        <v>49.0</v>
      </c>
      <c r="J751" s="28">
        <v>0.51</v>
      </c>
      <c r="K751" s="28">
        <v>45.0</v>
      </c>
      <c r="P751" s="134"/>
    </row>
    <row r="752">
      <c r="C752" s="124"/>
      <c r="H752" s="28">
        <v>48.0</v>
      </c>
      <c r="J752" s="28">
        <v>0.46</v>
      </c>
      <c r="K752" s="28">
        <v>40.0</v>
      </c>
      <c r="P752" s="134"/>
    </row>
    <row r="753">
      <c r="C753" s="124"/>
      <c r="H753" s="28">
        <v>50.0</v>
      </c>
      <c r="J753" s="28">
        <v>0.51</v>
      </c>
      <c r="K753" s="28">
        <v>40.0</v>
      </c>
      <c r="P753" s="134"/>
    </row>
    <row r="754">
      <c r="C754" s="124"/>
      <c r="H754" s="28">
        <v>40.0</v>
      </c>
      <c r="J754" s="28">
        <v>0.48</v>
      </c>
      <c r="K754" s="28">
        <v>43.0</v>
      </c>
      <c r="P754" s="134"/>
    </row>
    <row r="755">
      <c r="C755" s="124"/>
      <c r="H755" s="28">
        <v>47.0</v>
      </c>
      <c r="J755" s="28">
        <v>0.45</v>
      </c>
      <c r="K755" s="28">
        <v>43.0</v>
      </c>
      <c r="P755" s="134"/>
    </row>
    <row r="756">
      <c r="C756" s="124"/>
      <c r="H756" s="28">
        <v>43.0</v>
      </c>
      <c r="J756" s="28">
        <v>0.47</v>
      </c>
      <c r="K756" s="28">
        <v>49.0</v>
      </c>
      <c r="P756" s="134"/>
    </row>
    <row r="757">
      <c r="C757" s="124"/>
      <c r="H757" s="28">
        <v>48.0</v>
      </c>
      <c r="J757" s="28">
        <v>0.51</v>
      </c>
      <c r="K757" s="28">
        <v>41.0</v>
      </c>
      <c r="P757" s="134"/>
    </row>
    <row r="758">
      <c r="C758" s="124"/>
      <c r="H758" s="28">
        <v>49.0</v>
      </c>
      <c r="J758" s="28">
        <v>0.46</v>
      </c>
      <c r="K758" s="28">
        <v>42.0</v>
      </c>
      <c r="P758" s="134"/>
    </row>
    <row r="759">
      <c r="C759" s="124"/>
      <c r="H759" s="28">
        <v>45.0</v>
      </c>
      <c r="J759" s="28">
        <v>0.55</v>
      </c>
      <c r="K759" s="28">
        <v>45.0</v>
      </c>
      <c r="P759" s="134"/>
    </row>
    <row r="760">
      <c r="C760" s="124"/>
      <c r="H760" s="28">
        <v>45.0</v>
      </c>
      <c r="J760" s="28">
        <v>0.44</v>
      </c>
      <c r="K760" s="28">
        <v>39.0</v>
      </c>
      <c r="P760" s="134"/>
    </row>
    <row r="761">
      <c r="C761" s="124"/>
      <c r="H761" s="28">
        <v>51.0</v>
      </c>
      <c r="J761" s="28">
        <v>0.52</v>
      </c>
      <c r="K761" s="28">
        <v>40.0</v>
      </c>
      <c r="P761" s="134"/>
    </row>
    <row r="762">
      <c r="C762" s="124"/>
      <c r="H762" s="28">
        <v>52.0</v>
      </c>
      <c r="J762" s="28">
        <v>0.51</v>
      </c>
      <c r="K762" s="28">
        <v>45.0</v>
      </c>
      <c r="P762" s="134"/>
    </row>
    <row r="763">
      <c r="C763" s="124"/>
      <c r="H763" s="28">
        <v>39.0</v>
      </c>
      <c r="J763" s="28">
        <v>0.52</v>
      </c>
      <c r="K763" s="28">
        <v>43.0</v>
      </c>
      <c r="P763" s="134"/>
    </row>
    <row r="764">
      <c r="C764" s="124"/>
      <c r="H764" s="28">
        <v>45.0</v>
      </c>
      <c r="J764" s="28">
        <v>0.52</v>
      </c>
      <c r="K764" s="28">
        <v>44.0</v>
      </c>
      <c r="P764" s="134"/>
    </row>
    <row r="765">
      <c r="C765" s="124"/>
      <c r="H765" s="28">
        <v>44.0</v>
      </c>
      <c r="J765" s="28">
        <v>0.53</v>
      </c>
      <c r="K765" s="28">
        <v>44.0</v>
      </c>
      <c r="P765" s="134"/>
    </row>
    <row r="766">
      <c r="C766" s="124"/>
      <c r="H766" s="28">
        <v>47.0</v>
      </c>
      <c r="J766" s="28">
        <v>0.43</v>
      </c>
      <c r="K766" s="28">
        <v>42.0</v>
      </c>
      <c r="P766" s="134"/>
    </row>
    <row r="767">
      <c r="C767" s="124"/>
      <c r="H767" s="28">
        <v>46.0</v>
      </c>
      <c r="J767" s="28">
        <v>0.45</v>
      </c>
      <c r="K767" s="28">
        <v>40.0</v>
      </c>
      <c r="P767" s="134"/>
    </row>
    <row r="768">
      <c r="C768" s="124"/>
      <c r="H768" s="28">
        <v>46.0</v>
      </c>
      <c r="J768" s="28">
        <v>0.44</v>
      </c>
      <c r="K768" s="28">
        <v>43.0</v>
      </c>
      <c r="P768" s="134"/>
    </row>
    <row r="769">
      <c r="C769" s="124"/>
      <c r="H769" s="28">
        <v>46.0</v>
      </c>
      <c r="J769" s="28">
        <v>0.43</v>
      </c>
      <c r="K769" s="28">
        <v>44.0</v>
      </c>
      <c r="P769" s="134"/>
    </row>
    <row r="770">
      <c r="C770" s="124"/>
      <c r="H770" s="28">
        <v>45.0</v>
      </c>
      <c r="J770" s="28">
        <v>0.44</v>
      </c>
      <c r="K770" s="28">
        <v>40.0</v>
      </c>
      <c r="P770" s="134"/>
    </row>
    <row r="771">
      <c r="C771" s="124"/>
      <c r="H771" s="28">
        <v>40.0</v>
      </c>
      <c r="J771" s="28">
        <v>0.41</v>
      </c>
      <c r="K771" s="28">
        <v>40.0</v>
      </c>
      <c r="P771" s="134"/>
    </row>
    <row r="772">
      <c r="C772" s="124"/>
      <c r="H772" s="28">
        <v>46.0</v>
      </c>
      <c r="J772" s="28">
        <v>0.46</v>
      </c>
      <c r="K772" s="28">
        <v>44.0</v>
      </c>
      <c r="P772" s="134"/>
    </row>
    <row r="773">
      <c r="C773" s="124"/>
      <c r="H773" s="28">
        <v>42.0</v>
      </c>
      <c r="J773" s="28">
        <v>0.47</v>
      </c>
      <c r="K773" s="28">
        <v>43.0</v>
      </c>
      <c r="P773" s="134"/>
    </row>
    <row r="774">
      <c r="C774" s="124"/>
      <c r="H774" s="28">
        <v>42.0</v>
      </c>
      <c r="J774" s="28">
        <v>0.43</v>
      </c>
      <c r="K774" s="28">
        <v>51.0</v>
      </c>
      <c r="P774" s="134"/>
    </row>
    <row r="775">
      <c r="C775" s="124"/>
      <c r="H775" s="28">
        <v>40.0</v>
      </c>
      <c r="J775" s="28">
        <v>0.47</v>
      </c>
      <c r="K775" s="28">
        <v>48.0</v>
      </c>
      <c r="P775" s="134"/>
    </row>
    <row r="776">
      <c r="C776" s="124"/>
      <c r="H776" s="28">
        <v>44.0</v>
      </c>
      <c r="J776" s="28">
        <v>0.49</v>
      </c>
      <c r="K776" s="28">
        <v>43.0</v>
      </c>
      <c r="P776" s="134"/>
    </row>
    <row r="777">
      <c r="C777" s="124"/>
      <c r="H777" s="28">
        <v>42.0</v>
      </c>
      <c r="J777" s="28">
        <v>0.46</v>
      </c>
      <c r="K777" s="28">
        <v>42.0</v>
      </c>
      <c r="P777" s="134"/>
    </row>
    <row r="778">
      <c r="C778" s="124"/>
      <c r="H778" s="28">
        <v>41.0</v>
      </c>
      <c r="J778" s="28">
        <v>0.4</v>
      </c>
      <c r="K778" s="28">
        <v>42.0</v>
      </c>
      <c r="P778" s="134"/>
    </row>
    <row r="779">
      <c r="C779" s="124"/>
      <c r="H779" s="28">
        <v>43.0</v>
      </c>
      <c r="J779" s="28">
        <v>0.49</v>
      </c>
      <c r="K779" s="28">
        <v>42.0</v>
      </c>
      <c r="P779" s="134"/>
    </row>
    <row r="780">
      <c r="C780" s="124"/>
      <c r="H780" s="28">
        <v>41.0</v>
      </c>
      <c r="J780" s="28">
        <v>0.47</v>
      </c>
      <c r="K780" s="28">
        <v>44.0</v>
      </c>
      <c r="P780" s="134"/>
    </row>
    <row r="781">
      <c r="C781" s="124"/>
      <c r="H781" s="28">
        <v>42.0</v>
      </c>
      <c r="J781" s="28">
        <v>0.46</v>
      </c>
      <c r="K781" s="28">
        <v>42.0</v>
      </c>
      <c r="P781" s="134"/>
    </row>
    <row r="782">
      <c r="C782" s="124"/>
      <c r="H782" s="28">
        <v>40.0</v>
      </c>
      <c r="J782" s="28">
        <v>0.48</v>
      </c>
      <c r="K782" s="28">
        <v>45.0</v>
      </c>
      <c r="P782" s="134"/>
    </row>
    <row r="783">
      <c r="C783" s="124"/>
      <c r="H783" s="28">
        <v>39.0</v>
      </c>
      <c r="J783" s="28">
        <v>0.46</v>
      </c>
      <c r="K783" s="28">
        <v>44.0</v>
      </c>
      <c r="P783" s="134"/>
    </row>
    <row r="784">
      <c r="C784" s="124"/>
      <c r="H784" s="28">
        <v>44.0</v>
      </c>
      <c r="J784" s="28">
        <v>0.38</v>
      </c>
      <c r="K784" s="28">
        <v>42.0</v>
      </c>
      <c r="P784" s="134"/>
    </row>
    <row r="785">
      <c r="C785" s="124"/>
      <c r="H785" s="28">
        <v>46.0</v>
      </c>
      <c r="J785" s="28">
        <v>0.48</v>
      </c>
      <c r="K785" s="28">
        <v>40.0</v>
      </c>
      <c r="P785" s="134"/>
    </row>
    <row r="786">
      <c r="C786" s="124"/>
      <c r="H786" s="28">
        <v>42.0</v>
      </c>
      <c r="J786" s="28">
        <v>0.43</v>
      </c>
      <c r="K786" s="28">
        <v>42.0</v>
      </c>
      <c r="P786" s="134"/>
    </row>
    <row r="787">
      <c r="C787" s="124"/>
      <c r="H787" s="28">
        <v>44.0</v>
      </c>
      <c r="J787" s="28">
        <v>0.49</v>
      </c>
      <c r="K787" s="28">
        <v>43.0</v>
      </c>
      <c r="P787" s="134"/>
    </row>
    <row r="788">
      <c r="C788" s="124"/>
      <c r="H788" s="28">
        <v>42.0</v>
      </c>
      <c r="J788" s="28">
        <v>0.45</v>
      </c>
      <c r="K788" s="28">
        <v>44.0</v>
      </c>
      <c r="P788" s="134"/>
    </row>
    <row r="789">
      <c r="C789" s="124"/>
      <c r="H789" s="28">
        <v>42.0</v>
      </c>
      <c r="J789" s="28">
        <v>0.49</v>
      </c>
      <c r="K789" s="28">
        <v>43.0</v>
      </c>
      <c r="P789" s="134"/>
    </row>
    <row r="790">
      <c r="C790" s="124"/>
      <c r="H790" s="28">
        <v>44.0</v>
      </c>
      <c r="J790" s="28">
        <v>0.44</v>
      </c>
      <c r="K790" s="28">
        <v>42.0</v>
      </c>
      <c r="P790" s="134"/>
    </row>
    <row r="791">
      <c r="C791" s="124"/>
      <c r="H791" s="28">
        <v>42.0</v>
      </c>
      <c r="J791" s="28">
        <v>0.45</v>
      </c>
      <c r="K791" s="28">
        <v>42.0</v>
      </c>
      <c r="P791" s="134"/>
    </row>
    <row r="792">
      <c r="C792" s="124"/>
      <c r="H792" s="28">
        <v>43.0</v>
      </c>
      <c r="J792" s="28">
        <v>0.46</v>
      </c>
      <c r="K792" s="28">
        <v>40.0</v>
      </c>
      <c r="P792" s="134"/>
    </row>
    <row r="793">
      <c r="C793" s="124"/>
      <c r="H793" s="28">
        <v>41.0</v>
      </c>
      <c r="J793" s="28">
        <v>0.48</v>
      </c>
      <c r="K793" s="28">
        <v>43.0</v>
      </c>
      <c r="P793" s="134"/>
    </row>
    <row r="794">
      <c r="C794" s="124"/>
      <c r="H794" s="28">
        <v>38.0</v>
      </c>
      <c r="J794" s="28">
        <v>0.43</v>
      </c>
      <c r="K794" s="28">
        <v>46.0</v>
      </c>
      <c r="P794" s="134"/>
    </row>
    <row r="795">
      <c r="C795" s="124"/>
      <c r="H795" s="28">
        <v>41.0</v>
      </c>
      <c r="J795" s="28">
        <v>0.45</v>
      </c>
      <c r="K795" s="28">
        <v>45.0</v>
      </c>
      <c r="P795" s="134"/>
    </row>
    <row r="796">
      <c r="C796" s="124"/>
      <c r="H796" s="28">
        <v>46.0</v>
      </c>
      <c r="J796" s="28">
        <v>0.46</v>
      </c>
      <c r="K796" s="28">
        <v>45.0</v>
      </c>
      <c r="P796" s="134"/>
    </row>
    <row r="797">
      <c r="C797" s="124"/>
      <c r="H797" s="28">
        <v>49.0</v>
      </c>
      <c r="J797" s="28">
        <v>0.45</v>
      </c>
      <c r="K797" s="28">
        <v>43.0</v>
      </c>
      <c r="P797" s="134"/>
    </row>
    <row r="798">
      <c r="C798" s="124"/>
      <c r="H798" s="28">
        <v>43.0</v>
      </c>
      <c r="J798" s="28">
        <v>0.44</v>
      </c>
      <c r="K798" s="28">
        <v>49.0</v>
      </c>
      <c r="P798" s="134"/>
    </row>
    <row r="799">
      <c r="C799" s="124"/>
      <c r="H799" s="28">
        <v>44.0</v>
      </c>
      <c r="J799" s="28">
        <v>0.45</v>
      </c>
      <c r="K799" s="28">
        <v>43.0</v>
      </c>
      <c r="P799" s="134"/>
    </row>
    <row r="800">
      <c r="C800" s="124"/>
      <c r="H800" s="28">
        <v>50.0</v>
      </c>
      <c r="J800" s="28">
        <v>0.46</v>
      </c>
      <c r="K800" s="28">
        <v>39.0</v>
      </c>
      <c r="P800" s="134"/>
    </row>
    <row r="801">
      <c r="C801" s="124"/>
      <c r="H801" s="28">
        <v>47.0</v>
      </c>
      <c r="J801" s="28">
        <v>0.48</v>
      </c>
      <c r="K801" s="28">
        <v>44.0</v>
      </c>
      <c r="P801" s="134"/>
    </row>
    <row r="802">
      <c r="C802" s="124"/>
      <c r="H802" s="28">
        <v>42.0</v>
      </c>
      <c r="J802" s="28">
        <v>0.45</v>
      </c>
      <c r="K802" s="28">
        <v>41.0</v>
      </c>
      <c r="P802" s="134"/>
    </row>
    <row r="803">
      <c r="C803" s="124"/>
      <c r="H803" s="28">
        <v>48.0</v>
      </c>
      <c r="J803" s="28">
        <v>0.46</v>
      </c>
      <c r="K803" s="28">
        <v>49.0</v>
      </c>
      <c r="P803" s="134"/>
    </row>
    <row r="804">
      <c r="C804" s="124"/>
      <c r="H804" s="28">
        <v>46.0</v>
      </c>
      <c r="J804" s="28">
        <v>0.44</v>
      </c>
      <c r="K804" s="28">
        <v>44.0</v>
      </c>
      <c r="P804" s="134"/>
    </row>
    <row r="805">
      <c r="C805" s="124"/>
      <c r="H805" s="28">
        <v>47.0</v>
      </c>
      <c r="J805" s="28">
        <v>0.46</v>
      </c>
      <c r="K805" s="28">
        <v>40.0</v>
      </c>
      <c r="P805" s="134"/>
    </row>
    <row r="806">
      <c r="C806" s="124"/>
      <c r="H806" s="28">
        <v>42.0</v>
      </c>
      <c r="J806" s="28">
        <v>0.47</v>
      </c>
      <c r="K806" s="28">
        <v>47.0</v>
      </c>
      <c r="P806" s="134"/>
    </row>
    <row r="807">
      <c r="C807" s="124"/>
      <c r="H807" s="28">
        <v>42.0</v>
      </c>
      <c r="J807" s="28">
        <v>0.48</v>
      </c>
      <c r="K807" s="28">
        <v>48.0</v>
      </c>
      <c r="P807" s="134"/>
    </row>
    <row r="808">
      <c r="C808" s="124"/>
      <c r="H808" s="28">
        <v>49.0</v>
      </c>
      <c r="J808" s="28">
        <v>0.46</v>
      </c>
      <c r="K808" s="28">
        <v>47.0</v>
      </c>
      <c r="P808" s="134"/>
    </row>
    <row r="809">
      <c r="C809" s="124"/>
      <c r="H809" s="28">
        <v>50.0</v>
      </c>
      <c r="J809" s="28">
        <v>0.45</v>
      </c>
      <c r="K809" s="28">
        <v>41.0</v>
      </c>
      <c r="P809" s="134"/>
    </row>
    <row r="810">
      <c r="C810" s="124"/>
      <c r="H810" s="28">
        <v>45.0</v>
      </c>
      <c r="J810" s="28">
        <v>0.45</v>
      </c>
      <c r="K810" s="28">
        <v>42.0</v>
      </c>
      <c r="P810" s="134"/>
    </row>
    <row r="811">
      <c r="C811" s="124"/>
      <c r="H811" s="28">
        <v>40.0</v>
      </c>
      <c r="J811" s="28">
        <v>0.42</v>
      </c>
      <c r="K811" s="28">
        <v>46.0</v>
      </c>
      <c r="P811" s="134"/>
    </row>
    <row r="812">
      <c r="C812" s="124"/>
      <c r="H812" s="28">
        <v>49.0</v>
      </c>
      <c r="J812" s="28">
        <v>0.44</v>
      </c>
      <c r="K812" s="28">
        <v>48.0</v>
      </c>
      <c r="P812" s="134"/>
    </row>
    <row r="813">
      <c r="C813" s="124"/>
      <c r="H813" s="28">
        <v>49.0</v>
      </c>
      <c r="J813" s="28">
        <v>0.45</v>
      </c>
      <c r="K813" s="28">
        <v>38.0</v>
      </c>
      <c r="P813" s="134"/>
    </row>
    <row r="814">
      <c r="C814" s="124"/>
      <c r="H814" s="28">
        <v>45.0</v>
      </c>
      <c r="J814" s="28">
        <v>0.42</v>
      </c>
      <c r="K814" s="28">
        <v>47.0</v>
      </c>
      <c r="P814" s="134"/>
    </row>
    <row r="815">
      <c r="C815" s="124"/>
      <c r="H815" s="28">
        <v>46.0</v>
      </c>
      <c r="J815" s="28">
        <v>0.47</v>
      </c>
      <c r="K815" s="28">
        <v>42.0</v>
      </c>
      <c r="P815" s="134"/>
    </row>
    <row r="816">
      <c r="C816" s="124"/>
      <c r="H816" s="28">
        <v>49.0</v>
      </c>
      <c r="J816" s="28">
        <v>0.46</v>
      </c>
      <c r="K816" s="28">
        <v>40.0</v>
      </c>
      <c r="P816" s="134"/>
    </row>
    <row r="817">
      <c r="C817" s="124"/>
      <c r="H817" s="28">
        <v>49.0</v>
      </c>
      <c r="J817" s="28">
        <v>0.47</v>
      </c>
      <c r="K817" s="28">
        <v>39.0</v>
      </c>
      <c r="P817" s="134"/>
    </row>
    <row r="818">
      <c r="C818" s="124"/>
      <c r="H818" s="28">
        <v>44.0</v>
      </c>
      <c r="J818" s="28">
        <v>0.49</v>
      </c>
      <c r="K818" s="28">
        <v>47.0</v>
      </c>
      <c r="P818" s="134"/>
    </row>
    <row r="819">
      <c r="C819" s="124"/>
      <c r="H819" s="28">
        <v>46.0</v>
      </c>
      <c r="J819" s="28">
        <v>0.47</v>
      </c>
      <c r="K819" s="28">
        <v>47.0</v>
      </c>
      <c r="P819" s="134"/>
    </row>
    <row r="820">
      <c r="C820" s="124"/>
      <c r="H820" s="28">
        <v>47.0</v>
      </c>
      <c r="J820" s="28">
        <v>0.47</v>
      </c>
      <c r="K820" s="28">
        <v>44.0</v>
      </c>
      <c r="P820" s="134"/>
    </row>
    <row r="821">
      <c r="C821" s="124"/>
      <c r="H821" s="28">
        <v>51.0</v>
      </c>
      <c r="J821" s="28">
        <v>0.44</v>
      </c>
      <c r="K821" s="28">
        <v>41.0</v>
      </c>
      <c r="P821" s="134"/>
    </row>
    <row r="822">
      <c r="C822" s="124"/>
      <c r="H822" s="28">
        <v>44.0</v>
      </c>
      <c r="J822" s="28">
        <v>0.48</v>
      </c>
      <c r="K822" s="28">
        <v>50.0</v>
      </c>
      <c r="P822" s="134"/>
    </row>
    <row r="823">
      <c r="C823" s="124"/>
      <c r="H823" s="28">
        <v>41.0</v>
      </c>
      <c r="J823" s="28">
        <v>0.43</v>
      </c>
      <c r="K823" s="28">
        <v>46.0</v>
      </c>
      <c r="P823" s="134"/>
    </row>
    <row r="824">
      <c r="C824" s="124"/>
      <c r="H824" s="28">
        <v>52.0</v>
      </c>
      <c r="J824" s="28">
        <v>0.47</v>
      </c>
      <c r="K824" s="28">
        <v>47.0</v>
      </c>
      <c r="P824" s="134"/>
    </row>
    <row r="825">
      <c r="C825" s="124"/>
      <c r="H825" s="28">
        <v>48.0</v>
      </c>
      <c r="J825" s="28">
        <v>0.47</v>
      </c>
      <c r="K825" s="28">
        <v>39.0</v>
      </c>
      <c r="P825" s="134"/>
    </row>
    <row r="826">
      <c r="C826" s="124"/>
      <c r="H826" s="28">
        <v>47.0</v>
      </c>
      <c r="J826" s="28">
        <v>0.49</v>
      </c>
      <c r="K826" s="28">
        <v>47.0</v>
      </c>
      <c r="P826" s="134"/>
    </row>
    <row r="827">
      <c r="C827" s="124"/>
      <c r="H827" s="28">
        <v>45.0</v>
      </c>
      <c r="J827" s="28">
        <v>0.5</v>
      </c>
      <c r="K827" s="28">
        <v>43.0</v>
      </c>
      <c r="P827" s="134"/>
    </row>
    <row r="828">
      <c r="C828" s="124"/>
      <c r="H828" s="28">
        <v>46.0</v>
      </c>
      <c r="J828" s="28">
        <v>0.46</v>
      </c>
      <c r="K828" s="28">
        <v>46.0</v>
      </c>
      <c r="P828" s="134"/>
    </row>
    <row r="829">
      <c r="C829" s="124"/>
      <c r="H829" s="28">
        <v>46.0</v>
      </c>
      <c r="J829" s="28">
        <v>0.49</v>
      </c>
      <c r="K829" s="28">
        <v>43.0</v>
      </c>
      <c r="P829" s="134"/>
    </row>
    <row r="830">
      <c r="C830" s="124"/>
      <c r="H830" s="28">
        <v>44.0</v>
      </c>
      <c r="J830" s="28">
        <v>0.47</v>
      </c>
      <c r="K830" s="28">
        <v>51.0</v>
      </c>
      <c r="P830" s="134"/>
    </row>
    <row r="831">
      <c r="C831" s="124"/>
      <c r="H831" s="28">
        <v>45.0</v>
      </c>
      <c r="J831" s="28">
        <v>0.47</v>
      </c>
      <c r="K831" s="28">
        <v>47.0</v>
      </c>
      <c r="P831" s="134"/>
    </row>
    <row r="832">
      <c r="C832" s="124"/>
      <c r="H832" s="28">
        <v>48.0</v>
      </c>
      <c r="J832" s="28">
        <v>0.46</v>
      </c>
      <c r="K832" s="28">
        <v>42.0</v>
      </c>
      <c r="P832" s="134"/>
    </row>
    <row r="833">
      <c r="C833" s="124"/>
      <c r="H833" s="28">
        <v>49.0</v>
      </c>
      <c r="J833" s="28">
        <v>0.48</v>
      </c>
      <c r="K833" s="28">
        <v>38.0</v>
      </c>
      <c r="P833" s="134"/>
    </row>
    <row r="834">
      <c r="C834" s="124"/>
      <c r="H834" s="28">
        <v>53.0</v>
      </c>
      <c r="J834" s="28">
        <v>0.46</v>
      </c>
      <c r="K834" s="28">
        <v>47.0</v>
      </c>
      <c r="P834" s="134"/>
    </row>
    <row r="835">
      <c r="C835" s="124"/>
      <c r="H835" s="28">
        <v>41.0</v>
      </c>
      <c r="J835" s="28">
        <v>0.5</v>
      </c>
      <c r="K835" s="28">
        <v>43.0</v>
      </c>
      <c r="P835" s="134"/>
    </row>
    <row r="836">
      <c r="C836" s="124"/>
      <c r="H836" s="28">
        <v>48.0</v>
      </c>
      <c r="J836" s="28">
        <v>0.48</v>
      </c>
      <c r="K836" s="28">
        <v>47.0</v>
      </c>
      <c r="P836" s="134"/>
    </row>
    <row r="837">
      <c r="C837" s="124"/>
      <c r="H837" s="28">
        <v>47.0</v>
      </c>
      <c r="J837" s="28">
        <v>0.46</v>
      </c>
      <c r="K837" s="28">
        <v>44.0</v>
      </c>
      <c r="P837" s="134"/>
    </row>
    <row r="838">
      <c r="C838" s="124"/>
      <c r="H838" s="28">
        <v>45.0</v>
      </c>
      <c r="J838" s="28">
        <v>0.46</v>
      </c>
      <c r="K838" s="28">
        <v>43.0</v>
      </c>
      <c r="P838" s="134"/>
    </row>
    <row r="839">
      <c r="C839" s="124"/>
      <c r="H839" s="28">
        <v>42.0</v>
      </c>
      <c r="J839" s="28">
        <v>0.47</v>
      </c>
      <c r="K839" s="28">
        <v>43.0</v>
      </c>
      <c r="P839" s="134"/>
    </row>
    <row r="840">
      <c r="C840" s="124"/>
      <c r="H840" s="28">
        <v>41.0</v>
      </c>
      <c r="J840" s="28">
        <v>0.48</v>
      </c>
      <c r="K840" s="28">
        <v>40.0</v>
      </c>
      <c r="P840" s="134"/>
    </row>
    <row r="841">
      <c r="C841" s="124"/>
      <c r="H841" s="28">
        <v>40.0</v>
      </c>
      <c r="J841" s="28">
        <v>0.5</v>
      </c>
      <c r="K841" s="28">
        <v>40.0</v>
      </c>
      <c r="P841" s="134"/>
    </row>
    <row r="842">
      <c r="C842" s="124"/>
      <c r="H842" s="28">
        <v>41.0</v>
      </c>
      <c r="J842" s="28">
        <v>0.51</v>
      </c>
      <c r="K842" s="28">
        <v>44.0</v>
      </c>
      <c r="P842" s="134"/>
    </row>
    <row r="843">
      <c r="C843" s="124"/>
      <c r="H843" s="28">
        <v>44.0</v>
      </c>
      <c r="J843" s="28">
        <v>0.48</v>
      </c>
      <c r="K843" s="28">
        <v>47.0</v>
      </c>
      <c r="P843" s="134"/>
    </row>
    <row r="844">
      <c r="C844" s="124"/>
      <c r="H844" s="28">
        <v>43.0</v>
      </c>
      <c r="J844" s="28">
        <v>0.49</v>
      </c>
      <c r="K844" s="28">
        <v>40.0</v>
      </c>
      <c r="P844" s="134"/>
    </row>
    <row r="845">
      <c r="C845" s="124"/>
      <c r="H845" s="28">
        <v>42.0</v>
      </c>
      <c r="J845" s="28">
        <v>0.49</v>
      </c>
      <c r="K845" s="28">
        <v>40.0</v>
      </c>
      <c r="P845" s="134"/>
    </row>
    <row r="846">
      <c r="C846" s="124"/>
      <c r="H846" s="28">
        <v>44.0</v>
      </c>
      <c r="J846" s="28">
        <v>0.48</v>
      </c>
      <c r="K846" s="28">
        <v>45.0</v>
      </c>
      <c r="P846" s="134"/>
    </row>
    <row r="847">
      <c r="C847" s="124"/>
      <c r="H847" s="28">
        <v>41.0</v>
      </c>
      <c r="J847" s="28">
        <v>0.48</v>
      </c>
      <c r="K847" s="28">
        <v>42.0</v>
      </c>
      <c r="P847" s="134"/>
    </row>
    <row r="848">
      <c r="C848" s="124"/>
      <c r="H848" s="28">
        <v>49.0</v>
      </c>
      <c r="J848" s="28">
        <v>0.49</v>
      </c>
      <c r="K848" s="28">
        <v>43.0</v>
      </c>
      <c r="P848" s="134"/>
    </row>
    <row r="849">
      <c r="C849" s="124"/>
      <c r="H849" s="28">
        <v>45.0</v>
      </c>
      <c r="J849" s="28">
        <v>0.47</v>
      </c>
      <c r="K849" s="28">
        <v>44.0</v>
      </c>
      <c r="P849" s="134"/>
    </row>
    <row r="850">
      <c r="C850" s="124"/>
      <c r="H850" s="28">
        <v>46.0</v>
      </c>
      <c r="J850" s="28">
        <v>0.51</v>
      </c>
      <c r="K850" s="28">
        <v>44.0</v>
      </c>
      <c r="P850" s="134"/>
    </row>
    <row r="851">
      <c r="C851" s="124"/>
      <c r="H851" s="28">
        <v>43.0</v>
      </c>
      <c r="J851" s="28">
        <v>0.49</v>
      </c>
      <c r="K851" s="28">
        <v>43.0</v>
      </c>
      <c r="P851" s="134"/>
    </row>
    <row r="852">
      <c r="C852" s="124"/>
      <c r="H852" s="28">
        <v>47.0</v>
      </c>
      <c r="J852" s="28">
        <v>0.48</v>
      </c>
      <c r="K852" s="28">
        <v>41.0</v>
      </c>
      <c r="P852" s="134"/>
    </row>
    <row r="853">
      <c r="C853" s="124"/>
      <c r="H853" s="28">
        <v>44.0</v>
      </c>
      <c r="J853" s="28">
        <v>0.46</v>
      </c>
      <c r="K853" s="28">
        <v>43.0</v>
      </c>
      <c r="P853" s="134"/>
    </row>
    <row r="854">
      <c r="C854" s="124"/>
      <c r="H854" s="28">
        <v>46.0</v>
      </c>
      <c r="J854" s="28">
        <v>0.48</v>
      </c>
      <c r="K854" s="28">
        <v>43.0</v>
      </c>
      <c r="P854" s="134"/>
    </row>
    <row r="855">
      <c r="C855" s="124"/>
      <c r="H855" s="28">
        <v>41.0</v>
      </c>
      <c r="J855" s="28">
        <v>0.48</v>
      </c>
      <c r="K855" s="28">
        <v>42.0</v>
      </c>
      <c r="P855" s="134"/>
    </row>
    <row r="856">
      <c r="C856" s="124"/>
      <c r="H856" s="28">
        <v>40.0</v>
      </c>
      <c r="J856" s="28">
        <v>0.45</v>
      </c>
      <c r="K856" s="28">
        <v>41.0</v>
      </c>
      <c r="P856" s="134"/>
    </row>
    <row r="857">
      <c r="C857" s="124"/>
      <c r="H857" s="28">
        <v>47.0</v>
      </c>
      <c r="J857" s="28">
        <v>0.48</v>
      </c>
      <c r="K857" s="28">
        <v>40.0</v>
      </c>
      <c r="P857" s="134"/>
    </row>
    <row r="858">
      <c r="C858" s="124"/>
      <c r="H858" s="28">
        <v>45.0</v>
      </c>
      <c r="J858" s="28">
        <v>0.45</v>
      </c>
      <c r="K858" s="28">
        <v>44.0</v>
      </c>
      <c r="P858" s="134"/>
    </row>
    <row r="859">
      <c r="C859" s="124"/>
      <c r="H859" s="28">
        <v>38.0</v>
      </c>
      <c r="J859" s="28">
        <v>0.47</v>
      </c>
      <c r="K859" s="28">
        <v>47.0</v>
      </c>
      <c r="P859" s="134"/>
    </row>
    <row r="860">
      <c r="C860" s="124"/>
      <c r="H860" s="28">
        <v>51.0</v>
      </c>
      <c r="J860" s="28">
        <v>0.49</v>
      </c>
      <c r="K860" s="28">
        <v>43.0</v>
      </c>
      <c r="P860" s="134"/>
    </row>
    <row r="861">
      <c r="C861" s="124"/>
      <c r="H861" s="28">
        <v>48.0</v>
      </c>
      <c r="J861" s="28">
        <v>0.47</v>
      </c>
      <c r="K861" s="28">
        <v>40.0</v>
      </c>
      <c r="P861" s="134"/>
    </row>
    <row r="862">
      <c r="C862" s="124"/>
      <c r="H862" s="28">
        <v>43.0</v>
      </c>
      <c r="J862" s="28">
        <v>0.47</v>
      </c>
      <c r="K862" s="28">
        <v>42.0</v>
      </c>
      <c r="P862" s="134"/>
    </row>
    <row r="863">
      <c r="C863" s="124"/>
      <c r="H863" s="28">
        <v>45.0</v>
      </c>
      <c r="J863" s="28">
        <v>0.45</v>
      </c>
      <c r="K863" s="28">
        <v>41.0</v>
      </c>
      <c r="P863" s="134"/>
    </row>
    <row r="864">
      <c r="C864" s="124"/>
      <c r="H864" s="28">
        <v>41.0</v>
      </c>
      <c r="J864" s="28">
        <v>0.49</v>
      </c>
      <c r="K864" s="28">
        <v>40.0</v>
      </c>
      <c r="P864" s="134"/>
    </row>
    <row r="865">
      <c r="C865" s="124"/>
      <c r="H865" s="28">
        <v>44.0</v>
      </c>
      <c r="J865" s="28">
        <v>0.48</v>
      </c>
      <c r="K865" s="28">
        <v>41.0</v>
      </c>
      <c r="P865" s="134"/>
    </row>
    <row r="866">
      <c r="C866" s="124"/>
      <c r="H866" s="28">
        <v>44.0</v>
      </c>
      <c r="J866" s="28">
        <v>0.48</v>
      </c>
      <c r="K866" s="28">
        <v>44.0</v>
      </c>
      <c r="P866" s="134"/>
    </row>
    <row r="867">
      <c r="C867" s="124"/>
      <c r="H867" s="28">
        <v>41.0</v>
      </c>
      <c r="J867" s="28">
        <v>0.45</v>
      </c>
      <c r="K867" s="28">
        <v>46.0</v>
      </c>
      <c r="P867" s="134"/>
    </row>
    <row r="868">
      <c r="C868" s="124"/>
      <c r="H868" s="28">
        <v>45.0</v>
      </c>
      <c r="J868" s="28">
        <v>0.45</v>
      </c>
      <c r="K868" s="28">
        <v>43.0</v>
      </c>
      <c r="P868" s="134"/>
    </row>
    <row r="869">
      <c r="C869" s="124"/>
      <c r="H869" s="28">
        <v>48.0</v>
      </c>
      <c r="J869" s="28">
        <v>0.44</v>
      </c>
      <c r="K869" s="28">
        <v>39.0</v>
      </c>
      <c r="P869" s="134"/>
    </row>
    <row r="870">
      <c r="C870" s="124"/>
      <c r="H870" s="28">
        <v>39.0</v>
      </c>
      <c r="J870" s="28">
        <v>0.47</v>
      </c>
      <c r="K870" s="28">
        <v>50.0</v>
      </c>
      <c r="P870" s="134"/>
    </row>
    <row r="871">
      <c r="C871" s="124"/>
      <c r="H871" s="28">
        <v>38.0</v>
      </c>
      <c r="J871" s="28">
        <v>0.46</v>
      </c>
      <c r="K871" s="28">
        <v>50.0</v>
      </c>
      <c r="P871" s="134"/>
    </row>
    <row r="872">
      <c r="C872" s="124"/>
      <c r="H872" s="28">
        <v>46.0</v>
      </c>
      <c r="J872" s="28">
        <v>0.47</v>
      </c>
      <c r="K872" s="28">
        <v>45.0</v>
      </c>
      <c r="P872" s="134"/>
    </row>
    <row r="873">
      <c r="C873" s="124"/>
      <c r="H873" s="28">
        <v>50.0</v>
      </c>
      <c r="J873" s="28">
        <v>0.46</v>
      </c>
      <c r="K873" s="28">
        <v>42.0</v>
      </c>
      <c r="P873" s="134"/>
    </row>
    <row r="874">
      <c r="C874" s="124"/>
      <c r="H874" s="28">
        <v>48.0</v>
      </c>
      <c r="J874" s="28">
        <v>0.5</v>
      </c>
      <c r="K874" s="28">
        <v>47.0</v>
      </c>
      <c r="P874" s="134"/>
    </row>
    <row r="875">
      <c r="C875" s="124"/>
      <c r="H875" s="28">
        <v>50.0</v>
      </c>
      <c r="J875" s="28">
        <v>0.63</v>
      </c>
      <c r="K875" s="28">
        <v>40.0</v>
      </c>
      <c r="P875" s="134"/>
    </row>
    <row r="876">
      <c r="C876" s="124"/>
      <c r="H876" s="28">
        <v>40.0</v>
      </c>
      <c r="J876" s="28">
        <v>0.5</v>
      </c>
      <c r="K876" s="28">
        <v>44.0</v>
      </c>
      <c r="P876" s="134"/>
    </row>
    <row r="877">
      <c r="C877" s="124"/>
      <c r="H877" s="28">
        <v>45.0</v>
      </c>
      <c r="J877" s="28">
        <v>0.44</v>
      </c>
      <c r="K877" s="28">
        <v>40.0</v>
      </c>
      <c r="P877" s="134"/>
    </row>
    <row r="878">
      <c r="C878" s="124"/>
      <c r="H878" s="28">
        <v>45.0</v>
      </c>
      <c r="J878" s="28">
        <v>0.56</v>
      </c>
      <c r="K878" s="28">
        <v>43.0</v>
      </c>
      <c r="P878" s="134"/>
    </row>
    <row r="879">
      <c r="C879" s="124"/>
      <c r="H879" s="28">
        <v>43.0</v>
      </c>
      <c r="J879" s="28">
        <v>0.5</v>
      </c>
      <c r="K879" s="28">
        <v>46.0</v>
      </c>
      <c r="P879" s="134"/>
    </row>
    <row r="880">
      <c r="C880" s="124"/>
      <c r="H880" s="28">
        <v>42.0</v>
      </c>
      <c r="J880" s="28">
        <v>0.53</v>
      </c>
      <c r="K880" s="28">
        <v>48.0</v>
      </c>
      <c r="P880" s="134"/>
    </row>
    <row r="881">
      <c r="C881" s="124"/>
      <c r="H881" s="28">
        <v>48.0</v>
      </c>
      <c r="J881" s="28">
        <v>0.53</v>
      </c>
      <c r="K881" s="28">
        <v>49.0</v>
      </c>
      <c r="P881" s="134"/>
    </row>
    <row r="882">
      <c r="C882" s="124"/>
      <c r="H882" s="28">
        <v>48.0</v>
      </c>
      <c r="J882" s="28">
        <v>0.51</v>
      </c>
      <c r="K882" s="28">
        <v>47.0</v>
      </c>
      <c r="P882" s="134"/>
    </row>
    <row r="883">
      <c r="C883" s="124"/>
      <c r="H883" s="28">
        <v>46.0</v>
      </c>
      <c r="J883" s="28">
        <v>0.52</v>
      </c>
      <c r="K883" s="28">
        <v>41.0</v>
      </c>
      <c r="P883" s="134"/>
    </row>
    <row r="884">
      <c r="C884" s="124"/>
      <c r="H884" s="28">
        <v>40.0</v>
      </c>
      <c r="J884" s="28">
        <v>0.52</v>
      </c>
      <c r="K884" s="28">
        <v>40.0</v>
      </c>
      <c r="P884" s="134"/>
    </row>
    <row r="885">
      <c r="C885" s="124"/>
      <c r="H885" s="28">
        <v>40.0</v>
      </c>
      <c r="J885" s="28">
        <v>0.62</v>
      </c>
      <c r="K885" s="28">
        <v>40.0</v>
      </c>
      <c r="P885" s="134"/>
    </row>
    <row r="886">
      <c r="C886" s="124"/>
      <c r="H886" s="28">
        <v>37.0</v>
      </c>
      <c r="J886" s="28">
        <v>0.57</v>
      </c>
      <c r="K886" s="28">
        <v>41.0</v>
      </c>
      <c r="P886" s="134"/>
    </row>
    <row r="887">
      <c r="C887" s="124"/>
      <c r="H887" s="28">
        <v>42.0</v>
      </c>
      <c r="J887" s="28">
        <v>0.62</v>
      </c>
      <c r="K887" s="28">
        <v>46.0</v>
      </c>
      <c r="P887" s="134"/>
    </row>
    <row r="888">
      <c r="C888" s="124"/>
      <c r="H888" s="28">
        <v>46.0</v>
      </c>
      <c r="J888" s="28">
        <v>0.52</v>
      </c>
      <c r="K888" s="28">
        <v>46.0</v>
      </c>
      <c r="P888" s="134"/>
    </row>
    <row r="889">
      <c r="C889" s="124"/>
      <c r="H889" s="28">
        <v>46.0</v>
      </c>
      <c r="J889" s="28">
        <v>0.5</v>
      </c>
      <c r="K889" s="28">
        <v>43.0</v>
      </c>
      <c r="P889" s="134"/>
    </row>
    <row r="890">
      <c r="C890" s="124"/>
      <c r="H890" s="28">
        <v>44.0</v>
      </c>
      <c r="J890" s="28">
        <v>0.57</v>
      </c>
      <c r="K890" s="28">
        <v>46.0</v>
      </c>
      <c r="P890" s="134"/>
    </row>
    <row r="891">
      <c r="C891" s="124"/>
      <c r="H891" s="28">
        <v>38.0</v>
      </c>
      <c r="J891" s="28">
        <v>0.47</v>
      </c>
      <c r="K891" s="28">
        <v>40.0</v>
      </c>
      <c r="P891" s="134"/>
    </row>
    <row r="892">
      <c r="C892" s="124"/>
      <c r="H892" s="28">
        <v>46.0</v>
      </c>
      <c r="J892" s="28">
        <v>0.56</v>
      </c>
      <c r="K892" s="28">
        <v>44.0</v>
      </c>
      <c r="P892" s="134"/>
    </row>
    <row r="893">
      <c r="C893" s="124"/>
      <c r="H893" s="28">
        <v>49.0</v>
      </c>
      <c r="J893" s="28">
        <v>0.61</v>
      </c>
      <c r="K893" s="28">
        <v>43.0</v>
      </c>
      <c r="P893" s="134"/>
    </row>
    <row r="894">
      <c r="C894" s="124"/>
      <c r="H894" s="28">
        <v>47.0</v>
      </c>
      <c r="J894" s="28">
        <v>0.56</v>
      </c>
      <c r="K894" s="28">
        <v>47.0</v>
      </c>
      <c r="P894" s="134"/>
    </row>
    <row r="895">
      <c r="C895" s="124"/>
      <c r="H895" s="28">
        <v>50.0</v>
      </c>
      <c r="J895" s="28">
        <v>0.51</v>
      </c>
      <c r="K895" s="28">
        <v>48.0</v>
      </c>
      <c r="P895" s="134"/>
    </row>
    <row r="896">
      <c r="C896" s="124"/>
      <c r="H896" s="28">
        <v>50.0</v>
      </c>
      <c r="J896" s="28">
        <v>0.64</v>
      </c>
      <c r="K896" s="28">
        <v>46.0</v>
      </c>
      <c r="P896" s="134"/>
    </row>
    <row r="897">
      <c r="C897" s="124"/>
      <c r="H897" s="28">
        <v>45.0</v>
      </c>
      <c r="J897" s="28">
        <v>0.49</v>
      </c>
      <c r="K897" s="28">
        <v>48.0</v>
      </c>
      <c r="P897" s="134"/>
    </row>
    <row r="898">
      <c r="C898" s="124"/>
      <c r="H898" s="28">
        <v>52.0</v>
      </c>
      <c r="J898" s="28">
        <v>0.6</v>
      </c>
      <c r="K898" s="28">
        <v>41.0</v>
      </c>
      <c r="P898" s="134"/>
    </row>
    <row r="899">
      <c r="C899" s="124"/>
      <c r="H899" s="28">
        <v>50.0</v>
      </c>
      <c r="J899" s="28">
        <v>0.54</v>
      </c>
      <c r="K899" s="28">
        <v>42.0</v>
      </c>
      <c r="P899" s="134"/>
    </row>
    <row r="900">
      <c r="C900" s="124"/>
      <c r="H900" s="28">
        <v>47.0</v>
      </c>
      <c r="J900" s="28">
        <v>0.51</v>
      </c>
      <c r="K900" s="28">
        <v>38.0</v>
      </c>
      <c r="P900" s="134"/>
    </row>
    <row r="901">
      <c r="C901" s="124"/>
      <c r="H901" s="28">
        <v>43.0</v>
      </c>
      <c r="J901" s="28">
        <v>0.45</v>
      </c>
      <c r="K901" s="28">
        <v>46.0</v>
      </c>
      <c r="P901" s="134"/>
    </row>
    <row r="902">
      <c r="C902" s="124"/>
      <c r="H902" s="28">
        <v>46.0</v>
      </c>
      <c r="J902" s="28">
        <v>0.52</v>
      </c>
      <c r="K902" s="28">
        <v>41.0</v>
      </c>
      <c r="P902" s="134"/>
    </row>
    <row r="903">
      <c r="C903" s="124"/>
      <c r="H903" s="28">
        <v>49.0</v>
      </c>
      <c r="J903" s="28">
        <v>0.43</v>
      </c>
      <c r="K903" s="28">
        <v>46.0</v>
      </c>
      <c r="P903" s="134"/>
    </row>
    <row r="904">
      <c r="C904" s="124"/>
      <c r="H904" s="28">
        <v>46.0</v>
      </c>
      <c r="J904" s="28">
        <v>0.49</v>
      </c>
      <c r="K904" s="28">
        <v>44.0</v>
      </c>
      <c r="P904" s="134"/>
    </row>
    <row r="905">
      <c r="C905" s="124"/>
      <c r="H905" s="28">
        <v>44.0</v>
      </c>
      <c r="J905" s="28">
        <v>0.42</v>
      </c>
      <c r="K905" s="28">
        <v>49.0</v>
      </c>
      <c r="P905" s="134"/>
    </row>
    <row r="906">
      <c r="C906" s="124"/>
      <c r="H906" s="28">
        <v>44.0</v>
      </c>
      <c r="J906" s="28">
        <v>0.51</v>
      </c>
      <c r="K906" s="28">
        <v>49.0</v>
      </c>
      <c r="P906" s="134"/>
    </row>
    <row r="907">
      <c r="C907" s="124"/>
      <c r="H907" s="28">
        <v>40.0</v>
      </c>
      <c r="J907" s="28">
        <v>0.52</v>
      </c>
      <c r="K907" s="28">
        <v>48.0</v>
      </c>
      <c r="P907" s="134"/>
    </row>
    <row r="908">
      <c r="C908" s="124"/>
      <c r="H908" s="28">
        <v>38.0</v>
      </c>
      <c r="J908" s="28">
        <v>0.56</v>
      </c>
      <c r="K908" s="28">
        <v>48.0</v>
      </c>
      <c r="P908" s="134"/>
    </row>
    <row r="909">
      <c r="C909" s="124"/>
      <c r="H909" s="28">
        <v>42.0</v>
      </c>
      <c r="J909" s="28">
        <v>0.51</v>
      </c>
      <c r="K909" s="28">
        <v>46.0</v>
      </c>
      <c r="P909" s="134"/>
    </row>
    <row r="910">
      <c r="C910" s="124"/>
      <c r="H910" s="28">
        <v>46.0</v>
      </c>
      <c r="J910" s="28">
        <v>0.44</v>
      </c>
      <c r="K910" s="28">
        <v>46.0</v>
      </c>
      <c r="P910" s="134"/>
    </row>
    <row r="911">
      <c r="C911" s="124"/>
      <c r="H911" s="28">
        <v>43.0</v>
      </c>
      <c r="J911" s="28">
        <v>0.5</v>
      </c>
      <c r="K911" s="28">
        <v>46.0</v>
      </c>
      <c r="P911" s="134"/>
    </row>
    <row r="912">
      <c r="C912" s="124"/>
      <c r="H912" s="28">
        <v>47.0</v>
      </c>
      <c r="J912" s="28">
        <v>0.55</v>
      </c>
      <c r="K912" s="28">
        <v>45.0</v>
      </c>
      <c r="P912" s="134"/>
    </row>
    <row r="913">
      <c r="C913" s="124"/>
      <c r="H913" s="28">
        <v>47.0</v>
      </c>
      <c r="J913" s="28">
        <v>0.52</v>
      </c>
      <c r="K913" s="28">
        <v>46.0</v>
      </c>
      <c r="P913" s="134"/>
    </row>
    <row r="914">
      <c r="C914" s="124"/>
      <c r="H914" s="28">
        <v>47.0</v>
      </c>
      <c r="J914" s="28">
        <v>0.49</v>
      </c>
      <c r="K914" s="28">
        <v>43.0</v>
      </c>
      <c r="P914" s="134"/>
    </row>
    <row r="915">
      <c r="C915" s="124"/>
      <c r="H915" s="28">
        <v>38.0</v>
      </c>
      <c r="J915" s="28">
        <v>0.5</v>
      </c>
      <c r="K915" s="28">
        <v>48.0</v>
      </c>
      <c r="P915" s="134"/>
    </row>
    <row r="916">
      <c r="C916" s="124"/>
      <c r="H916" s="28">
        <v>41.0</v>
      </c>
      <c r="J916" s="28">
        <v>0.57</v>
      </c>
      <c r="K916" s="28">
        <v>42.0</v>
      </c>
      <c r="P916" s="134"/>
    </row>
    <row r="917">
      <c r="C917" s="124"/>
      <c r="H917" s="28">
        <v>44.0</v>
      </c>
      <c r="J917" s="28">
        <v>0.49</v>
      </c>
      <c r="K917" s="28">
        <v>49.0</v>
      </c>
      <c r="P917" s="134"/>
    </row>
    <row r="918">
      <c r="C918" s="124"/>
      <c r="H918" s="28">
        <v>43.0</v>
      </c>
      <c r="J918" s="28">
        <v>0.56</v>
      </c>
      <c r="K918" s="28">
        <v>42.0</v>
      </c>
      <c r="P918" s="134"/>
    </row>
    <row r="919">
      <c r="C919" s="124"/>
      <c r="H919" s="28">
        <v>45.0</v>
      </c>
      <c r="J919" s="28">
        <v>0.5</v>
      </c>
      <c r="K919" s="28">
        <v>44.0</v>
      </c>
      <c r="P919" s="134"/>
    </row>
    <row r="920">
      <c r="C920" s="124"/>
      <c r="H920" s="28">
        <v>44.0</v>
      </c>
      <c r="J920" s="28">
        <v>0.42</v>
      </c>
      <c r="K920" s="28">
        <v>48.0</v>
      </c>
      <c r="P920" s="134"/>
    </row>
    <row r="921">
      <c r="C921" s="124"/>
      <c r="H921" s="28">
        <v>44.0</v>
      </c>
      <c r="J921" s="28">
        <v>0.57</v>
      </c>
      <c r="K921" s="28">
        <v>49.0</v>
      </c>
      <c r="P921" s="134"/>
    </row>
    <row r="922">
      <c r="C922" s="124"/>
      <c r="H922" s="28">
        <v>43.0</v>
      </c>
      <c r="J922" s="28">
        <v>0.55</v>
      </c>
      <c r="K922" s="28">
        <v>38.0</v>
      </c>
      <c r="P922" s="134"/>
    </row>
    <row r="923">
      <c r="C923" s="124"/>
      <c r="H923" s="28">
        <v>41.0</v>
      </c>
      <c r="J923" s="28">
        <v>0.52</v>
      </c>
      <c r="K923" s="28">
        <v>45.0</v>
      </c>
      <c r="P923" s="134"/>
    </row>
    <row r="924">
      <c r="C924" s="124"/>
      <c r="H924" s="28">
        <v>41.0</v>
      </c>
      <c r="J924" s="28">
        <v>0.49</v>
      </c>
      <c r="K924" s="28">
        <v>53.0</v>
      </c>
      <c r="P924" s="134"/>
    </row>
    <row r="925">
      <c r="C925" s="124"/>
      <c r="H925" s="28">
        <v>45.0</v>
      </c>
      <c r="J925" s="28">
        <v>0.44</v>
      </c>
      <c r="K925" s="28">
        <v>43.0</v>
      </c>
      <c r="P925" s="134"/>
    </row>
    <row r="926">
      <c r="C926" s="124"/>
      <c r="H926" s="28">
        <v>37.0</v>
      </c>
      <c r="J926" s="28">
        <v>0.57</v>
      </c>
      <c r="K926" s="28">
        <v>39.0</v>
      </c>
      <c r="P926" s="134"/>
    </row>
    <row r="927">
      <c r="C927" s="124"/>
      <c r="H927" s="28">
        <v>45.0</v>
      </c>
      <c r="J927" s="28">
        <v>0.49</v>
      </c>
      <c r="K927" s="28">
        <v>44.0</v>
      </c>
      <c r="P927" s="134"/>
    </row>
    <row r="928">
      <c r="C928" s="124"/>
      <c r="H928" s="28">
        <v>41.0</v>
      </c>
      <c r="J928" s="28">
        <v>0.5</v>
      </c>
      <c r="K928" s="28">
        <v>48.0</v>
      </c>
      <c r="P928" s="134"/>
    </row>
    <row r="929">
      <c r="C929" s="124"/>
      <c r="H929" s="28">
        <v>42.0</v>
      </c>
      <c r="J929" s="28">
        <v>0.54</v>
      </c>
      <c r="K929" s="28">
        <v>43.0</v>
      </c>
      <c r="P929" s="134"/>
    </row>
    <row r="930">
      <c r="C930" s="124"/>
      <c r="H930" s="28">
        <v>44.0</v>
      </c>
      <c r="J930" s="28">
        <v>0.49</v>
      </c>
      <c r="K930" s="28">
        <v>43.0</v>
      </c>
      <c r="P930" s="134"/>
    </row>
    <row r="931">
      <c r="C931" s="124"/>
      <c r="H931" s="28">
        <v>45.0</v>
      </c>
      <c r="J931" s="28">
        <v>0.52</v>
      </c>
      <c r="K931" s="28">
        <v>47.0</v>
      </c>
      <c r="P931" s="134"/>
    </row>
    <row r="932">
      <c r="C932" s="124"/>
      <c r="H932" s="28">
        <v>40.0</v>
      </c>
      <c r="J932" s="28">
        <v>0.52</v>
      </c>
      <c r="K932" s="28">
        <v>41.0</v>
      </c>
      <c r="P932" s="134"/>
    </row>
    <row r="933">
      <c r="C933" s="124"/>
      <c r="H933" s="28">
        <v>42.0</v>
      </c>
      <c r="J933" s="28">
        <v>0.53</v>
      </c>
      <c r="K933" s="28">
        <v>48.0</v>
      </c>
      <c r="P933" s="134"/>
    </row>
    <row r="934">
      <c r="C934" s="124"/>
      <c r="H934" s="28">
        <v>48.0</v>
      </c>
      <c r="J934" s="28">
        <v>0.48</v>
      </c>
      <c r="K934" s="28">
        <v>45.0</v>
      </c>
      <c r="P934" s="134"/>
    </row>
    <row r="935">
      <c r="C935" s="124"/>
      <c r="H935" s="28">
        <v>48.0</v>
      </c>
      <c r="J935" s="28">
        <v>0.49</v>
      </c>
      <c r="K935" s="28">
        <v>45.0</v>
      </c>
      <c r="P935" s="134"/>
    </row>
    <row r="936">
      <c r="C936" s="124"/>
      <c r="H936" s="28">
        <v>45.0</v>
      </c>
      <c r="J936" s="28">
        <v>0.5</v>
      </c>
      <c r="K936" s="28">
        <v>41.0</v>
      </c>
      <c r="P936" s="134"/>
    </row>
    <row r="937">
      <c r="C937" s="124"/>
      <c r="H937" s="28">
        <v>42.0</v>
      </c>
      <c r="J937" s="28">
        <v>0.51</v>
      </c>
      <c r="K937" s="28">
        <v>48.0</v>
      </c>
      <c r="P937" s="134"/>
    </row>
    <row r="938">
      <c r="C938" s="124"/>
      <c r="H938" s="28">
        <v>49.0</v>
      </c>
      <c r="J938" s="28">
        <v>0.48</v>
      </c>
      <c r="K938" s="28">
        <v>43.0</v>
      </c>
      <c r="P938" s="134"/>
    </row>
    <row r="939">
      <c r="C939" s="124"/>
      <c r="H939" s="28">
        <v>45.0</v>
      </c>
      <c r="J939" s="28">
        <v>0.5</v>
      </c>
      <c r="K939" s="28">
        <v>42.0</v>
      </c>
      <c r="P939" s="134"/>
    </row>
    <row r="940">
      <c r="C940" s="124"/>
      <c r="H940" s="28">
        <v>43.0</v>
      </c>
      <c r="J940" s="28">
        <v>0.51</v>
      </c>
      <c r="K940" s="28">
        <v>41.0</v>
      </c>
      <c r="P940" s="134"/>
    </row>
    <row r="941">
      <c r="C941" s="124"/>
      <c r="H941" s="28">
        <v>44.0</v>
      </c>
      <c r="J941" s="28">
        <v>0.45</v>
      </c>
      <c r="K941" s="28">
        <v>37.0</v>
      </c>
      <c r="P941" s="134"/>
    </row>
    <row r="942">
      <c r="C942" s="124"/>
      <c r="H942" s="28">
        <v>43.0</v>
      </c>
      <c r="J942" s="28">
        <v>0.51</v>
      </c>
      <c r="K942" s="28">
        <v>37.0</v>
      </c>
      <c r="P942" s="134"/>
    </row>
    <row r="943">
      <c r="C943" s="124"/>
      <c r="H943" s="28">
        <v>44.0</v>
      </c>
      <c r="J943" s="28">
        <v>0.48</v>
      </c>
      <c r="K943" s="28">
        <v>47.0</v>
      </c>
      <c r="P943" s="134"/>
    </row>
    <row r="944">
      <c r="C944" s="124"/>
      <c r="H944" s="28">
        <v>44.0</v>
      </c>
      <c r="J944" s="28">
        <v>0.49</v>
      </c>
      <c r="K944" s="28">
        <v>45.0</v>
      </c>
      <c r="P944" s="134"/>
    </row>
    <row r="945">
      <c r="C945" s="124"/>
      <c r="H945" s="28">
        <v>46.0</v>
      </c>
      <c r="J945" s="28">
        <v>0.47</v>
      </c>
      <c r="K945" s="28">
        <v>42.0</v>
      </c>
      <c r="P945" s="134"/>
    </row>
    <row r="946">
      <c r="C946" s="124"/>
      <c r="H946" s="28">
        <v>45.0</v>
      </c>
      <c r="J946" s="28">
        <v>0.52</v>
      </c>
      <c r="K946" s="28">
        <v>45.0</v>
      </c>
      <c r="P946" s="134"/>
    </row>
    <row r="947">
      <c r="C947" s="124"/>
      <c r="H947" s="28">
        <v>48.0</v>
      </c>
      <c r="J947" s="28">
        <v>0.47</v>
      </c>
      <c r="K947" s="28">
        <v>42.0</v>
      </c>
      <c r="P947" s="134"/>
    </row>
    <row r="948">
      <c r="C948" s="124"/>
      <c r="H948" s="28">
        <v>45.0</v>
      </c>
      <c r="J948" s="28">
        <v>0.57</v>
      </c>
      <c r="K948" s="28">
        <v>43.0</v>
      </c>
      <c r="P948" s="134"/>
    </row>
    <row r="949">
      <c r="C949" s="124"/>
      <c r="H949" s="28">
        <v>41.0</v>
      </c>
      <c r="J949" s="28">
        <v>0.54</v>
      </c>
      <c r="K949" s="28">
        <v>42.0</v>
      </c>
      <c r="P949" s="134"/>
    </row>
    <row r="950">
      <c r="C950" s="124"/>
      <c r="H950" s="28">
        <v>45.0</v>
      </c>
      <c r="J950" s="28">
        <v>0.49</v>
      </c>
      <c r="K950" s="28">
        <v>40.0</v>
      </c>
      <c r="P950" s="134"/>
    </row>
    <row r="951">
      <c r="C951" s="124"/>
      <c r="H951" s="28">
        <v>39.0</v>
      </c>
      <c r="J951" s="28">
        <v>0.53</v>
      </c>
      <c r="K951" s="28">
        <v>53.0</v>
      </c>
      <c r="P951" s="134"/>
    </row>
    <row r="952">
      <c r="C952" s="124"/>
      <c r="H952" s="28">
        <v>52.0</v>
      </c>
      <c r="J952" s="28">
        <v>0.52</v>
      </c>
      <c r="K952" s="28">
        <v>40.0</v>
      </c>
      <c r="P952" s="134"/>
    </row>
    <row r="953">
      <c r="C953" s="124"/>
      <c r="H953" s="28">
        <v>55.0</v>
      </c>
      <c r="J953" s="28">
        <v>0.56</v>
      </c>
      <c r="K953" s="28">
        <v>45.0</v>
      </c>
      <c r="P953" s="134"/>
    </row>
    <row r="954">
      <c r="C954" s="124"/>
      <c r="H954" s="28">
        <v>44.0</v>
      </c>
      <c r="J954" s="28">
        <v>0.52</v>
      </c>
      <c r="K954" s="28">
        <v>46.0</v>
      </c>
      <c r="P954" s="134"/>
    </row>
    <row r="955">
      <c r="C955" s="124"/>
      <c r="H955" s="28">
        <v>45.0</v>
      </c>
      <c r="J955" s="28">
        <v>0.47</v>
      </c>
      <c r="K955" s="28">
        <v>48.0</v>
      </c>
      <c r="P955" s="134"/>
    </row>
    <row r="956">
      <c r="C956" s="124"/>
      <c r="H956" s="28">
        <v>45.0</v>
      </c>
      <c r="J956" s="28">
        <v>0.44</v>
      </c>
      <c r="K956" s="28">
        <v>46.0</v>
      </c>
      <c r="P956" s="134"/>
    </row>
    <row r="957">
      <c r="C957" s="124"/>
      <c r="H957" s="28">
        <v>47.0</v>
      </c>
      <c r="J957" s="28">
        <v>0.49</v>
      </c>
      <c r="K957" s="28">
        <v>43.0</v>
      </c>
      <c r="P957" s="134"/>
    </row>
    <row r="958">
      <c r="C958" s="124"/>
      <c r="H958" s="28">
        <v>43.0</v>
      </c>
      <c r="J958" s="28">
        <v>0.51</v>
      </c>
      <c r="K958" s="28">
        <v>43.0</v>
      </c>
      <c r="P958" s="134"/>
    </row>
    <row r="959">
      <c r="C959" s="124"/>
      <c r="H959" s="28">
        <v>45.0</v>
      </c>
      <c r="J959" s="28">
        <v>0.48</v>
      </c>
      <c r="K959" s="28">
        <v>48.0</v>
      </c>
      <c r="P959" s="134"/>
    </row>
    <row r="960">
      <c r="C960" s="124"/>
      <c r="H960" s="28">
        <v>50.0</v>
      </c>
      <c r="J960" s="28">
        <v>0.48</v>
      </c>
      <c r="K960" s="28">
        <v>51.0</v>
      </c>
      <c r="P960" s="134"/>
    </row>
    <row r="961">
      <c r="C961" s="124"/>
      <c r="H961" s="28">
        <v>44.0</v>
      </c>
      <c r="J961" s="28">
        <v>0.53</v>
      </c>
      <c r="K961" s="28">
        <v>49.0</v>
      </c>
      <c r="P961" s="134"/>
    </row>
    <row r="962">
      <c r="C962" s="124"/>
      <c r="H962" s="28">
        <v>44.0</v>
      </c>
      <c r="J962" s="28">
        <v>0.54</v>
      </c>
      <c r="K962" s="28">
        <v>42.0</v>
      </c>
      <c r="P962" s="134"/>
    </row>
    <row r="963">
      <c r="C963" s="124"/>
      <c r="H963" s="28">
        <v>42.0</v>
      </c>
      <c r="J963" s="28">
        <v>0.48</v>
      </c>
      <c r="K963" s="28">
        <v>40.0</v>
      </c>
      <c r="P963" s="134"/>
    </row>
    <row r="964">
      <c r="C964" s="124"/>
      <c r="H964" s="28">
        <v>41.0</v>
      </c>
      <c r="J964" s="28">
        <v>0.48</v>
      </c>
      <c r="K964" s="28">
        <v>45.0</v>
      </c>
      <c r="P964" s="134"/>
    </row>
    <row r="965">
      <c r="C965" s="124"/>
      <c r="H965" s="28">
        <v>49.0</v>
      </c>
      <c r="J965" s="28">
        <v>0.47</v>
      </c>
      <c r="K965" s="28">
        <v>45.0</v>
      </c>
      <c r="P965" s="134"/>
    </row>
    <row r="966">
      <c r="C966" s="124"/>
      <c r="H966" s="28">
        <v>44.0</v>
      </c>
      <c r="J966" s="28">
        <v>0.54</v>
      </c>
      <c r="K966" s="28">
        <v>42.0</v>
      </c>
      <c r="P966" s="134"/>
    </row>
    <row r="967">
      <c r="C967" s="124"/>
      <c r="H967" s="28">
        <v>44.0</v>
      </c>
      <c r="J967" s="28">
        <v>0.49</v>
      </c>
      <c r="K967" s="28">
        <v>47.0</v>
      </c>
      <c r="P967" s="134"/>
    </row>
    <row r="968">
      <c r="C968" s="124"/>
      <c r="H968" s="28">
        <v>45.0</v>
      </c>
      <c r="J968" s="28">
        <v>0.51</v>
      </c>
      <c r="K968" s="28">
        <v>53.0</v>
      </c>
      <c r="P968" s="134"/>
    </row>
    <row r="969">
      <c r="C969" s="124"/>
      <c r="H969" s="28">
        <v>47.0</v>
      </c>
      <c r="J969" s="28">
        <v>0.51</v>
      </c>
      <c r="K969" s="28">
        <v>44.0</v>
      </c>
      <c r="P969" s="134"/>
    </row>
    <row r="970">
      <c r="C970" s="124"/>
      <c r="H970" s="28">
        <v>45.0</v>
      </c>
      <c r="J970" s="28">
        <v>0.49</v>
      </c>
      <c r="K970" s="28">
        <v>48.0</v>
      </c>
      <c r="P970" s="134"/>
    </row>
    <row r="971">
      <c r="C971" s="124"/>
      <c r="H971" s="28">
        <v>43.0</v>
      </c>
      <c r="J971" s="28">
        <v>0.5</v>
      </c>
      <c r="K971" s="28">
        <v>45.0</v>
      </c>
      <c r="P971" s="134"/>
    </row>
    <row r="972">
      <c r="C972" s="124"/>
      <c r="H972" s="28">
        <v>44.0</v>
      </c>
      <c r="J972" s="28">
        <v>0.45</v>
      </c>
      <c r="K972" s="28">
        <v>47.0</v>
      </c>
      <c r="P972" s="134"/>
    </row>
    <row r="973">
      <c r="C973" s="124"/>
      <c r="H973" s="28">
        <v>43.0</v>
      </c>
      <c r="J973" s="28">
        <v>0.53</v>
      </c>
      <c r="K973" s="28">
        <v>45.0</v>
      </c>
      <c r="P973" s="134"/>
    </row>
    <row r="974">
      <c r="C974" s="124"/>
      <c r="H974" s="28">
        <v>45.0</v>
      </c>
      <c r="J974" s="28">
        <v>0.48</v>
      </c>
      <c r="K974" s="28">
        <v>41.0</v>
      </c>
      <c r="P974" s="134"/>
    </row>
    <row r="975">
      <c r="C975" s="124"/>
      <c r="H975" s="28">
        <v>43.0</v>
      </c>
      <c r="J975" s="28">
        <v>0.44</v>
      </c>
      <c r="K975" s="28">
        <v>50.0</v>
      </c>
      <c r="P975" s="134"/>
    </row>
    <row r="976">
      <c r="C976" s="124"/>
      <c r="H976" s="28">
        <v>48.0</v>
      </c>
      <c r="J976" s="28">
        <v>0.48</v>
      </c>
      <c r="K976" s="28">
        <v>49.0</v>
      </c>
      <c r="P976" s="134"/>
    </row>
    <row r="977">
      <c r="C977" s="124"/>
      <c r="H977" s="28">
        <v>46.0</v>
      </c>
      <c r="J977" s="28">
        <v>0.52</v>
      </c>
      <c r="K977" s="28">
        <v>43.0</v>
      </c>
      <c r="P977" s="134"/>
    </row>
    <row r="978">
      <c r="C978" s="124"/>
      <c r="H978" s="28">
        <v>49.0</v>
      </c>
      <c r="J978" s="28">
        <v>0.47</v>
      </c>
      <c r="K978" s="28">
        <v>40.0</v>
      </c>
      <c r="P978" s="134"/>
    </row>
    <row r="979">
      <c r="C979" s="124"/>
      <c r="H979" s="28">
        <v>47.0</v>
      </c>
      <c r="J979" s="28">
        <v>0.5</v>
      </c>
      <c r="K979" s="28">
        <v>41.0</v>
      </c>
      <c r="P979" s="134"/>
    </row>
    <row r="980">
      <c r="C980" s="124"/>
      <c r="H980" s="28">
        <v>44.0</v>
      </c>
      <c r="J980" s="28">
        <v>0.52</v>
      </c>
      <c r="K980" s="28">
        <v>41.0</v>
      </c>
      <c r="P980" s="134"/>
    </row>
    <row r="981">
      <c r="C981" s="124"/>
      <c r="H981" s="28">
        <v>48.0</v>
      </c>
      <c r="J981" s="28">
        <v>0.47</v>
      </c>
      <c r="K981" s="28">
        <v>47.0</v>
      </c>
      <c r="P981" s="134"/>
    </row>
    <row r="982">
      <c r="C982" s="124"/>
      <c r="H982" s="28">
        <v>44.0</v>
      </c>
      <c r="J982" s="28">
        <v>0.52</v>
      </c>
      <c r="K982" s="28">
        <v>45.0</v>
      </c>
      <c r="P982" s="134"/>
    </row>
    <row r="983">
      <c r="C983" s="124"/>
      <c r="H983" s="28">
        <v>45.0</v>
      </c>
      <c r="J983" s="28">
        <v>0.52</v>
      </c>
      <c r="K983" s="28">
        <v>48.0</v>
      </c>
      <c r="P983" s="134"/>
    </row>
    <row r="984">
      <c r="C984" s="124"/>
      <c r="H984" s="28">
        <v>45.0</v>
      </c>
      <c r="J984" s="28">
        <v>0.48</v>
      </c>
      <c r="K984" s="28">
        <v>43.0</v>
      </c>
      <c r="P984" s="134"/>
    </row>
    <row r="985">
      <c r="C985" s="124"/>
      <c r="H985" s="28">
        <v>42.0</v>
      </c>
      <c r="J985" s="28">
        <v>0.51</v>
      </c>
      <c r="K985" s="28">
        <v>48.0</v>
      </c>
      <c r="P985" s="134"/>
    </row>
    <row r="986">
      <c r="C986" s="124"/>
      <c r="H986" s="28">
        <v>45.0</v>
      </c>
      <c r="J986" s="28">
        <v>0.45</v>
      </c>
      <c r="K986" s="28">
        <v>45.0</v>
      </c>
      <c r="P986" s="134"/>
    </row>
    <row r="987">
      <c r="C987" s="124"/>
      <c r="H987" s="28">
        <v>40.0</v>
      </c>
      <c r="J987" s="28">
        <v>0.5</v>
      </c>
      <c r="K987" s="28">
        <v>41.0</v>
      </c>
      <c r="P987" s="134"/>
    </row>
    <row r="988">
      <c r="C988" s="124"/>
      <c r="H988" s="28">
        <v>46.0</v>
      </c>
      <c r="J988" s="28">
        <v>0.46</v>
      </c>
      <c r="K988" s="28">
        <v>45.0</v>
      </c>
      <c r="P988" s="134"/>
    </row>
    <row r="989">
      <c r="C989" s="124"/>
      <c r="H989" s="28">
        <v>48.0</v>
      </c>
      <c r="J989" s="28">
        <v>0.45</v>
      </c>
      <c r="K989" s="28">
        <v>43.0</v>
      </c>
      <c r="P989" s="134"/>
    </row>
    <row r="990">
      <c r="C990" s="124"/>
      <c r="H990" s="28">
        <v>47.0</v>
      </c>
      <c r="J990" s="28">
        <v>0.46</v>
      </c>
      <c r="K990" s="28">
        <v>43.0</v>
      </c>
      <c r="P990" s="134"/>
    </row>
    <row r="991">
      <c r="C991" s="124"/>
      <c r="H991" s="28">
        <v>48.0</v>
      </c>
      <c r="J991" s="28">
        <v>0.46</v>
      </c>
      <c r="K991" s="28">
        <v>39.0</v>
      </c>
      <c r="P991" s="134"/>
    </row>
    <row r="992">
      <c r="C992" s="124"/>
      <c r="H992" s="28">
        <v>44.0</v>
      </c>
      <c r="J992" s="28">
        <v>0.53</v>
      </c>
      <c r="K992" s="28">
        <v>41.0</v>
      </c>
      <c r="P992" s="134"/>
    </row>
    <row r="993">
      <c r="C993" s="124"/>
      <c r="H993" s="28">
        <v>43.0</v>
      </c>
      <c r="J993" s="28">
        <v>0.47</v>
      </c>
      <c r="K993" s="28">
        <v>44.0</v>
      </c>
      <c r="P993" s="134"/>
    </row>
    <row r="994">
      <c r="C994" s="124"/>
      <c r="H994" s="28">
        <v>39.0</v>
      </c>
      <c r="J994" s="28">
        <v>0.51</v>
      </c>
      <c r="K994" s="28">
        <v>44.0</v>
      </c>
      <c r="P994" s="134"/>
    </row>
    <row r="995">
      <c r="C995" s="124"/>
      <c r="H995" s="28">
        <v>39.0</v>
      </c>
      <c r="J995" s="28">
        <v>0.46</v>
      </c>
      <c r="K995" s="28">
        <v>45.0</v>
      </c>
      <c r="P995" s="134"/>
    </row>
    <row r="996">
      <c r="C996" s="124"/>
      <c r="H996" s="28">
        <v>43.0</v>
      </c>
      <c r="J996" s="28">
        <v>0.57</v>
      </c>
      <c r="K996" s="28">
        <v>42.0</v>
      </c>
      <c r="P996" s="134"/>
    </row>
    <row r="997">
      <c r="C997" s="124"/>
      <c r="H997" s="28">
        <v>42.0</v>
      </c>
      <c r="J997" s="28">
        <v>0.57</v>
      </c>
      <c r="K997" s="28">
        <v>39.0</v>
      </c>
      <c r="P997" s="134"/>
    </row>
    <row r="998">
      <c r="C998" s="124"/>
      <c r="H998" s="28">
        <v>48.0</v>
      </c>
      <c r="J998" s="28">
        <v>0.47</v>
      </c>
      <c r="K998" s="28">
        <v>46.0</v>
      </c>
      <c r="P998" s="134"/>
    </row>
    <row r="999">
      <c r="C999" s="124"/>
      <c r="H999" s="28">
        <v>43.0</v>
      </c>
      <c r="J999" s="28">
        <v>0.45</v>
      </c>
      <c r="K999" s="28">
        <v>45.0</v>
      </c>
      <c r="P999" s="134"/>
    </row>
    <row r="1000">
      <c r="C1000" s="124"/>
      <c r="H1000" s="28">
        <v>36.0</v>
      </c>
      <c r="J1000" s="28">
        <v>0.61</v>
      </c>
      <c r="K1000" s="28">
        <v>41.0</v>
      </c>
      <c r="P1000" s="134"/>
    </row>
    <row r="1001">
      <c r="C1001" s="124"/>
      <c r="H1001" s="28">
        <v>49.0</v>
      </c>
      <c r="J1001" s="28">
        <v>0.59</v>
      </c>
      <c r="K1001" s="28">
        <v>42.0</v>
      </c>
      <c r="P1001" s="134"/>
    </row>
    <row r="1002">
      <c r="C1002" s="124"/>
      <c r="H1002" s="28">
        <v>42.0</v>
      </c>
      <c r="J1002" s="28">
        <v>0.42</v>
      </c>
      <c r="K1002" s="28">
        <v>42.0</v>
      </c>
      <c r="P1002" s="134"/>
    </row>
    <row r="1003">
      <c r="C1003" s="124"/>
      <c r="H1003" s="28">
        <v>39.0</v>
      </c>
      <c r="J1003" s="28">
        <v>0.55</v>
      </c>
      <c r="K1003" s="28">
        <v>33.0</v>
      </c>
      <c r="P1003" s="134"/>
    </row>
    <row r="1004">
      <c r="C1004" s="124"/>
      <c r="H1004" s="28">
        <v>47.0</v>
      </c>
      <c r="J1004" s="28">
        <v>0.57</v>
      </c>
      <c r="K1004" s="28">
        <v>45.0</v>
      </c>
      <c r="P1004" s="134"/>
    </row>
    <row r="1005">
      <c r="C1005" s="124"/>
      <c r="H1005" s="28">
        <v>40.0</v>
      </c>
      <c r="J1005" s="28">
        <v>0.52</v>
      </c>
      <c r="K1005" s="28">
        <v>46.0</v>
      </c>
      <c r="P1005" s="134"/>
    </row>
    <row r="1006">
      <c r="C1006" s="124"/>
      <c r="H1006" s="28">
        <v>44.0</v>
      </c>
      <c r="J1006" s="28">
        <v>0.48</v>
      </c>
      <c r="K1006" s="28">
        <v>42.0</v>
      </c>
      <c r="P1006" s="134"/>
    </row>
    <row r="1007">
      <c r="C1007" s="124"/>
      <c r="H1007" s="28">
        <v>40.0</v>
      </c>
      <c r="J1007" s="28">
        <v>0.46</v>
      </c>
      <c r="K1007" s="28">
        <v>43.0</v>
      </c>
      <c r="P1007" s="134"/>
    </row>
    <row r="1008">
      <c r="C1008" s="124"/>
      <c r="H1008" s="28">
        <v>39.0</v>
      </c>
      <c r="J1008" s="28">
        <v>0.42</v>
      </c>
      <c r="K1008" s="28">
        <v>46.0</v>
      </c>
      <c r="P1008" s="134"/>
    </row>
    <row r="1009">
      <c r="C1009" s="124"/>
      <c r="H1009" s="28">
        <v>42.0</v>
      </c>
      <c r="J1009" s="28">
        <v>0.47</v>
      </c>
      <c r="K1009" s="28">
        <v>40.0</v>
      </c>
      <c r="P1009" s="134"/>
    </row>
    <row r="1010">
      <c r="C1010" s="124"/>
      <c r="H1010" s="28">
        <v>44.0</v>
      </c>
      <c r="J1010" s="28">
        <v>0.51</v>
      </c>
      <c r="K1010" s="28">
        <v>48.0</v>
      </c>
      <c r="P1010" s="134"/>
    </row>
    <row r="1011">
      <c r="C1011" s="124"/>
      <c r="H1011" s="28">
        <v>44.0</v>
      </c>
      <c r="J1011" s="28">
        <v>0.49</v>
      </c>
      <c r="K1011" s="28">
        <v>37.0</v>
      </c>
      <c r="P1011" s="134"/>
    </row>
    <row r="1012">
      <c r="C1012" s="124"/>
      <c r="H1012" s="28">
        <v>46.0</v>
      </c>
      <c r="J1012" s="28">
        <v>0.5</v>
      </c>
      <c r="K1012" s="28">
        <v>43.0</v>
      </c>
      <c r="P1012" s="134"/>
    </row>
    <row r="1013">
      <c r="C1013" s="124"/>
      <c r="H1013" s="28">
        <v>42.0</v>
      </c>
      <c r="J1013" s="28">
        <v>0.55</v>
      </c>
      <c r="K1013" s="28">
        <v>45.0</v>
      </c>
      <c r="P1013" s="134"/>
    </row>
    <row r="1014">
      <c r="C1014" s="124"/>
      <c r="H1014" s="28">
        <v>43.0</v>
      </c>
      <c r="J1014" s="28">
        <v>0.62</v>
      </c>
      <c r="K1014" s="28">
        <v>44.0</v>
      </c>
      <c r="P1014" s="134"/>
    </row>
    <row r="1015">
      <c r="C1015" s="124"/>
      <c r="H1015" s="28">
        <v>46.0</v>
      </c>
      <c r="J1015" s="28">
        <v>0.43</v>
      </c>
      <c r="K1015" s="28">
        <v>41.0</v>
      </c>
      <c r="P1015" s="134"/>
    </row>
    <row r="1016">
      <c r="C1016" s="124"/>
      <c r="H1016" s="28">
        <v>46.0</v>
      </c>
      <c r="J1016" s="28">
        <v>0.56</v>
      </c>
      <c r="K1016" s="28">
        <v>44.0</v>
      </c>
      <c r="P1016" s="134"/>
    </row>
    <row r="1017">
      <c r="C1017" s="124"/>
      <c r="H1017" s="28">
        <v>45.0</v>
      </c>
      <c r="J1017" s="28">
        <v>0.44</v>
      </c>
      <c r="K1017" s="28">
        <v>49.0</v>
      </c>
      <c r="P1017" s="134"/>
    </row>
    <row r="1018">
      <c r="C1018" s="124"/>
      <c r="H1018" s="28">
        <v>41.0</v>
      </c>
      <c r="J1018" s="28">
        <v>0.49</v>
      </c>
      <c r="K1018" s="28">
        <v>43.0</v>
      </c>
      <c r="P1018" s="134"/>
    </row>
    <row r="1019">
      <c r="C1019" s="124"/>
      <c r="H1019" s="28">
        <v>38.0</v>
      </c>
      <c r="J1019" s="28">
        <v>0.49</v>
      </c>
      <c r="K1019" s="28">
        <v>44.0</v>
      </c>
      <c r="P1019" s="134"/>
    </row>
    <row r="1020">
      <c r="C1020" s="124"/>
      <c r="H1020" s="28">
        <v>44.0</v>
      </c>
      <c r="J1020" s="28">
        <v>0.53</v>
      </c>
      <c r="K1020" s="28">
        <v>50.0</v>
      </c>
      <c r="P1020" s="134"/>
    </row>
    <row r="1021">
      <c r="C1021" s="124"/>
      <c r="H1021" s="28">
        <v>41.0</v>
      </c>
      <c r="J1021" s="28">
        <v>0.51</v>
      </c>
      <c r="K1021" s="28">
        <v>42.0</v>
      </c>
      <c r="P1021" s="134"/>
    </row>
    <row r="1022">
      <c r="C1022" s="124"/>
      <c r="H1022" s="28">
        <v>52.0</v>
      </c>
      <c r="J1022" s="28">
        <v>0.56</v>
      </c>
      <c r="K1022" s="28">
        <v>45.0</v>
      </c>
      <c r="P1022" s="134"/>
    </row>
    <row r="1023">
      <c r="C1023" s="124"/>
      <c r="H1023" s="28">
        <v>46.0</v>
      </c>
      <c r="J1023" s="28">
        <v>0.57</v>
      </c>
      <c r="K1023" s="28">
        <v>42.0</v>
      </c>
      <c r="P1023" s="134"/>
    </row>
    <row r="1024">
      <c r="C1024" s="124"/>
      <c r="H1024" s="28">
        <v>50.0</v>
      </c>
      <c r="J1024" s="28">
        <v>0.52</v>
      </c>
      <c r="K1024" s="28">
        <v>41.0</v>
      </c>
      <c r="P1024" s="134"/>
    </row>
    <row r="1025">
      <c r="C1025" s="124"/>
      <c r="H1025" s="28">
        <v>42.0</v>
      </c>
      <c r="J1025" s="28">
        <v>0.52</v>
      </c>
      <c r="K1025" s="28">
        <v>44.0</v>
      </c>
      <c r="P1025" s="134"/>
    </row>
    <row r="1026">
      <c r="C1026" s="124"/>
      <c r="H1026" s="28">
        <v>50.0</v>
      </c>
      <c r="J1026" s="28">
        <v>0.56</v>
      </c>
      <c r="K1026" s="28">
        <v>44.0</v>
      </c>
      <c r="P1026" s="134"/>
    </row>
    <row r="1027">
      <c r="C1027" s="124"/>
      <c r="H1027" s="28">
        <v>41.0</v>
      </c>
      <c r="J1027" s="28">
        <v>0.46</v>
      </c>
      <c r="K1027" s="28">
        <v>45.0</v>
      </c>
      <c r="P1027" s="134"/>
    </row>
    <row r="1028">
      <c r="C1028" s="124"/>
      <c r="H1028" s="28">
        <v>47.0</v>
      </c>
      <c r="J1028" s="28">
        <v>0.46</v>
      </c>
      <c r="K1028" s="28">
        <v>43.0</v>
      </c>
      <c r="P1028" s="134"/>
    </row>
    <row r="1029">
      <c r="C1029" s="124"/>
      <c r="H1029" s="28">
        <v>42.0</v>
      </c>
      <c r="J1029" s="28">
        <v>0.56</v>
      </c>
      <c r="K1029" s="28">
        <v>46.0</v>
      </c>
      <c r="P1029" s="134"/>
    </row>
    <row r="1030">
      <c r="C1030" s="124"/>
      <c r="H1030" s="28">
        <v>45.0</v>
      </c>
      <c r="J1030" s="28">
        <v>0.51</v>
      </c>
      <c r="K1030" s="28">
        <v>42.0</v>
      </c>
      <c r="P1030" s="134"/>
    </row>
    <row r="1031">
      <c r="C1031" s="124"/>
      <c r="H1031" s="28">
        <v>44.0</v>
      </c>
      <c r="J1031" s="28">
        <v>0.5</v>
      </c>
      <c r="K1031" s="28">
        <v>45.0</v>
      </c>
      <c r="P1031" s="134"/>
    </row>
    <row r="1032">
      <c r="C1032" s="124"/>
      <c r="H1032" s="28">
        <v>44.0</v>
      </c>
      <c r="J1032" s="28">
        <v>0.58</v>
      </c>
      <c r="K1032" s="28">
        <v>42.0</v>
      </c>
      <c r="P1032" s="134"/>
    </row>
    <row r="1033">
      <c r="C1033" s="124"/>
      <c r="H1033" s="28">
        <v>45.0</v>
      </c>
      <c r="J1033" s="28">
        <v>0.53</v>
      </c>
      <c r="K1033" s="28">
        <v>39.0</v>
      </c>
      <c r="P1033" s="134"/>
    </row>
    <row r="1034">
      <c r="C1034" s="124"/>
      <c r="H1034" s="28">
        <v>43.0</v>
      </c>
      <c r="J1034" s="28">
        <v>0.45</v>
      </c>
      <c r="K1034" s="28">
        <v>36.0</v>
      </c>
      <c r="P1034" s="134"/>
    </row>
    <row r="1035">
      <c r="C1035" s="124"/>
      <c r="H1035" s="28">
        <v>46.0</v>
      </c>
      <c r="J1035" s="28">
        <v>0.52</v>
      </c>
      <c r="K1035" s="28">
        <v>45.0</v>
      </c>
      <c r="P1035" s="134"/>
    </row>
    <row r="1036">
      <c r="C1036" s="124"/>
      <c r="H1036" s="28">
        <v>47.0</v>
      </c>
      <c r="J1036" s="28">
        <v>0.53</v>
      </c>
      <c r="K1036" s="28">
        <v>45.0</v>
      </c>
      <c r="P1036" s="134"/>
    </row>
    <row r="1037">
      <c r="C1037" s="124"/>
      <c r="H1037" s="28">
        <v>43.0</v>
      </c>
      <c r="J1037" s="28">
        <v>0.55</v>
      </c>
      <c r="K1037" s="28">
        <v>45.0</v>
      </c>
      <c r="P1037" s="134"/>
    </row>
    <row r="1038">
      <c r="C1038" s="124"/>
      <c r="H1038" s="28">
        <v>46.0</v>
      </c>
      <c r="J1038" s="28">
        <v>0.48</v>
      </c>
      <c r="K1038" s="28">
        <v>40.0</v>
      </c>
      <c r="P1038" s="134"/>
    </row>
    <row r="1039">
      <c r="C1039" s="124"/>
      <c r="H1039" s="28">
        <v>48.0</v>
      </c>
      <c r="J1039" s="28">
        <v>0.51</v>
      </c>
      <c r="K1039" s="28">
        <v>42.0</v>
      </c>
      <c r="P1039" s="134"/>
    </row>
    <row r="1040">
      <c r="C1040" s="124"/>
      <c r="H1040" s="28">
        <v>44.0</v>
      </c>
      <c r="J1040" s="28">
        <v>0.53</v>
      </c>
      <c r="K1040" s="28">
        <v>44.0</v>
      </c>
      <c r="P1040" s="134"/>
    </row>
    <row r="1041">
      <c r="C1041" s="124"/>
      <c r="H1041" s="28">
        <v>43.0</v>
      </c>
      <c r="J1041" s="28">
        <v>0.5</v>
      </c>
      <c r="K1041" s="28">
        <v>43.0</v>
      </c>
      <c r="P1041" s="134"/>
    </row>
    <row r="1042">
      <c r="C1042" s="124"/>
      <c r="H1042" s="28">
        <v>42.0</v>
      </c>
      <c r="J1042" s="28">
        <v>0.53</v>
      </c>
      <c r="K1042" s="28">
        <v>42.0</v>
      </c>
      <c r="P1042" s="134"/>
    </row>
    <row r="1043">
      <c r="C1043" s="124"/>
      <c r="H1043" s="28">
        <v>45.0</v>
      </c>
      <c r="J1043" s="28">
        <v>0.46</v>
      </c>
      <c r="K1043" s="28">
        <v>39.0</v>
      </c>
      <c r="P1043" s="134"/>
    </row>
    <row r="1044">
      <c r="C1044" s="124"/>
      <c r="H1044" s="28">
        <v>42.0</v>
      </c>
      <c r="J1044" s="28">
        <v>0.48</v>
      </c>
      <c r="K1044" s="28">
        <v>38.0</v>
      </c>
      <c r="P1044" s="134"/>
    </row>
    <row r="1045">
      <c r="C1045" s="124"/>
      <c r="H1045" s="28">
        <v>46.0</v>
      </c>
      <c r="J1045" s="28">
        <v>0.53</v>
      </c>
      <c r="K1045" s="28">
        <v>45.0</v>
      </c>
      <c r="P1045" s="134"/>
    </row>
    <row r="1046">
      <c r="C1046" s="124"/>
      <c r="H1046" s="28">
        <v>44.0</v>
      </c>
      <c r="J1046" s="28">
        <v>0.52</v>
      </c>
      <c r="K1046" s="28">
        <v>43.0</v>
      </c>
      <c r="P1046" s="134"/>
    </row>
    <row r="1047">
      <c r="C1047" s="124"/>
      <c r="H1047" s="28">
        <v>41.0</v>
      </c>
      <c r="J1047" s="28">
        <v>0.52</v>
      </c>
      <c r="K1047" s="28">
        <v>38.0</v>
      </c>
      <c r="P1047" s="134"/>
    </row>
    <row r="1048">
      <c r="C1048" s="124"/>
      <c r="H1048" s="28">
        <v>52.0</v>
      </c>
      <c r="J1048" s="28">
        <v>0.59</v>
      </c>
      <c r="K1048" s="28">
        <v>38.0</v>
      </c>
      <c r="P1048" s="134"/>
    </row>
    <row r="1049">
      <c r="C1049" s="124"/>
      <c r="H1049" s="28">
        <v>48.0</v>
      </c>
      <c r="J1049" s="28">
        <v>0.5</v>
      </c>
      <c r="K1049" s="28">
        <v>43.0</v>
      </c>
      <c r="P1049" s="134"/>
    </row>
    <row r="1050">
      <c r="C1050" s="124"/>
      <c r="H1050" s="28">
        <v>46.0</v>
      </c>
      <c r="J1050" s="28">
        <v>0.48</v>
      </c>
      <c r="K1050" s="28">
        <v>41.0</v>
      </c>
      <c r="P1050" s="134"/>
    </row>
    <row r="1051">
      <c r="C1051" s="124"/>
      <c r="H1051" s="28">
        <v>48.0</v>
      </c>
      <c r="J1051" s="28">
        <v>0.5</v>
      </c>
      <c r="K1051" s="28">
        <v>38.0</v>
      </c>
      <c r="P1051" s="134"/>
    </row>
    <row r="1052">
      <c r="C1052" s="124"/>
      <c r="H1052" s="28">
        <v>48.0</v>
      </c>
      <c r="J1052" s="28">
        <v>0.54</v>
      </c>
      <c r="K1052" s="28">
        <v>37.0</v>
      </c>
      <c r="P1052" s="134"/>
    </row>
    <row r="1053">
      <c r="C1053" s="124"/>
      <c r="H1053" s="28">
        <v>42.0</v>
      </c>
      <c r="J1053" s="28">
        <v>0.51</v>
      </c>
      <c r="K1053" s="28">
        <v>41.0</v>
      </c>
      <c r="P1053" s="134"/>
    </row>
    <row r="1054">
      <c r="C1054" s="124"/>
      <c r="H1054" s="28">
        <v>41.0</v>
      </c>
      <c r="J1054" s="28">
        <v>0.51</v>
      </c>
      <c r="K1054" s="28">
        <v>44.0</v>
      </c>
      <c r="P1054" s="134"/>
    </row>
    <row r="1055">
      <c r="C1055" s="124"/>
      <c r="H1055" s="28">
        <v>44.0</v>
      </c>
      <c r="J1055" s="28">
        <v>0.48</v>
      </c>
      <c r="K1055" s="28">
        <v>40.0</v>
      </c>
      <c r="P1055" s="134"/>
    </row>
    <row r="1056">
      <c r="C1056" s="124"/>
      <c r="H1056" s="28">
        <v>40.0</v>
      </c>
      <c r="J1056" s="28">
        <v>0.49</v>
      </c>
      <c r="K1056" s="28">
        <v>45.0</v>
      </c>
      <c r="P1056" s="134"/>
    </row>
    <row r="1057">
      <c r="C1057" s="124"/>
      <c r="H1057" s="28">
        <v>49.0</v>
      </c>
      <c r="J1057" s="28">
        <v>0.51</v>
      </c>
      <c r="K1057" s="28">
        <v>46.0</v>
      </c>
      <c r="P1057" s="134"/>
    </row>
    <row r="1058">
      <c r="C1058" s="124"/>
      <c r="H1058" s="28">
        <v>48.0</v>
      </c>
      <c r="J1058" s="28">
        <v>0.53</v>
      </c>
      <c r="K1058" s="28">
        <v>41.0</v>
      </c>
      <c r="P1058" s="134"/>
    </row>
    <row r="1059">
      <c r="C1059" s="124"/>
      <c r="H1059" s="28">
        <v>38.0</v>
      </c>
      <c r="J1059" s="28">
        <v>0.51</v>
      </c>
      <c r="K1059" s="28">
        <v>47.0</v>
      </c>
      <c r="P1059" s="134"/>
    </row>
    <row r="1060">
      <c r="C1060" s="124"/>
      <c r="H1060" s="28">
        <v>44.0</v>
      </c>
      <c r="J1060" s="28">
        <v>0.53</v>
      </c>
      <c r="K1060" s="28">
        <v>38.0</v>
      </c>
      <c r="P1060" s="134"/>
    </row>
    <row r="1061">
      <c r="C1061" s="124"/>
      <c r="H1061" s="28">
        <v>45.0</v>
      </c>
      <c r="J1061" s="28">
        <v>0.53</v>
      </c>
      <c r="K1061" s="28">
        <v>42.0</v>
      </c>
      <c r="P1061" s="134"/>
    </row>
    <row r="1062">
      <c r="C1062" s="124"/>
      <c r="H1062" s="28">
        <v>41.0</v>
      </c>
      <c r="J1062" s="28">
        <v>0.49</v>
      </c>
      <c r="K1062" s="28">
        <v>44.0</v>
      </c>
      <c r="P1062" s="134"/>
    </row>
    <row r="1063">
      <c r="C1063" s="124"/>
      <c r="H1063" s="28">
        <v>40.0</v>
      </c>
      <c r="J1063" s="28">
        <v>0.53</v>
      </c>
      <c r="K1063" s="28">
        <v>40.0</v>
      </c>
      <c r="P1063" s="134"/>
    </row>
    <row r="1064">
      <c r="C1064" s="124"/>
      <c r="H1064" s="28">
        <v>46.0</v>
      </c>
      <c r="J1064" s="28">
        <v>0.61</v>
      </c>
      <c r="K1064" s="28">
        <v>38.0</v>
      </c>
      <c r="P1064" s="134"/>
    </row>
    <row r="1065">
      <c r="C1065" s="124"/>
      <c r="H1065" s="28">
        <v>41.0</v>
      </c>
      <c r="J1065" s="28">
        <v>0.47</v>
      </c>
      <c r="K1065" s="28">
        <v>43.0</v>
      </c>
      <c r="P1065" s="134"/>
    </row>
    <row r="1066">
      <c r="C1066" s="124"/>
      <c r="H1066" s="28">
        <v>46.0</v>
      </c>
      <c r="J1066" s="28">
        <v>0.5</v>
      </c>
      <c r="K1066" s="28">
        <v>40.0</v>
      </c>
      <c r="P1066" s="134"/>
    </row>
    <row r="1067">
      <c r="C1067" s="124"/>
      <c r="H1067" s="28">
        <v>41.0</v>
      </c>
      <c r="J1067" s="28">
        <v>0.55</v>
      </c>
      <c r="K1067" s="28">
        <v>41.0</v>
      </c>
      <c r="P1067" s="134"/>
    </row>
    <row r="1068">
      <c r="C1068" s="124"/>
      <c r="H1068" s="28">
        <v>43.0</v>
      </c>
      <c r="J1068" s="28">
        <v>0.52</v>
      </c>
      <c r="K1068" s="28">
        <v>39.0</v>
      </c>
      <c r="P1068" s="134"/>
    </row>
    <row r="1069">
      <c r="C1069" s="124"/>
      <c r="H1069" s="28">
        <v>44.0</v>
      </c>
      <c r="J1069" s="28">
        <v>0.5</v>
      </c>
      <c r="K1069" s="28">
        <v>39.0</v>
      </c>
      <c r="P1069" s="134"/>
    </row>
    <row r="1070">
      <c r="C1070" s="124"/>
      <c r="H1070" s="28">
        <v>44.0</v>
      </c>
      <c r="J1070" s="28">
        <v>0.53</v>
      </c>
      <c r="K1070" s="28">
        <v>44.0</v>
      </c>
      <c r="P1070" s="134"/>
    </row>
    <row r="1071">
      <c r="C1071" s="124"/>
      <c r="H1071" s="28">
        <v>42.0</v>
      </c>
      <c r="J1071" s="28">
        <v>0.53</v>
      </c>
      <c r="K1071" s="28">
        <v>41.0</v>
      </c>
      <c r="P1071" s="134"/>
    </row>
    <row r="1072">
      <c r="C1072" s="124"/>
      <c r="H1072" s="28">
        <v>42.0</v>
      </c>
      <c r="J1072" s="28">
        <v>0.51</v>
      </c>
      <c r="K1072" s="28">
        <v>36.0</v>
      </c>
      <c r="P1072" s="134"/>
    </row>
    <row r="1073">
      <c r="C1073" s="124"/>
      <c r="H1073" s="28">
        <v>48.0</v>
      </c>
      <c r="J1073" s="28">
        <v>0.49</v>
      </c>
      <c r="K1073" s="28">
        <v>44.0</v>
      </c>
      <c r="P1073" s="134"/>
    </row>
    <row r="1074">
      <c r="C1074" s="124"/>
      <c r="H1074" s="28">
        <v>45.0</v>
      </c>
      <c r="J1074" s="28">
        <v>0.5</v>
      </c>
      <c r="K1074" s="28">
        <v>42.0</v>
      </c>
      <c r="P1074" s="134"/>
    </row>
    <row r="1075">
      <c r="C1075" s="124"/>
      <c r="H1075" s="28">
        <v>44.0</v>
      </c>
      <c r="J1075" s="28">
        <v>0.45</v>
      </c>
      <c r="K1075" s="28">
        <v>36.0</v>
      </c>
      <c r="P1075" s="134"/>
    </row>
    <row r="1076">
      <c r="C1076" s="124"/>
      <c r="H1076" s="28">
        <v>45.0</v>
      </c>
      <c r="J1076" s="28">
        <v>0.51</v>
      </c>
      <c r="K1076" s="28">
        <v>42.0</v>
      </c>
      <c r="P1076" s="134"/>
    </row>
    <row r="1077">
      <c r="C1077" s="124"/>
      <c r="H1077" s="28">
        <v>44.0</v>
      </c>
      <c r="J1077" s="28">
        <v>0.51</v>
      </c>
      <c r="K1077" s="28">
        <v>48.0</v>
      </c>
      <c r="P1077" s="134"/>
    </row>
    <row r="1078">
      <c r="C1078" s="124"/>
      <c r="H1078" s="28">
        <v>44.0</v>
      </c>
      <c r="J1078" s="28">
        <v>0.56</v>
      </c>
      <c r="K1078" s="28">
        <v>37.0</v>
      </c>
      <c r="P1078" s="134"/>
    </row>
    <row r="1079">
      <c r="C1079" s="124"/>
      <c r="H1079" s="28">
        <v>45.0</v>
      </c>
      <c r="J1079" s="28">
        <v>0.53</v>
      </c>
      <c r="K1079" s="28">
        <v>46.0</v>
      </c>
      <c r="P1079" s="134"/>
    </row>
    <row r="1080">
      <c r="C1080" s="124"/>
      <c r="H1080" s="28">
        <v>44.0</v>
      </c>
      <c r="J1080" s="28">
        <v>0.51</v>
      </c>
      <c r="K1080" s="28">
        <v>41.0</v>
      </c>
      <c r="P1080" s="134"/>
    </row>
    <row r="1081">
      <c r="C1081" s="124"/>
      <c r="H1081" s="28">
        <v>40.0</v>
      </c>
      <c r="J1081" s="28">
        <v>0.49</v>
      </c>
      <c r="K1081" s="28">
        <v>41.0</v>
      </c>
      <c r="P1081" s="134"/>
    </row>
    <row r="1082">
      <c r="C1082" s="124"/>
      <c r="H1082" s="28">
        <v>45.0</v>
      </c>
      <c r="J1082" s="28">
        <v>0.5</v>
      </c>
      <c r="K1082" s="28">
        <v>43.0</v>
      </c>
      <c r="P1082" s="134"/>
    </row>
    <row r="1083">
      <c r="C1083" s="124"/>
      <c r="H1083" s="28">
        <v>46.0</v>
      </c>
      <c r="J1083" s="28">
        <v>0.53</v>
      </c>
      <c r="K1083" s="28">
        <v>44.0</v>
      </c>
      <c r="P1083" s="134"/>
    </row>
    <row r="1084">
      <c r="C1084" s="124"/>
      <c r="H1084" s="28">
        <v>43.0</v>
      </c>
      <c r="J1084" s="28">
        <v>0.47</v>
      </c>
      <c r="K1084" s="28">
        <v>39.0</v>
      </c>
      <c r="P1084" s="134"/>
    </row>
    <row r="1085">
      <c r="C1085" s="124"/>
      <c r="H1085" s="28">
        <v>48.0</v>
      </c>
      <c r="J1085" s="28">
        <v>0.55</v>
      </c>
      <c r="K1085" s="28">
        <v>44.0</v>
      </c>
      <c r="P1085" s="134"/>
    </row>
    <row r="1086">
      <c r="C1086" s="124"/>
      <c r="H1086" s="28">
        <v>41.0</v>
      </c>
      <c r="J1086" s="28">
        <v>0.5</v>
      </c>
      <c r="K1086" s="28">
        <v>48.0</v>
      </c>
      <c r="P1086" s="134"/>
    </row>
    <row r="1087">
      <c r="C1087" s="124"/>
      <c r="H1087" s="28">
        <v>48.0</v>
      </c>
      <c r="J1087" s="28">
        <v>0.52</v>
      </c>
      <c r="K1087" s="28">
        <v>42.0</v>
      </c>
      <c r="P1087" s="134"/>
    </row>
    <row r="1088">
      <c r="C1088" s="124"/>
      <c r="H1088" s="28">
        <v>46.0</v>
      </c>
      <c r="J1088" s="28">
        <v>0.56</v>
      </c>
      <c r="K1088" s="28">
        <v>43.0</v>
      </c>
      <c r="P1088" s="134"/>
    </row>
    <row r="1089">
      <c r="C1089" s="124"/>
      <c r="H1089" s="28">
        <v>42.0</v>
      </c>
      <c r="J1089" s="28">
        <v>0.49</v>
      </c>
      <c r="K1089" s="28">
        <v>46.0</v>
      </c>
      <c r="P1089" s="134"/>
    </row>
    <row r="1090">
      <c r="C1090" s="124"/>
      <c r="H1090" s="28">
        <v>47.0</v>
      </c>
      <c r="J1090" s="28">
        <v>0.52</v>
      </c>
      <c r="K1090" s="28">
        <v>43.0</v>
      </c>
      <c r="P1090" s="134"/>
    </row>
    <row r="1091">
      <c r="C1091" s="124"/>
      <c r="H1091" s="28">
        <v>41.0</v>
      </c>
      <c r="J1091" s="28">
        <v>0.52</v>
      </c>
      <c r="K1091" s="28">
        <v>45.0</v>
      </c>
      <c r="P1091" s="134"/>
    </row>
    <row r="1092">
      <c r="C1092" s="124"/>
      <c r="H1092" s="28">
        <v>40.0</v>
      </c>
      <c r="J1092" s="28">
        <v>0.54</v>
      </c>
      <c r="K1092" s="28">
        <v>40.0</v>
      </c>
      <c r="P1092" s="134"/>
    </row>
    <row r="1093">
      <c r="C1093" s="124"/>
      <c r="H1093" s="28">
        <v>46.0</v>
      </c>
      <c r="J1093" s="28">
        <v>0.53</v>
      </c>
      <c r="K1093" s="28">
        <v>45.0</v>
      </c>
      <c r="P1093" s="134"/>
    </row>
    <row r="1094">
      <c r="C1094" s="124"/>
      <c r="H1094" s="28">
        <v>47.0</v>
      </c>
      <c r="J1094" s="28">
        <v>0.48</v>
      </c>
      <c r="K1094" s="28">
        <v>41.0</v>
      </c>
      <c r="P1094" s="134"/>
    </row>
    <row r="1095">
      <c r="C1095" s="124"/>
      <c r="H1095" s="28">
        <v>36.0</v>
      </c>
      <c r="J1095" s="28">
        <v>0.55</v>
      </c>
      <c r="K1095" s="28">
        <v>45.0</v>
      </c>
      <c r="P1095" s="134"/>
    </row>
    <row r="1096">
      <c r="C1096" s="124"/>
      <c r="H1096" s="28">
        <v>46.0</v>
      </c>
      <c r="J1096" s="28">
        <v>0.5</v>
      </c>
      <c r="K1096" s="28">
        <v>37.0</v>
      </c>
      <c r="P1096" s="134"/>
    </row>
    <row r="1097">
      <c r="C1097" s="124"/>
      <c r="H1097" s="28">
        <v>44.0</v>
      </c>
      <c r="J1097" s="28">
        <v>0.52</v>
      </c>
      <c r="K1097" s="28">
        <v>46.0</v>
      </c>
      <c r="P1097" s="134"/>
    </row>
    <row r="1098">
      <c r="C1098" s="124"/>
      <c r="H1098" s="28">
        <v>48.0</v>
      </c>
      <c r="J1098" s="28">
        <v>0.5</v>
      </c>
      <c r="K1098" s="28">
        <v>48.0</v>
      </c>
      <c r="P1098" s="134"/>
    </row>
    <row r="1099">
      <c r="C1099" s="124"/>
      <c r="H1099" s="28">
        <v>46.0</v>
      </c>
      <c r="J1099" s="28">
        <v>0.51</v>
      </c>
      <c r="K1099" s="28">
        <v>43.0</v>
      </c>
      <c r="P1099" s="134"/>
    </row>
    <row r="1100">
      <c r="C1100" s="124"/>
      <c r="H1100" s="28">
        <v>47.0</v>
      </c>
      <c r="J1100" s="28">
        <v>0.51</v>
      </c>
      <c r="K1100" s="28">
        <v>42.0</v>
      </c>
      <c r="P1100" s="134"/>
    </row>
    <row r="1101">
      <c r="C1101" s="124"/>
      <c r="H1101" s="28">
        <v>43.0</v>
      </c>
      <c r="J1101" s="28">
        <v>0.47</v>
      </c>
      <c r="K1101" s="28">
        <v>45.0</v>
      </c>
      <c r="P1101" s="134"/>
    </row>
    <row r="1102">
      <c r="C1102" s="124"/>
      <c r="H1102" s="28">
        <v>46.0</v>
      </c>
      <c r="J1102" s="28">
        <v>0.52</v>
      </c>
      <c r="K1102" s="28">
        <v>48.0</v>
      </c>
      <c r="P1102" s="134"/>
    </row>
    <row r="1103">
      <c r="C1103" s="124"/>
      <c r="H1103" s="28">
        <v>46.0</v>
      </c>
      <c r="J1103" s="28">
        <v>0.49</v>
      </c>
      <c r="K1103" s="28">
        <v>44.0</v>
      </c>
      <c r="P1103" s="134"/>
    </row>
    <row r="1104">
      <c r="C1104" s="124"/>
      <c r="H1104" s="28">
        <v>47.0</v>
      </c>
      <c r="J1104" s="28">
        <v>0.51</v>
      </c>
      <c r="K1104" s="28">
        <v>41.0</v>
      </c>
      <c r="P1104" s="134"/>
    </row>
    <row r="1105">
      <c r="C1105" s="124"/>
      <c r="H1105" s="28">
        <v>47.0</v>
      </c>
      <c r="J1105" s="28">
        <v>0.52</v>
      </c>
      <c r="K1105" s="28">
        <v>46.0</v>
      </c>
      <c r="P1105" s="134"/>
    </row>
    <row r="1106">
      <c r="C1106" s="124"/>
      <c r="H1106" s="28">
        <v>47.0</v>
      </c>
      <c r="J1106" s="28">
        <v>0.55</v>
      </c>
      <c r="K1106" s="28">
        <v>40.0</v>
      </c>
      <c r="P1106" s="134"/>
    </row>
    <row r="1107">
      <c r="C1107" s="124"/>
      <c r="H1107" s="28">
        <v>39.0</v>
      </c>
      <c r="J1107" s="28">
        <v>0.52</v>
      </c>
      <c r="K1107" s="28">
        <v>41.0</v>
      </c>
      <c r="P1107" s="134"/>
    </row>
    <row r="1108">
      <c r="C1108" s="124"/>
      <c r="H1108" s="28">
        <v>44.0</v>
      </c>
      <c r="J1108" s="28">
        <v>0.52</v>
      </c>
      <c r="K1108" s="28">
        <v>40.0</v>
      </c>
      <c r="P1108" s="134"/>
    </row>
    <row r="1109">
      <c r="C1109" s="124"/>
      <c r="H1109" s="28">
        <v>48.0</v>
      </c>
      <c r="J1109" s="28">
        <v>0.51</v>
      </c>
      <c r="K1109" s="28">
        <v>52.0</v>
      </c>
      <c r="P1109" s="134"/>
    </row>
    <row r="1110">
      <c r="C1110" s="124"/>
      <c r="H1110" s="28">
        <v>48.0</v>
      </c>
      <c r="J1110" s="28">
        <v>0.56</v>
      </c>
      <c r="K1110" s="28">
        <v>46.0</v>
      </c>
      <c r="P1110" s="134"/>
    </row>
    <row r="1111">
      <c r="C1111" s="124"/>
      <c r="H1111" s="28">
        <v>45.0</v>
      </c>
      <c r="J1111" s="28">
        <v>0.52</v>
      </c>
      <c r="K1111" s="28">
        <v>38.0</v>
      </c>
      <c r="P1111" s="134"/>
    </row>
    <row r="1112">
      <c r="C1112" s="124"/>
      <c r="H1112" s="28">
        <v>46.0</v>
      </c>
      <c r="J1112" s="28">
        <v>0.52</v>
      </c>
      <c r="K1112" s="28">
        <v>45.0</v>
      </c>
      <c r="P1112" s="134"/>
    </row>
    <row r="1113">
      <c r="C1113" s="124"/>
      <c r="H1113" s="28">
        <v>43.0</v>
      </c>
      <c r="J1113" s="28">
        <v>0.57</v>
      </c>
      <c r="K1113" s="28">
        <v>47.0</v>
      </c>
      <c r="P1113" s="134"/>
    </row>
    <row r="1114">
      <c r="C1114" s="124"/>
      <c r="H1114" s="28">
        <v>43.0</v>
      </c>
      <c r="J1114" s="28">
        <v>0.51</v>
      </c>
      <c r="K1114" s="28">
        <v>47.0</v>
      </c>
      <c r="P1114" s="134"/>
    </row>
    <row r="1115">
      <c r="C1115" s="124"/>
      <c r="H1115" s="28">
        <v>39.0</v>
      </c>
      <c r="J1115" s="28">
        <v>0.51</v>
      </c>
      <c r="K1115" s="28">
        <v>48.0</v>
      </c>
      <c r="P1115" s="134"/>
    </row>
    <row r="1116">
      <c r="C1116" s="124"/>
      <c r="H1116" s="28">
        <v>39.0</v>
      </c>
      <c r="J1116" s="28">
        <v>0.51</v>
      </c>
      <c r="K1116" s="28">
        <v>44.0</v>
      </c>
      <c r="P1116" s="134"/>
    </row>
    <row r="1117">
      <c r="C1117" s="124"/>
      <c r="H1117" s="28">
        <v>44.0</v>
      </c>
      <c r="J1117" s="28">
        <v>0.45</v>
      </c>
      <c r="K1117" s="28">
        <v>44.0</v>
      </c>
      <c r="P1117" s="134"/>
    </row>
    <row r="1118">
      <c r="C1118" s="124"/>
      <c r="H1118" s="28">
        <v>44.0</v>
      </c>
      <c r="J1118" s="28">
        <v>0.46</v>
      </c>
      <c r="K1118" s="28">
        <v>43.0</v>
      </c>
      <c r="P1118" s="134"/>
    </row>
    <row r="1119">
      <c r="C1119" s="124"/>
      <c r="H1119" s="28">
        <v>41.0</v>
      </c>
      <c r="J1119" s="28">
        <v>0.48</v>
      </c>
      <c r="K1119" s="28">
        <v>43.0</v>
      </c>
      <c r="P1119" s="134"/>
    </row>
    <row r="1120">
      <c r="C1120" s="124"/>
      <c r="H1120" s="28">
        <v>45.0</v>
      </c>
      <c r="J1120" s="28">
        <v>0.44</v>
      </c>
      <c r="K1120" s="28">
        <v>42.0</v>
      </c>
      <c r="P1120" s="134"/>
    </row>
    <row r="1121">
      <c r="C1121" s="124"/>
      <c r="H1121" s="28">
        <v>46.0</v>
      </c>
      <c r="J1121" s="28">
        <v>0.43</v>
      </c>
      <c r="K1121" s="28">
        <v>42.0</v>
      </c>
      <c r="P1121" s="134"/>
    </row>
    <row r="1122">
      <c r="C1122" s="124"/>
      <c r="H1122" s="28">
        <v>39.0</v>
      </c>
      <c r="J1122" s="28">
        <v>0.52</v>
      </c>
      <c r="K1122" s="28">
        <v>36.0</v>
      </c>
      <c r="P1122" s="134"/>
    </row>
    <row r="1123">
      <c r="C1123" s="124"/>
      <c r="H1123" s="28">
        <v>45.0</v>
      </c>
      <c r="J1123" s="28">
        <v>0.47</v>
      </c>
      <c r="K1123" s="28">
        <v>40.0</v>
      </c>
      <c r="P1123" s="134"/>
    </row>
    <row r="1124">
      <c r="C1124" s="124"/>
      <c r="H1124" s="28">
        <v>45.0</v>
      </c>
      <c r="J1124" s="28">
        <v>0.46</v>
      </c>
      <c r="K1124" s="28">
        <v>40.0</v>
      </c>
      <c r="P1124" s="134"/>
    </row>
    <row r="1125">
      <c r="C1125" s="124"/>
      <c r="H1125" s="28">
        <v>45.0</v>
      </c>
      <c r="J1125" s="28">
        <v>0.49</v>
      </c>
      <c r="K1125" s="28">
        <v>39.0</v>
      </c>
      <c r="P1125" s="134"/>
    </row>
    <row r="1126">
      <c r="C1126" s="124"/>
      <c r="H1126" s="28">
        <v>41.0</v>
      </c>
      <c r="J1126" s="28">
        <v>0.44</v>
      </c>
      <c r="K1126" s="28">
        <v>42.0</v>
      </c>
      <c r="P1126" s="134"/>
    </row>
    <row r="1127">
      <c r="C1127" s="124"/>
      <c r="H1127" s="28">
        <v>41.0</v>
      </c>
      <c r="J1127" s="28">
        <v>0.48</v>
      </c>
      <c r="K1127" s="28">
        <v>42.0</v>
      </c>
      <c r="P1127" s="134"/>
    </row>
    <row r="1128">
      <c r="C1128" s="124"/>
      <c r="H1128" s="28">
        <v>37.0</v>
      </c>
      <c r="J1128" s="28">
        <v>0.52</v>
      </c>
      <c r="K1128" s="28">
        <v>44.0</v>
      </c>
      <c r="P1128" s="134"/>
    </row>
    <row r="1129">
      <c r="C1129" s="124"/>
      <c r="H1129" s="28">
        <v>40.0</v>
      </c>
      <c r="J1129" s="28">
        <v>0.48</v>
      </c>
      <c r="K1129" s="28">
        <v>44.0</v>
      </c>
      <c r="P1129" s="134"/>
    </row>
    <row r="1130">
      <c r="C1130" s="124"/>
      <c r="H1130" s="28">
        <v>43.0</v>
      </c>
      <c r="J1130" s="28">
        <v>0.51</v>
      </c>
      <c r="K1130" s="28">
        <v>45.0</v>
      </c>
      <c r="P1130" s="134"/>
    </row>
    <row r="1131">
      <c r="C1131" s="124"/>
      <c r="H1131" s="28">
        <v>41.0</v>
      </c>
      <c r="J1131" s="28">
        <v>0.51</v>
      </c>
      <c r="K1131" s="28">
        <v>48.0</v>
      </c>
      <c r="P1131" s="134"/>
    </row>
    <row r="1132">
      <c r="C1132" s="124"/>
      <c r="H1132" s="28">
        <v>46.0</v>
      </c>
      <c r="J1132" s="28">
        <v>0.49</v>
      </c>
      <c r="K1132" s="28">
        <v>38.0</v>
      </c>
      <c r="P1132" s="134"/>
    </row>
    <row r="1133">
      <c r="C1133" s="124"/>
      <c r="H1133" s="28">
        <v>44.0</v>
      </c>
      <c r="J1133" s="28">
        <v>0.51</v>
      </c>
      <c r="K1133" s="28">
        <v>38.0</v>
      </c>
      <c r="P1133" s="134"/>
    </row>
    <row r="1134">
      <c r="C1134" s="124"/>
      <c r="H1134" s="28">
        <v>42.0</v>
      </c>
      <c r="J1134" s="28">
        <v>0.46</v>
      </c>
      <c r="K1134" s="28">
        <v>38.0</v>
      </c>
      <c r="P1134" s="134"/>
    </row>
    <row r="1135">
      <c r="C1135" s="124"/>
      <c r="H1135" s="28">
        <v>46.0</v>
      </c>
      <c r="J1135" s="28">
        <v>0.47</v>
      </c>
      <c r="K1135" s="28">
        <v>45.0</v>
      </c>
      <c r="P1135" s="134"/>
    </row>
    <row r="1136">
      <c r="C1136" s="124"/>
      <c r="H1136" s="28">
        <v>43.0</v>
      </c>
      <c r="J1136" s="28">
        <v>0.57</v>
      </c>
      <c r="K1136" s="28">
        <v>45.0</v>
      </c>
      <c r="P1136" s="134"/>
    </row>
    <row r="1137">
      <c r="C1137" s="124"/>
      <c r="H1137" s="28">
        <v>41.0</v>
      </c>
      <c r="J1137" s="28">
        <v>0.56</v>
      </c>
      <c r="K1137" s="28">
        <v>45.0</v>
      </c>
      <c r="P1137" s="134"/>
    </row>
    <row r="1138">
      <c r="C1138" s="124"/>
      <c r="H1138" s="28">
        <v>44.0</v>
      </c>
      <c r="J1138" s="28">
        <v>0.48</v>
      </c>
      <c r="K1138" s="28">
        <v>41.0</v>
      </c>
      <c r="P1138" s="134"/>
    </row>
    <row r="1139">
      <c r="C1139" s="124"/>
      <c r="H1139" s="28">
        <v>48.0</v>
      </c>
      <c r="J1139" s="28">
        <v>0.44</v>
      </c>
      <c r="K1139" s="28">
        <v>37.0</v>
      </c>
      <c r="P1139" s="134"/>
    </row>
    <row r="1140">
      <c r="C1140" s="124"/>
      <c r="H1140" s="28">
        <v>41.0</v>
      </c>
      <c r="J1140" s="28">
        <v>0.48</v>
      </c>
      <c r="K1140" s="28">
        <v>44.0</v>
      </c>
      <c r="P1140" s="134"/>
    </row>
    <row r="1141">
      <c r="C1141" s="124"/>
      <c r="H1141" s="28">
        <v>41.0</v>
      </c>
      <c r="J1141" s="28">
        <v>0.47</v>
      </c>
      <c r="K1141" s="28">
        <v>37.0</v>
      </c>
      <c r="P1141" s="134"/>
    </row>
    <row r="1142">
      <c r="C1142" s="124"/>
      <c r="H1142" s="28">
        <v>41.0</v>
      </c>
      <c r="J1142" s="28">
        <v>0.41</v>
      </c>
      <c r="K1142" s="28">
        <v>39.0</v>
      </c>
      <c r="P1142" s="134"/>
    </row>
    <row r="1143">
      <c r="C1143" s="124"/>
      <c r="H1143" s="28">
        <v>42.0</v>
      </c>
      <c r="J1143" s="28">
        <v>0.46</v>
      </c>
      <c r="K1143" s="28">
        <v>47.0</v>
      </c>
      <c r="P1143" s="134"/>
    </row>
    <row r="1144">
      <c r="C1144" s="124"/>
      <c r="H1144" s="28">
        <v>41.0</v>
      </c>
      <c r="J1144" s="28">
        <v>0.44</v>
      </c>
      <c r="K1144" s="28">
        <v>38.0</v>
      </c>
      <c r="P1144" s="134"/>
    </row>
    <row r="1145">
      <c r="C1145" s="124"/>
      <c r="H1145" s="28">
        <v>43.0</v>
      </c>
      <c r="J1145" s="28">
        <v>0.48</v>
      </c>
      <c r="K1145" s="28">
        <v>38.0</v>
      </c>
      <c r="P1145" s="134"/>
    </row>
    <row r="1146">
      <c r="C1146" s="124"/>
      <c r="H1146" s="28">
        <v>40.0</v>
      </c>
      <c r="J1146" s="28">
        <v>0.5</v>
      </c>
      <c r="K1146" s="28">
        <v>39.0</v>
      </c>
      <c r="P1146" s="134"/>
    </row>
    <row r="1147">
      <c r="C1147" s="124"/>
      <c r="H1147" s="28">
        <v>41.0</v>
      </c>
      <c r="J1147" s="28">
        <v>0.47</v>
      </c>
      <c r="K1147" s="28">
        <v>41.0</v>
      </c>
      <c r="P1147" s="134"/>
    </row>
    <row r="1148">
      <c r="C1148" s="124"/>
      <c r="H1148" s="28">
        <v>47.0</v>
      </c>
      <c r="J1148" s="28">
        <v>0.49</v>
      </c>
      <c r="K1148" s="28">
        <v>41.0</v>
      </c>
      <c r="P1148" s="134"/>
    </row>
    <row r="1149">
      <c r="C1149" s="124"/>
      <c r="H1149" s="28">
        <v>42.0</v>
      </c>
      <c r="J1149" s="28">
        <v>0.48</v>
      </c>
      <c r="K1149" s="28">
        <v>38.0</v>
      </c>
      <c r="P1149" s="134"/>
    </row>
    <row r="1150">
      <c r="C1150" s="124"/>
      <c r="H1150" s="28">
        <v>45.0</v>
      </c>
      <c r="J1150" s="28">
        <v>0.5</v>
      </c>
      <c r="K1150" s="28">
        <v>42.0</v>
      </c>
      <c r="P1150" s="134"/>
    </row>
    <row r="1151">
      <c r="C1151" s="124"/>
      <c r="H1151" s="28">
        <v>44.0</v>
      </c>
      <c r="J1151" s="28">
        <v>0.47</v>
      </c>
      <c r="K1151" s="28">
        <v>46.0</v>
      </c>
      <c r="P1151" s="134"/>
    </row>
    <row r="1152">
      <c r="C1152" s="124"/>
      <c r="H1152" s="28">
        <v>39.0</v>
      </c>
      <c r="J1152" s="28">
        <v>0.48</v>
      </c>
      <c r="K1152" s="28">
        <v>45.0</v>
      </c>
      <c r="P1152" s="134"/>
    </row>
    <row r="1153">
      <c r="C1153" s="124"/>
      <c r="H1153" s="28">
        <v>47.0</v>
      </c>
      <c r="J1153" s="28">
        <v>0.45</v>
      </c>
      <c r="K1153" s="28">
        <v>46.0</v>
      </c>
      <c r="P1153" s="134"/>
    </row>
    <row r="1154">
      <c r="C1154" s="124"/>
      <c r="H1154" s="28">
        <v>46.0</v>
      </c>
      <c r="J1154" s="28">
        <v>0.42</v>
      </c>
      <c r="K1154" s="28">
        <v>44.0</v>
      </c>
      <c r="P1154" s="134"/>
    </row>
    <row r="1155">
      <c r="C1155" s="124"/>
      <c r="H1155" s="28">
        <v>50.0</v>
      </c>
      <c r="J1155" s="28">
        <v>0.42</v>
      </c>
      <c r="K1155" s="28">
        <v>48.0</v>
      </c>
      <c r="P1155" s="134"/>
    </row>
    <row r="1156">
      <c r="C1156" s="124"/>
      <c r="H1156" s="28">
        <v>50.0</v>
      </c>
      <c r="J1156" s="28">
        <v>0.44</v>
      </c>
      <c r="K1156" s="28">
        <v>42.0</v>
      </c>
      <c r="P1156" s="134"/>
    </row>
    <row r="1157">
      <c r="C1157" s="124"/>
      <c r="H1157" s="28">
        <v>48.0</v>
      </c>
      <c r="J1157" s="28">
        <v>0.48</v>
      </c>
      <c r="K1157" s="28">
        <v>51.0</v>
      </c>
      <c r="P1157" s="134"/>
    </row>
    <row r="1158">
      <c r="C1158" s="124"/>
      <c r="H1158" s="28">
        <v>51.0</v>
      </c>
      <c r="J1158" s="28">
        <v>0.43</v>
      </c>
      <c r="K1158" s="28">
        <v>40.0</v>
      </c>
      <c r="P1158" s="134"/>
    </row>
    <row r="1159">
      <c r="C1159" s="124"/>
      <c r="H1159" s="28">
        <v>51.0</v>
      </c>
      <c r="J1159" s="28">
        <v>0.49</v>
      </c>
      <c r="K1159" s="28">
        <v>43.0</v>
      </c>
      <c r="P1159" s="134"/>
    </row>
    <row r="1160">
      <c r="C1160" s="124"/>
      <c r="H1160" s="28">
        <v>43.0</v>
      </c>
      <c r="J1160" s="28">
        <v>0.46</v>
      </c>
      <c r="K1160" s="28">
        <v>45.0</v>
      </c>
      <c r="P1160" s="134"/>
    </row>
    <row r="1161">
      <c r="C1161" s="124"/>
      <c r="H1161" s="28">
        <v>42.0</v>
      </c>
      <c r="J1161" s="28">
        <v>0.56</v>
      </c>
      <c r="K1161" s="28">
        <v>44.0</v>
      </c>
      <c r="P1161" s="134"/>
    </row>
    <row r="1162">
      <c r="C1162" s="124"/>
      <c r="H1162" s="28">
        <v>42.0</v>
      </c>
      <c r="J1162" s="28">
        <v>0.47</v>
      </c>
      <c r="K1162" s="28">
        <v>38.0</v>
      </c>
      <c r="P1162" s="134"/>
    </row>
    <row r="1163">
      <c r="C1163" s="124"/>
      <c r="H1163" s="28">
        <v>47.0</v>
      </c>
      <c r="J1163" s="28">
        <v>0.44</v>
      </c>
      <c r="K1163" s="28">
        <v>49.0</v>
      </c>
      <c r="P1163" s="134"/>
    </row>
    <row r="1164">
      <c r="C1164" s="124"/>
      <c r="H1164" s="28">
        <v>44.0</v>
      </c>
      <c r="J1164" s="28">
        <v>0.43</v>
      </c>
      <c r="K1164" s="28">
        <v>46.0</v>
      </c>
      <c r="P1164" s="134"/>
    </row>
    <row r="1165">
      <c r="C1165" s="124"/>
      <c r="H1165" s="28">
        <v>48.0</v>
      </c>
      <c r="J1165" s="28">
        <v>0.44</v>
      </c>
      <c r="K1165" s="28">
        <v>43.0</v>
      </c>
      <c r="P1165" s="134"/>
    </row>
    <row r="1166">
      <c r="C1166" s="124"/>
      <c r="H1166" s="28">
        <v>46.0</v>
      </c>
      <c r="J1166" s="28">
        <v>0.48</v>
      </c>
      <c r="K1166" s="28">
        <v>44.0</v>
      </c>
      <c r="P1166" s="134"/>
    </row>
    <row r="1167">
      <c r="C1167" s="124"/>
      <c r="H1167" s="28">
        <v>42.0</v>
      </c>
      <c r="J1167" s="28">
        <v>0.49</v>
      </c>
      <c r="K1167" s="28">
        <v>47.0</v>
      </c>
      <c r="P1167" s="134"/>
    </row>
    <row r="1168">
      <c r="C1168" s="124"/>
      <c r="H1168" s="28">
        <v>41.0</v>
      </c>
      <c r="J1168" s="28">
        <v>0.48</v>
      </c>
      <c r="K1168" s="28">
        <v>45.0</v>
      </c>
      <c r="P1168" s="134"/>
    </row>
    <row r="1169">
      <c r="C1169" s="124"/>
      <c r="H1169" s="28">
        <v>43.0</v>
      </c>
      <c r="J1169" s="28">
        <v>0.48</v>
      </c>
      <c r="K1169" s="28">
        <v>38.0</v>
      </c>
      <c r="P1169" s="134"/>
    </row>
    <row r="1170">
      <c r="C1170" s="124"/>
      <c r="H1170" s="28">
        <v>53.0</v>
      </c>
      <c r="J1170" s="28">
        <v>0.44</v>
      </c>
      <c r="K1170" s="28">
        <v>47.0</v>
      </c>
      <c r="P1170" s="134"/>
    </row>
    <row r="1171">
      <c r="C1171" s="124"/>
      <c r="H1171" s="28">
        <v>48.0</v>
      </c>
      <c r="J1171" s="28">
        <v>0.47</v>
      </c>
      <c r="K1171" s="28">
        <v>45.0</v>
      </c>
      <c r="P1171" s="134"/>
    </row>
    <row r="1172">
      <c r="C1172" s="124"/>
      <c r="H1172" s="28">
        <v>47.0</v>
      </c>
      <c r="J1172" s="28">
        <v>0.45</v>
      </c>
      <c r="K1172" s="28">
        <v>41.0</v>
      </c>
      <c r="P1172" s="134"/>
    </row>
    <row r="1173">
      <c r="C1173" s="124"/>
      <c r="H1173" s="28">
        <v>45.0</v>
      </c>
      <c r="J1173" s="28">
        <v>0.46</v>
      </c>
      <c r="K1173" s="28">
        <v>49.0</v>
      </c>
      <c r="P1173" s="134"/>
    </row>
    <row r="1174">
      <c r="C1174" s="124"/>
      <c r="H1174" s="28">
        <v>45.0</v>
      </c>
      <c r="J1174" s="28">
        <v>0.48</v>
      </c>
      <c r="K1174" s="28">
        <v>45.0</v>
      </c>
      <c r="P1174" s="134"/>
    </row>
    <row r="1175">
      <c r="C1175" s="124"/>
      <c r="H1175" s="28">
        <v>45.0</v>
      </c>
      <c r="J1175" s="28">
        <v>0.46</v>
      </c>
      <c r="K1175" s="28">
        <v>40.0</v>
      </c>
      <c r="P1175" s="134"/>
    </row>
    <row r="1176">
      <c r="C1176" s="124"/>
      <c r="H1176" s="28">
        <v>48.0</v>
      </c>
      <c r="J1176" s="28">
        <v>0.49</v>
      </c>
      <c r="K1176" s="28">
        <v>42.0</v>
      </c>
      <c r="P1176" s="134"/>
    </row>
    <row r="1177">
      <c r="C1177" s="124"/>
      <c r="H1177" s="28">
        <v>46.0</v>
      </c>
      <c r="J1177" s="28">
        <v>0.45</v>
      </c>
      <c r="K1177" s="28">
        <v>48.0</v>
      </c>
      <c r="P1177" s="134"/>
    </row>
    <row r="1178">
      <c r="C1178" s="124"/>
      <c r="H1178" s="28">
        <v>45.0</v>
      </c>
      <c r="J1178" s="28">
        <v>0.47</v>
      </c>
      <c r="K1178" s="28">
        <v>46.0</v>
      </c>
      <c r="P1178" s="134"/>
    </row>
    <row r="1179">
      <c r="C1179" s="124"/>
      <c r="H1179" s="28">
        <v>47.0</v>
      </c>
      <c r="J1179" s="28">
        <v>0.44</v>
      </c>
      <c r="K1179" s="28">
        <v>45.0</v>
      </c>
      <c r="P1179" s="134"/>
    </row>
    <row r="1180">
      <c r="C1180" s="124"/>
      <c r="H1180" s="28">
        <v>42.0</v>
      </c>
      <c r="J1180" s="28">
        <v>0.51</v>
      </c>
      <c r="K1180" s="28">
        <v>46.0</v>
      </c>
      <c r="P1180" s="134"/>
    </row>
    <row r="1181">
      <c r="C1181" s="124"/>
      <c r="H1181" s="28">
        <v>44.0</v>
      </c>
      <c r="J1181" s="28">
        <v>0.47</v>
      </c>
      <c r="K1181" s="28">
        <v>46.0</v>
      </c>
      <c r="P1181" s="134"/>
    </row>
    <row r="1182">
      <c r="C1182" s="124"/>
      <c r="H1182" s="28">
        <v>49.0</v>
      </c>
      <c r="J1182" s="28">
        <v>0.47</v>
      </c>
      <c r="K1182" s="28">
        <v>39.0</v>
      </c>
      <c r="P1182" s="134"/>
    </row>
    <row r="1183">
      <c r="C1183" s="124"/>
      <c r="H1183" s="28">
        <v>48.0</v>
      </c>
      <c r="J1183" s="28">
        <v>0.47</v>
      </c>
      <c r="K1183" s="28">
        <v>50.0</v>
      </c>
      <c r="P1183" s="134"/>
    </row>
    <row r="1184">
      <c r="C1184" s="124"/>
      <c r="H1184" s="28">
        <v>42.0</v>
      </c>
      <c r="J1184" s="28">
        <v>0.52</v>
      </c>
      <c r="K1184" s="28">
        <v>39.0</v>
      </c>
      <c r="P1184" s="134"/>
    </row>
    <row r="1185">
      <c r="C1185" s="124"/>
      <c r="H1185" s="28">
        <v>44.0</v>
      </c>
      <c r="J1185" s="28">
        <v>0.5</v>
      </c>
      <c r="K1185" s="28">
        <v>46.0</v>
      </c>
      <c r="P1185" s="134"/>
    </row>
    <row r="1186">
      <c r="C1186" s="124"/>
      <c r="H1186" s="28">
        <v>47.0</v>
      </c>
      <c r="J1186" s="28">
        <v>0.51</v>
      </c>
      <c r="K1186" s="28">
        <v>45.0</v>
      </c>
      <c r="P1186" s="134"/>
    </row>
    <row r="1187">
      <c r="C1187" s="124"/>
      <c r="H1187" s="28">
        <v>41.0</v>
      </c>
      <c r="J1187" s="28">
        <v>0.48</v>
      </c>
      <c r="K1187" s="28">
        <v>48.0</v>
      </c>
      <c r="P1187" s="134"/>
    </row>
    <row r="1188">
      <c r="C1188" s="124"/>
      <c r="H1188" s="28">
        <v>44.0</v>
      </c>
      <c r="J1188" s="28">
        <v>0.39</v>
      </c>
      <c r="K1188" s="28">
        <v>41.0</v>
      </c>
      <c r="P1188" s="134"/>
    </row>
    <row r="1189">
      <c r="C1189" s="124"/>
      <c r="H1189" s="28">
        <v>43.0</v>
      </c>
      <c r="J1189" s="28">
        <v>0.45</v>
      </c>
      <c r="K1189" s="28">
        <v>39.0</v>
      </c>
      <c r="P1189" s="134"/>
    </row>
    <row r="1190">
      <c r="C1190" s="124"/>
      <c r="H1190" s="28">
        <v>47.0</v>
      </c>
      <c r="J1190" s="28">
        <v>0.49</v>
      </c>
      <c r="K1190" s="28">
        <v>41.0</v>
      </c>
      <c r="P1190" s="134"/>
    </row>
    <row r="1191">
      <c r="C1191" s="124"/>
      <c r="H1191" s="28">
        <v>45.0</v>
      </c>
      <c r="J1191" s="28">
        <v>0.47</v>
      </c>
      <c r="K1191" s="28">
        <v>41.0</v>
      </c>
      <c r="P1191" s="134"/>
    </row>
    <row r="1192">
      <c r="C1192" s="124"/>
      <c r="H1192" s="28">
        <v>45.0</v>
      </c>
      <c r="J1192" s="28">
        <v>0.46</v>
      </c>
      <c r="K1192" s="28">
        <v>46.0</v>
      </c>
      <c r="P1192" s="134"/>
    </row>
    <row r="1193">
      <c r="C1193" s="124"/>
      <c r="H1193" s="28">
        <v>46.0</v>
      </c>
      <c r="J1193" s="28">
        <v>0.46</v>
      </c>
      <c r="K1193" s="28">
        <v>41.0</v>
      </c>
      <c r="P1193" s="134"/>
    </row>
    <row r="1194">
      <c r="C1194" s="124"/>
      <c r="H1194" s="28">
        <v>46.0</v>
      </c>
      <c r="J1194" s="28">
        <v>0.43</v>
      </c>
      <c r="K1194" s="28">
        <v>43.0</v>
      </c>
      <c r="P1194" s="134"/>
    </row>
    <row r="1195">
      <c r="C1195" s="124"/>
      <c r="H1195" s="28">
        <v>46.0</v>
      </c>
      <c r="J1195" s="28">
        <v>0.47</v>
      </c>
      <c r="K1195" s="28">
        <v>44.0</v>
      </c>
      <c r="P1195" s="134"/>
    </row>
    <row r="1196">
      <c r="C1196" s="124"/>
      <c r="H1196" s="28">
        <v>42.0</v>
      </c>
      <c r="J1196" s="28">
        <v>0.43</v>
      </c>
      <c r="K1196" s="28">
        <v>42.0</v>
      </c>
      <c r="P1196" s="134"/>
    </row>
    <row r="1197">
      <c r="C1197" s="124"/>
      <c r="H1197" s="28">
        <v>45.0</v>
      </c>
      <c r="J1197" s="28">
        <v>0.49</v>
      </c>
      <c r="K1197" s="28">
        <v>43.0</v>
      </c>
      <c r="P1197" s="134"/>
    </row>
    <row r="1198">
      <c r="C1198" s="124"/>
      <c r="H1198" s="28">
        <v>45.0</v>
      </c>
      <c r="J1198" s="28">
        <v>0.47</v>
      </c>
      <c r="K1198" s="28">
        <v>45.0</v>
      </c>
      <c r="P1198" s="134"/>
    </row>
    <row r="1199">
      <c r="C1199" s="124"/>
      <c r="H1199" s="28">
        <v>43.0</v>
      </c>
      <c r="J1199" s="28">
        <v>0.42</v>
      </c>
      <c r="K1199" s="28">
        <v>45.0</v>
      </c>
      <c r="P1199" s="134"/>
    </row>
    <row r="1200">
      <c r="C1200" s="124"/>
      <c r="H1200" s="28">
        <v>49.0</v>
      </c>
      <c r="J1200" s="28">
        <v>0.47</v>
      </c>
      <c r="K1200" s="28">
        <v>39.0</v>
      </c>
      <c r="P1200" s="134"/>
    </row>
    <row r="1201">
      <c r="C1201" s="124"/>
      <c r="H1201" s="28">
        <v>45.0</v>
      </c>
      <c r="J1201" s="28">
        <v>0.46</v>
      </c>
      <c r="K1201" s="28">
        <v>42.0</v>
      </c>
      <c r="P1201" s="134"/>
    </row>
    <row r="1202">
      <c r="C1202" s="124"/>
      <c r="H1202" s="28">
        <v>41.0</v>
      </c>
      <c r="J1202" s="28">
        <v>0.45</v>
      </c>
      <c r="K1202" s="28">
        <v>36.0</v>
      </c>
      <c r="P1202" s="134"/>
    </row>
    <row r="1203">
      <c r="C1203" s="124"/>
      <c r="H1203" s="28">
        <v>45.0</v>
      </c>
      <c r="J1203" s="28">
        <v>0.51</v>
      </c>
      <c r="K1203" s="28">
        <v>40.0</v>
      </c>
      <c r="P1203" s="134"/>
    </row>
    <row r="1204">
      <c r="C1204" s="124"/>
      <c r="H1204" s="28">
        <v>42.0</v>
      </c>
      <c r="J1204" s="28">
        <v>0.46</v>
      </c>
      <c r="K1204" s="28">
        <v>38.0</v>
      </c>
      <c r="P1204" s="134"/>
    </row>
    <row r="1205">
      <c r="C1205" s="124"/>
      <c r="H1205" s="28">
        <v>45.0</v>
      </c>
      <c r="J1205" s="28">
        <v>0.46</v>
      </c>
      <c r="K1205" s="28">
        <v>41.0</v>
      </c>
      <c r="P1205" s="134"/>
    </row>
    <row r="1206">
      <c r="C1206" s="124"/>
      <c r="H1206" s="28">
        <v>41.0</v>
      </c>
      <c r="J1206" s="28">
        <v>0.5</v>
      </c>
      <c r="K1206" s="28">
        <v>46.0</v>
      </c>
      <c r="P1206" s="134"/>
    </row>
    <row r="1207">
      <c r="C1207" s="124"/>
      <c r="H1207" s="28">
        <v>45.0</v>
      </c>
      <c r="J1207" s="28">
        <v>0.45</v>
      </c>
      <c r="K1207" s="28">
        <v>44.0</v>
      </c>
      <c r="P1207" s="134"/>
    </row>
    <row r="1208">
      <c r="C1208" s="124"/>
      <c r="H1208" s="28">
        <v>42.0</v>
      </c>
      <c r="J1208" s="28">
        <v>0.48</v>
      </c>
      <c r="K1208" s="28">
        <v>45.0</v>
      </c>
      <c r="P1208" s="134"/>
    </row>
    <row r="1209">
      <c r="C1209" s="124"/>
      <c r="H1209" s="28">
        <v>41.0</v>
      </c>
      <c r="J1209" s="28">
        <v>0.48</v>
      </c>
      <c r="K1209" s="28">
        <v>48.0</v>
      </c>
      <c r="P1209" s="134"/>
    </row>
    <row r="1210">
      <c r="C1210" s="124"/>
      <c r="H1210" s="28">
        <v>45.0</v>
      </c>
      <c r="J1210" s="28">
        <v>0.45</v>
      </c>
      <c r="K1210" s="28">
        <v>50.0</v>
      </c>
      <c r="P1210" s="134"/>
    </row>
    <row r="1211">
      <c r="C1211" s="124"/>
      <c r="H1211" s="28">
        <v>44.0</v>
      </c>
      <c r="J1211" s="28">
        <v>0.47</v>
      </c>
      <c r="K1211" s="28">
        <v>50.0</v>
      </c>
      <c r="P1211" s="134"/>
    </row>
    <row r="1212">
      <c r="C1212" s="124"/>
      <c r="H1212" s="28">
        <v>46.0</v>
      </c>
      <c r="J1212" s="28">
        <v>0.47</v>
      </c>
      <c r="K1212" s="28">
        <v>43.0</v>
      </c>
      <c r="P1212" s="134"/>
    </row>
    <row r="1213">
      <c r="C1213" s="124"/>
      <c r="H1213" s="28">
        <v>45.0</v>
      </c>
      <c r="J1213" s="28">
        <v>0.46</v>
      </c>
      <c r="K1213" s="28">
        <v>39.0</v>
      </c>
      <c r="P1213" s="134"/>
    </row>
    <row r="1214">
      <c r="C1214" s="124"/>
      <c r="H1214" s="28">
        <v>44.0</v>
      </c>
      <c r="J1214" s="28">
        <v>0.48</v>
      </c>
      <c r="K1214" s="28">
        <v>44.0</v>
      </c>
      <c r="P1214" s="134"/>
    </row>
    <row r="1215">
      <c r="C1215" s="124"/>
      <c r="H1215" s="28">
        <v>47.0</v>
      </c>
      <c r="J1215" s="28">
        <v>0.49</v>
      </c>
      <c r="K1215" s="28">
        <v>41.0</v>
      </c>
      <c r="P1215" s="134"/>
    </row>
    <row r="1216">
      <c r="C1216" s="124"/>
      <c r="H1216" s="28">
        <v>40.0</v>
      </c>
      <c r="J1216" s="28">
        <v>0.48</v>
      </c>
      <c r="K1216" s="28">
        <v>38.0</v>
      </c>
      <c r="P1216" s="134"/>
    </row>
    <row r="1217">
      <c r="C1217" s="124"/>
      <c r="H1217" s="28">
        <v>46.0</v>
      </c>
      <c r="J1217" s="28">
        <v>0.46</v>
      </c>
      <c r="K1217" s="28">
        <v>44.0</v>
      </c>
      <c r="P1217" s="134"/>
    </row>
    <row r="1218">
      <c r="C1218" s="124"/>
      <c r="H1218" s="28">
        <v>43.0</v>
      </c>
      <c r="J1218" s="28">
        <v>0.49</v>
      </c>
      <c r="K1218" s="28">
        <v>44.0</v>
      </c>
      <c r="P1218" s="134"/>
    </row>
    <row r="1219">
      <c r="C1219" s="124"/>
      <c r="H1219" s="28">
        <v>51.0</v>
      </c>
      <c r="J1219" s="28">
        <v>0.47</v>
      </c>
      <c r="K1219" s="28">
        <v>45.0</v>
      </c>
      <c r="P1219" s="134"/>
    </row>
    <row r="1220">
      <c r="C1220" s="124"/>
      <c r="H1220" s="28">
        <v>42.0</v>
      </c>
      <c r="J1220" s="28">
        <v>0.47</v>
      </c>
      <c r="K1220" s="28">
        <v>45.0</v>
      </c>
      <c r="P1220" s="134"/>
    </row>
    <row r="1221">
      <c r="C1221" s="124"/>
      <c r="H1221" s="28">
        <v>40.0</v>
      </c>
      <c r="J1221" s="28">
        <v>0.48</v>
      </c>
      <c r="K1221" s="28">
        <v>43.0</v>
      </c>
      <c r="P1221" s="134"/>
    </row>
    <row r="1222">
      <c r="C1222" s="124"/>
      <c r="H1222" s="28">
        <v>41.0</v>
      </c>
      <c r="J1222" s="28">
        <v>0.49</v>
      </c>
      <c r="K1222" s="28">
        <v>49.0</v>
      </c>
      <c r="P1222" s="134"/>
    </row>
    <row r="1223">
      <c r="C1223" s="124"/>
      <c r="H1223" s="28">
        <v>46.0</v>
      </c>
      <c r="J1223" s="28">
        <v>0.46</v>
      </c>
      <c r="K1223" s="28">
        <v>48.0</v>
      </c>
      <c r="P1223" s="134"/>
    </row>
    <row r="1224">
      <c r="C1224" s="124"/>
      <c r="H1224" s="28">
        <v>39.0</v>
      </c>
      <c r="J1224" s="28">
        <v>0.47</v>
      </c>
      <c r="K1224" s="28">
        <v>43.0</v>
      </c>
      <c r="P1224" s="134"/>
    </row>
    <row r="1225">
      <c r="C1225" s="124"/>
      <c r="H1225" s="28">
        <v>42.0</v>
      </c>
      <c r="J1225" s="28">
        <v>0.46</v>
      </c>
      <c r="K1225" s="28">
        <v>39.0</v>
      </c>
      <c r="P1225" s="134"/>
    </row>
    <row r="1226">
      <c r="C1226" s="124"/>
      <c r="H1226" s="28">
        <v>43.0</v>
      </c>
      <c r="J1226" s="28">
        <v>0.45</v>
      </c>
      <c r="K1226" s="28">
        <v>40.0</v>
      </c>
      <c r="P1226" s="134"/>
    </row>
    <row r="1227">
      <c r="C1227" s="124"/>
      <c r="H1227" s="28">
        <v>39.0</v>
      </c>
      <c r="J1227" s="28">
        <v>0.49</v>
      </c>
      <c r="K1227" s="28">
        <v>38.0</v>
      </c>
      <c r="P1227" s="134"/>
    </row>
    <row r="1228">
      <c r="C1228" s="124"/>
      <c r="H1228" s="28">
        <v>43.0</v>
      </c>
      <c r="J1228" s="28">
        <v>0.46</v>
      </c>
      <c r="K1228" s="28">
        <v>39.0</v>
      </c>
      <c r="P1228" s="134"/>
    </row>
    <row r="1229">
      <c r="C1229" s="124"/>
      <c r="H1229" s="28">
        <v>48.0</v>
      </c>
      <c r="J1229" s="28">
        <v>0.45</v>
      </c>
      <c r="K1229" s="28">
        <v>36.0</v>
      </c>
      <c r="P1229" s="134"/>
    </row>
    <row r="1230">
      <c r="C1230" s="124"/>
      <c r="H1230" s="28">
        <v>45.0</v>
      </c>
      <c r="J1230" s="28">
        <v>0.49</v>
      </c>
      <c r="K1230" s="28">
        <v>42.0</v>
      </c>
      <c r="P1230" s="134"/>
    </row>
    <row r="1231">
      <c r="C1231" s="124"/>
      <c r="H1231" s="28">
        <v>42.0</v>
      </c>
      <c r="J1231" s="28">
        <v>0.47</v>
      </c>
      <c r="K1231" s="28">
        <v>38.0</v>
      </c>
      <c r="P1231" s="134"/>
    </row>
    <row r="1232">
      <c r="C1232" s="124"/>
      <c r="H1232" s="28">
        <v>41.0</v>
      </c>
      <c r="J1232" s="28">
        <v>0.45</v>
      </c>
      <c r="K1232" s="28">
        <v>37.0</v>
      </c>
      <c r="P1232" s="134"/>
    </row>
    <row r="1233">
      <c r="C1233" s="124"/>
      <c r="H1233" s="28">
        <v>43.0</v>
      </c>
      <c r="J1233" s="28">
        <v>0.46</v>
      </c>
      <c r="K1233" s="28">
        <v>43.0</v>
      </c>
      <c r="P1233" s="134"/>
    </row>
    <row r="1234">
      <c r="C1234" s="124"/>
      <c r="H1234" s="28">
        <v>41.0</v>
      </c>
      <c r="J1234" s="28">
        <v>0.5</v>
      </c>
      <c r="K1234" s="28">
        <v>42.0</v>
      </c>
      <c r="P1234" s="134"/>
    </row>
    <row r="1235">
      <c r="C1235" s="124"/>
      <c r="H1235" s="28">
        <v>45.0</v>
      </c>
      <c r="J1235" s="28">
        <v>0.48</v>
      </c>
      <c r="K1235" s="28">
        <v>42.0</v>
      </c>
      <c r="P1235" s="134"/>
    </row>
    <row r="1236">
      <c r="C1236" s="124"/>
      <c r="H1236" s="28">
        <v>42.0</v>
      </c>
      <c r="J1236" s="28">
        <v>0.46</v>
      </c>
      <c r="K1236" s="28">
        <v>43.0</v>
      </c>
      <c r="P1236" s="134"/>
    </row>
    <row r="1237">
      <c r="C1237" s="124"/>
      <c r="H1237" s="28">
        <v>43.0</v>
      </c>
      <c r="J1237" s="28">
        <v>0.5</v>
      </c>
      <c r="K1237" s="28">
        <v>38.0</v>
      </c>
      <c r="P1237" s="134"/>
    </row>
    <row r="1238">
      <c r="C1238" s="124"/>
      <c r="H1238" s="28">
        <v>44.0</v>
      </c>
      <c r="J1238" s="28">
        <v>0.47</v>
      </c>
      <c r="K1238" s="28">
        <v>40.0</v>
      </c>
      <c r="P1238" s="134"/>
    </row>
    <row r="1239">
      <c r="C1239" s="124"/>
      <c r="H1239" s="28">
        <v>42.0</v>
      </c>
      <c r="J1239" s="28">
        <v>0.48</v>
      </c>
      <c r="K1239" s="28">
        <v>39.0</v>
      </c>
      <c r="P1239" s="134"/>
    </row>
    <row r="1240">
      <c r="C1240" s="124"/>
      <c r="H1240" s="28">
        <v>46.0</v>
      </c>
      <c r="J1240" s="28">
        <v>0.46</v>
      </c>
      <c r="K1240" s="28">
        <v>37.0</v>
      </c>
      <c r="P1240" s="134"/>
    </row>
    <row r="1241">
      <c r="C1241" s="124"/>
      <c r="H1241" s="28">
        <v>45.0</v>
      </c>
      <c r="J1241" s="28">
        <v>0.48</v>
      </c>
      <c r="K1241" s="28">
        <v>43.0</v>
      </c>
      <c r="P1241" s="134"/>
    </row>
    <row r="1242">
      <c r="C1242" s="124"/>
      <c r="H1242" s="28">
        <v>44.0</v>
      </c>
      <c r="J1242" s="28">
        <v>0.49</v>
      </c>
      <c r="K1242" s="28">
        <v>40.0</v>
      </c>
      <c r="P1242" s="134"/>
    </row>
    <row r="1243">
      <c r="C1243" s="124"/>
      <c r="H1243" s="28">
        <v>45.0</v>
      </c>
      <c r="J1243" s="28">
        <v>0.46</v>
      </c>
      <c r="K1243" s="28">
        <v>37.0</v>
      </c>
      <c r="P1243" s="134"/>
    </row>
    <row r="1244">
      <c r="C1244" s="124"/>
      <c r="H1244" s="28">
        <v>42.0</v>
      </c>
      <c r="J1244" s="28">
        <v>0.47</v>
      </c>
      <c r="K1244" s="28">
        <v>37.0</v>
      </c>
      <c r="P1244" s="134"/>
    </row>
    <row r="1245">
      <c r="C1245" s="124"/>
      <c r="H1245" s="28">
        <v>44.0</v>
      </c>
      <c r="J1245" s="28">
        <v>0.49</v>
      </c>
      <c r="K1245" s="28">
        <v>42.0</v>
      </c>
      <c r="P1245" s="134"/>
    </row>
    <row r="1246">
      <c r="C1246" s="124"/>
      <c r="H1246" s="28">
        <v>43.0</v>
      </c>
      <c r="J1246" s="28">
        <v>0.49</v>
      </c>
      <c r="K1246" s="28">
        <v>45.0</v>
      </c>
      <c r="P1246" s="134"/>
    </row>
    <row r="1247">
      <c r="C1247" s="124"/>
      <c r="H1247" s="28">
        <v>40.0</v>
      </c>
      <c r="J1247" s="28">
        <v>0.45</v>
      </c>
      <c r="K1247" s="28">
        <v>51.0</v>
      </c>
      <c r="P1247" s="134"/>
    </row>
    <row r="1248">
      <c r="C1248" s="124"/>
      <c r="H1248" s="28">
        <v>42.0</v>
      </c>
      <c r="J1248" s="28">
        <v>0.5</v>
      </c>
      <c r="K1248" s="28">
        <v>47.0</v>
      </c>
      <c r="P1248" s="134"/>
    </row>
    <row r="1249">
      <c r="C1249" s="124"/>
      <c r="H1249" s="28">
        <v>42.0</v>
      </c>
      <c r="J1249" s="28">
        <v>0.48</v>
      </c>
      <c r="K1249" s="28">
        <v>41.0</v>
      </c>
      <c r="P1249" s="134"/>
    </row>
    <row r="1250">
      <c r="C1250" s="124"/>
      <c r="H1250" s="28">
        <v>43.0</v>
      </c>
      <c r="J1250" s="28">
        <v>0.47</v>
      </c>
      <c r="K1250" s="28">
        <v>38.0</v>
      </c>
      <c r="P1250" s="134"/>
    </row>
    <row r="1251">
      <c r="C1251" s="124"/>
      <c r="H1251" s="28">
        <v>44.0</v>
      </c>
      <c r="J1251" s="28">
        <v>0.48</v>
      </c>
      <c r="K1251" s="28">
        <v>39.0</v>
      </c>
      <c r="P1251" s="134"/>
    </row>
    <row r="1252">
      <c r="C1252" s="124"/>
      <c r="H1252" s="28">
        <v>44.0</v>
      </c>
      <c r="J1252" s="28">
        <v>0.47</v>
      </c>
      <c r="K1252" s="28">
        <v>38.0</v>
      </c>
      <c r="P1252" s="134"/>
    </row>
    <row r="1253">
      <c r="C1253" s="124"/>
      <c r="H1253" s="28">
        <v>43.0</v>
      </c>
      <c r="J1253" s="28">
        <v>0.49</v>
      </c>
      <c r="K1253" s="28">
        <v>36.0</v>
      </c>
      <c r="P1253" s="134"/>
    </row>
    <row r="1254">
      <c r="C1254" s="124"/>
      <c r="H1254" s="28">
        <v>46.0</v>
      </c>
      <c r="J1254" s="28">
        <v>0.45</v>
      </c>
      <c r="K1254" s="28">
        <v>38.0</v>
      </c>
      <c r="P1254" s="134"/>
    </row>
    <row r="1255">
      <c r="C1255" s="124"/>
      <c r="H1255" s="28">
        <v>48.0</v>
      </c>
      <c r="J1255" s="28">
        <v>0.49</v>
      </c>
      <c r="K1255" s="28">
        <v>40.0</v>
      </c>
      <c r="P1255" s="134"/>
    </row>
    <row r="1256">
      <c r="C1256" s="124"/>
      <c r="H1256" s="28">
        <v>40.0</v>
      </c>
      <c r="J1256" s="28">
        <v>0.48</v>
      </c>
      <c r="K1256" s="28">
        <v>35.0</v>
      </c>
      <c r="P1256" s="134"/>
    </row>
    <row r="1257">
      <c r="C1257" s="124"/>
      <c r="H1257" s="28">
        <v>38.0</v>
      </c>
      <c r="J1257" s="28">
        <v>0.45</v>
      </c>
      <c r="K1257" s="28">
        <v>41.0</v>
      </c>
      <c r="P1257" s="134"/>
    </row>
    <row r="1258">
      <c r="C1258" s="124"/>
      <c r="H1258" s="28">
        <v>44.0</v>
      </c>
      <c r="J1258" s="28">
        <v>0.47</v>
      </c>
      <c r="K1258" s="28">
        <v>44.0</v>
      </c>
      <c r="P1258" s="134"/>
    </row>
    <row r="1259">
      <c r="C1259" s="124"/>
      <c r="H1259" s="28">
        <v>44.0</v>
      </c>
      <c r="J1259" s="28">
        <v>0.48</v>
      </c>
      <c r="K1259" s="28">
        <v>43.0</v>
      </c>
      <c r="P1259" s="134"/>
    </row>
    <row r="1260">
      <c r="C1260" s="124"/>
      <c r="H1260" s="28">
        <v>43.0</v>
      </c>
      <c r="J1260" s="28">
        <v>0.48</v>
      </c>
      <c r="K1260" s="28">
        <v>44.0</v>
      </c>
      <c r="P1260" s="134"/>
    </row>
    <row r="1261">
      <c r="C1261" s="124"/>
      <c r="H1261" s="28">
        <v>41.0</v>
      </c>
      <c r="J1261" s="28">
        <v>0.49</v>
      </c>
      <c r="K1261" s="28">
        <v>43.0</v>
      </c>
      <c r="P1261" s="134"/>
    </row>
    <row r="1262">
      <c r="C1262" s="124"/>
      <c r="H1262" s="28">
        <v>44.0</v>
      </c>
      <c r="J1262" s="28">
        <v>0.62</v>
      </c>
      <c r="K1262" s="28">
        <v>39.0</v>
      </c>
      <c r="P1262" s="134"/>
    </row>
    <row r="1263">
      <c r="C1263" s="124"/>
      <c r="H1263" s="28">
        <v>43.0</v>
      </c>
      <c r="J1263" s="28">
        <v>0.53</v>
      </c>
      <c r="K1263" s="28">
        <v>43.0</v>
      </c>
      <c r="P1263" s="134"/>
    </row>
    <row r="1264">
      <c r="C1264" s="124"/>
      <c r="H1264" s="28">
        <v>44.0</v>
      </c>
      <c r="J1264" s="28">
        <v>0.48</v>
      </c>
      <c r="K1264" s="28">
        <v>37.0</v>
      </c>
      <c r="P1264" s="134"/>
    </row>
    <row r="1265">
      <c r="C1265" s="124"/>
      <c r="H1265" s="28">
        <v>36.0</v>
      </c>
      <c r="J1265" s="28">
        <v>0.55</v>
      </c>
      <c r="K1265" s="28">
        <v>45.0</v>
      </c>
      <c r="P1265" s="134"/>
    </row>
    <row r="1266">
      <c r="C1266" s="124"/>
      <c r="H1266" s="28">
        <v>45.0</v>
      </c>
      <c r="J1266" s="28">
        <v>0.57</v>
      </c>
      <c r="K1266" s="28">
        <v>46.0</v>
      </c>
      <c r="P1266" s="134"/>
    </row>
    <row r="1267">
      <c r="C1267" s="124"/>
      <c r="H1267" s="28">
        <v>47.0</v>
      </c>
      <c r="J1267" s="28">
        <v>0.42</v>
      </c>
      <c r="K1267" s="28">
        <v>44.0</v>
      </c>
      <c r="P1267" s="134"/>
    </row>
    <row r="1268">
      <c r="C1268" s="124"/>
      <c r="H1268" s="28">
        <v>45.0</v>
      </c>
      <c r="J1268" s="28">
        <v>0.55</v>
      </c>
      <c r="K1268" s="28">
        <v>42.0</v>
      </c>
      <c r="P1268" s="134"/>
    </row>
    <row r="1269">
      <c r="C1269" s="124"/>
      <c r="H1269" s="28">
        <v>40.0</v>
      </c>
      <c r="J1269" s="28">
        <v>0.57</v>
      </c>
      <c r="K1269" s="28">
        <v>39.0</v>
      </c>
      <c r="P1269" s="134"/>
    </row>
    <row r="1270">
      <c r="C1270" s="124"/>
      <c r="H1270" s="28">
        <v>43.0</v>
      </c>
      <c r="J1270" s="28">
        <v>0.6</v>
      </c>
      <c r="K1270" s="28">
        <v>43.0</v>
      </c>
      <c r="P1270" s="134"/>
    </row>
    <row r="1271">
      <c r="C1271" s="124"/>
      <c r="H1271" s="28">
        <v>45.0</v>
      </c>
      <c r="J1271" s="28">
        <v>0.43</v>
      </c>
      <c r="K1271" s="28">
        <v>49.0</v>
      </c>
      <c r="P1271" s="134"/>
    </row>
    <row r="1272">
      <c r="C1272" s="124"/>
      <c r="H1272" s="28">
        <v>41.0</v>
      </c>
      <c r="J1272" s="28">
        <v>0.45</v>
      </c>
      <c r="K1272" s="28">
        <v>42.0</v>
      </c>
      <c r="P1272" s="134"/>
    </row>
    <row r="1273">
      <c r="C1273" s="124"/>
      <c r="H1273" s="28">
        <v>40.0</v>
      </c>
      <c r="J1273" s="28">
        <v>0.52</v>
      </c>
      <c r="K1273" s="28">
        <v>43.0</v>
      </c>
      <c r="P1273" s="134"/>
    </row>
    <row r="1274">
      <c r="C1274" s="124"/>
      <c r="H1274" s="28">
        <v>45.0</v>
      </c>
      <c r="J1274" s="28">
        <v>0.41</v>
      </c>
      <c r="K1274" s="28">
        <v>42.0</v>
      </c>
      <c r="P1274" s="134"/>
    </row>
    <row r="1275">
      <c r="C1275" s="124"/>
      <c r="H1275" s="28">
        <v>50.0</v>
      </c>
      <c r="J1275" s="28">
        <v>0.52</v>
      </c>
      <c r="K1275" s="28">
        <v>41.0</v>
      </c>
      <c r="P1275" s="134"/>
    </row>
    <row r="1276">
      <c r="C1276" s="124"/>
      <c r="H1276" s="28">
        <v>54.0</v>
      </c>
      <c r="J1276" s="28">
        <v>0.49</v>
      </c>
      <c r="K1276" s="28">
        <v>40.0</v>
      </c>
      <c r="P1276" s="134"/>
    </row>
    <row r="1277">
      <c r="C1277" s="124"/>
      <c r="H1277" s="28">
        <v>43.0</v>
      </c>
      <c r="J1277" s="28">
        <v>0.55</v>
      </c>
      <c r="K1277" s="28">
        <v>43.0</v>
      </c>
      <c r="P1277" s="134"/>
    </row>
    <row r="1278">
      <c r="C1278" s="124"/>
      <c r="H1278" s="28">
        <v>45.0</v>
      </c>
      <c r="J1278" s="28">
        <v>0.58</v>
      </c>
      <c r="K1278" s="28">
        <v>36.0</v>
      </c>
      <c r="P1278" s="134"/>
    </row>
    <row r="1279">
      <c r="C1279" s="124"/>
      <c r="H1279" s="28">
        <v>43.0</v>
      </c>
      <c r="J1279" s="28">
        <v>0.57</v>
      </c>
      <c r="K1279" s="28">
        <v>46.0</v>
      </c>
      <c r="P1279" s="134"/>
    </row>
    <row r="1280">
      <c r="C1280" s="124"/>
      <c r="H1280" s="28">
        <v>39.0</v>
      </c>
      <c r="J1280" s="28">
        <v>0.56</v>
      </c>
      <c r="K1280" s="28">
        <v>38.0</v>
      </c>
      <c r="P1280" s="134"/>
    </row>
    <row r="1281">
      <c r="C1281" s="124"/>
      <c r="H1281" s="28">
        <v>41.0</v>
      </c>
      <c r="J1281" s="28">
        <v>0.56</v>
      </c>
      <c r="K1281" s="28">
        <v>46.0</v>
      </c>
      <c r="P1281" s="134"/>
    </row>
    <row r="1282">
      <c r="C1282" s="124"/>
      <c r="H1282" s="28">
        <v>38.0</v>
      </c>
      <c r="J1282" s="28">
        <v>0.47</v>
      </c>
      <c r="K1282" s="28">
        <v>39.0</v>
      </c>
      <c r="P1282" s="134"/>
    </row>
    <row r="1283">
      <c r="C1283" s="124"/>
      <c r="H1283" s="28">
        <v>49.0</v>
      </c>
      <c r="J1283" s="28">
        <v>0.45</v>
      </c>
      <c r="K1283" s="28">
        <v>44.0</v>
      </c>
      <c r="P1283" s="134"/>
    </row>
    <row r="1284">
      <c r="C1284" s="124"/>
      <c r="H1284" s="28">
        <v>50.0</v>
      </c>
      <c r="J1284" s="28">
        <v>0.5</v>
      </c>
      <c r="K1284" s="28">
        <v>41.0</v>
      </c>
      <c r="P1284" s="134"/>
    </row>
    <row r="1285">
      <c r="C1285" s="124"/>
      <c r="H1285" s="28">
        <v>49.0</v>
      </c>
      <c r="J1285" s="28">
        <v>0.51</v>
      </c>
      <c r="K1285" s="28">
        <v>44.0</v>
      </c>
      <c r="P1285" s="134"/>
    </row>
    <row r="1286">
      <c r="C1286" s="124"/>
      <c r="H1286" s="28">
        <v>43.0</v>
      </c>
      <c r="J1286" s="28">
        <v>0.56</v>
      </c>
      <c r="K1286" s="28">
        <v>45.0</v>
      </c>
      <c r="P1286" s="134"/>
    </row>
    <row r="1287">
      <c r="C1287" s="124"/>
      <c r="H1287" s="28">
        <v>46.0</v>
      </c>
      <c r="J1287" s="28">
        <v>0.47</v>
      </c>
      <c r="K1287" s="28">
        <v>45.0</v>
      </c>
      <c r="P1287" s="134"/>
    </row>
    <row r="1288">
      <c r="C1288" s="124"/>
      <c r="H1288" s="28">
        <v>47.0</v>
      </c>
      <c r="J1288" s="28">
        <v>0.45</v>
      </c>
      <c r="K1288" s="28">
        <v>42.0</v>
      </c>
      <c r="P1288" s="134"/>
    </row>
    <row r="1289">
      <c r="C1289" s="124"/>
      <c r="H1289" s="28">
        <v>45.0</v>
      </c>
      <c r="J1289" s="28">
        <v>0.58</v>
      </c>
      <c r="K1289" s="28">
        <v>42.0</v>
      </c>
      <c r="P1289" s="134"/>
    </row>
    <row r="1290">
      <c r="C1290" s="124"/>
      <c r="H1290" s="28">
        <v>43.0</v>
      </c>
      <c r="J1290" s="28">
        <v>0.53</v>
      </c>
      <c r="K1290" s="28">
        <v>41.0</v>
      </c>
      <c r="P1290" s="134"/>
    </row>
    <row r="1291">
      <c r="C1291" s="124"/>
      <c r="H1291" s="28">
        <v>47.0</v>
      </c>
      <c r="J1291" s="28">
        <v>0.55</v>
      </c>
      <c r="K1291" s="28">
        <v>41.0</v>
      </c>
      <c r="P1291" s="134"/>
    </row>
    <row r="1292">
      <c r="C1292" s="124"/>
      <c r="H1292" s="28">
        <v>50.0</v>
      </c>
      <c r="J1292" s="28">
        <v>0.54</v>
      </c>
      <c r="K1292" s="28">
        <v>47.0</v>
      </c>
      <c r="P1292" s="134"/>
    </row>
    <row r="1293">
      <c r="C1293" s="124"/>
      <c r="H1293" s="28">
        <v>44.0</v>
      </c>
      <c r="J1293" s="28">
        <v>0.49</v>
      </c>
      <c r="K1293" s="28">
        <v>50.0</v>
      </c>
      <c r="P1293" s="134"/>
    </row>
    <row r="1294">
      <c r="C1294" s="124"/>
      <c r="H1294" s="28">
        <v>44.0</v>
      </c>
      <c r="J1294" s="28">
        <v>0.58</v>
      </c>
      <c r="K1294" s="28">
        <v>47.0</v>
      </c>
      <c r="P1294" s="134"/>
    </row>
    <row r="1295">
      <c r="C1295" s="124"/>
      <c r="H1295" s="28">
        <v>42.0</v>
      </c>
      <c r="J1295" s="28">
        <v>0.61</v>
      </c>
      <c r="K1295" s="28">
        <v>43.0</v>
      </c>
      <c r="P1295" s="134"/>
    </row>
    <row r="1296">
      <c r="C1296" s="124"/>
      <c r="H1296" s="28">
        <v>45.0</v>
      </c>
      <c r="J1296" s="28">
        <v>0.5</v>
      </c>
      <c r="K1296" s="28">
        <v>45.0</v>
      </c>
      <c r="P1296" s="134"/>
    </row>
    <row r="1297">
      <c r="C1297" s="124"/>
      <c r="H1297" s="28">
        <v>42.0</v>
      </c>
      <c r="J1297" s="28">
        <v>0.46</v>
      </c>
      <c r="K1297" s="28">
        <v>46.0</v>
      </c>
      <c r="P1297" s="134"/>
    </row>
    <row r="1298">
      <c r="C1298" s="124"/>
      <c r="H1298" s="28">
        <v>41.0</v>
      </c>
      <c r="J1298" s="28">
        <v>0.5</v>
      </c>
      <c r="K1298" s="28">
        <v>45.0</v>
      </c>
      <c r="P1298" s="134"/>
    </row>
    <row r="1299">
      <c r="C1299" s="124"/>
      <c r="H1299" s="28">
        <v>44.0</v>
      </c>
      <c r="J1299" s="28">
        <v>0.51</v>
      </c>
      <c r="K1299" s="28">
        <v>40.0</v>
      </c>
      <c r="P1299" s="134"/>
    </row>
    <row r="1300">
      <c r="C1300" s="124"/>
      <c r="H1300" s="28">
        <v>44.0</v>
      </c>
      <c r="J1300" s="28">
        <v>0.49</v>
      </c>
      <c r="K1300" s="28">
        <v>51.0</v>
      </c>
      <c r="P1300" s="134"/>
    </row>
    <row r="1301">
      <c r="C1301" s="124"/>
      <c r="H1301" s="28">
        <v>41.0</v>
      </c>
      <c r="J1301" s="28">
        <v>0.44</v>
      </c>
      <c r="K1301" s="28">
        <v>48.0</v>
      </c>
      <c r="P1301" s="134"/>
    </row>
    <row r="1302">
      <c r="C1302" s="124"/>
      <c r="H1302" s="28">
        <v>42.0</v>
      </c>
      <c r="J1302" s="28">
        <v>0.46</v>
      </c>
      <c r="K1302" s="28">
        <v>41.0</v>
      </c>
      <c r="P1302" s="134"/>
    </row>
    <row r="1303">
      <c r="C1303" s="124"/>
      <c r="H1303" s="28">
        <v>47.0</v>
      </c>
      <c r="J1303" s="28">
        <v>0.52</v>
      </c>
      <c r="K1303" s="28">
        <v>50.0</v>
      </c>
      <c r="P1303" s="134"/>
    </row>
    <row r="1304">
      <c r="C1304" s="124"/>
      <c r="H1304" s="28">
        <v>47.0</v>
      </c>
      <c r="J1304" s="28">
        <v>0.63</v>
      </c>
      <c r="K1304" s="28">
        <v>50.0</v>
      </c>
      <c r="P1304" s="134"/>
    </row>
    <row r="1305">
      <c r="C1305" s="124"/>
      <c r="H1305" s="28">
        <v>39.0</v>
      </c>
      <c r="J1305" s="28">
        <v>0.54</v>
      </c>
      <c r="K1305" s="28">
        <v>45.0</v>
      </c>
      <c r="P1305" s="134"/>
    </row>
    <row r="1306">
      <c r="C1306" s="124"/>
      <c r="H1306" s="28">
        <v>45.0</v>
      </c>
      <c r="J1306" s="28">
        <v>0.51</v>
      </c>
      <c r="K1306" s="28">
        <v>43.0</v>
      </c>
      <c r="P1306" s="134"/>
    </row>
    <row r="1307">
      <c r="C1307" s="124"/>
      <c r="H1307" s="28">
        <v>48.0</v>
      </c>
      <c r="J1307" s="28">
        <v>0.53</v>
      </c>
      <c r="K1307" s="28">
        <v>48.0</v>
      </c>
      <c r="P1307" s="134"/>
    </row>
    <row r="1308">
      <c r="C1308" s="124"/>
      <c r="H1308" s="28">
        <v>43.0</v>
      </c>
      <c r="J1308" s="28">
        <v>0.57</v>
      </c>
      <c r="K1308" s="28">
        <v>42.0</v>
      </c>
      <c r="P1308" s="134"/>
    </row>
    <row r="1309">
      <c r="C1309" s="124"/>
      <c r="H1309" s="28">
        <v>42.0</v>
      </c>
      <c r="J1309" s="28">
        <v>0.53</v>
      </c>
      <c r="K1309" s="28">
        <v>48.0</v>
      </c>
      <c r="P1309" s="134"/>
    </row>
    <row r="1310">
      <c r="C1310" s="124"/>
      <c r="H1310" s="28">
        <v>47.0</v>
      </c>
      <c r="J1310" s="28">
        <v>0.48</v>
      </c>
      <c r="K1310" s="28">
        <v>43.0</v>
      </c>
      <c r="P1310" s="134"/>
    </row>
    <row r="1311">
      <c r="C1311" s="124"/>
      <c r="H1311" s="28">
        <v>49.0</v>
      </c>
      <c r="J1311" s="28">
        <v>0.51</v>
      </c>
      <c r="K1311" s="28">
        <v>46.0</v>
      </c>
      <c r="P1311" s="134"/>
    </row>
    <row r="1312">
      <c r="C1312" s="124"/>
      <c r="H1312" s="28">
        <v>43.0</v>
      </c>
      <c r="J1312" s="28">
        <v>0.51</v>
      </c>
      <c r="K1312" s="28">
        <v>49.0</v>
      </c>
      <c r="P1312" s="134"/>
    </row>
    <row r="1313">
      <c r="C1313" s="124"/>
      <c r="H1313" s="28">
        <v>45.0</v>
      </c>
      <c r="J1313" s="28">
        <v>0.56</v>
      </c>
      <c r="K1313" s="28">
        <v>45.0</v>
      </c>
      <c r="P1313" s="134"/>
    </row>
    <row r="1314">
      <c r="C1314" s="124"/>
      <c r="H1314" s="28">
        <v>46.0</v>
      </c>
      <c r="J1314" s="28">
        <v>0.52</v>
      </c>
      <c r="K1314" s="28">
        <v>48.0</v>
      </c>
      <c r="P1314" s="134"/>
    </row>
    <row r="1315">
      <c r="C1315" s="124"/>
      <c r="H1315" s="28">
        <v>45.0</v>
      </c>
      <c r="J1315" s="28">
        <v>0.49</v>
      </c>
      <c r="K1315" s="28">
        <v>46.0</v>
      </c>
      <c r="P1315" s="134"/>
    </row>
    <row r="1316">
      <c r="C1316" s="124"/>
      <c r="H1316" s="28">
        <v>39.0</v>
      </c>
      <c r="J1316" s="28">
        <v>0.43</v>
      </c>
      <c r="K1316" s="28">
        <v>49.0</v>
      </c>
      <c r="P1316" s="134"/>
    </row>
    <row r="1317">
      <c r="C1317" s="124"/>
      <c r="H1317" s="28">
        <v>43.0</v>
      </c>
      <c r="J1317" s="28">
        <v>0.47</v>
      </c>
      <c r="K1317" s="28">
        <v>52.0</v>
      </c>
      <c r="P1317" s="134"/>
    </row>
    <row r="1318">
      <c r="C1318" s="124"/>
      <c r="H1318" s="28">
        <v>45.0</v>
      </c>
      <c r="J1318" s="28">
        <v>0.52</v>
      </c>
      <c r="K1318" s="28">
        <v>43.0</v>
      </c>
      <c r="P1318" s="134"/>
    </row>
    <row r="1319">
      <c r="C1319" s="124"/>
      <c r="H1319" s="28">
        <v>44.0</v>
      </c>
      <c r="J1319" s="28">
        <v>0.55</v>
      </c>
      <c r="K1319" s="28">
        <v>40.0</v>
      </c>
      <c r="P1319" s="134"/>
    </row>
    <row r="1320">
      <c r="C1320" s="124"/>
      <c r="H1320" s="28">
        <v>49.0</v>
      </c>
      <c r="J1320" s="28">
        <v>0.5</v>
      </c>
      <c r="K1320" s="28">
        <v>54.0</v>
      </c>
      <c r="P1320" s="134"/>
    </row>
    <row r="1321">
      <c r="C1321" s="124"/>
      <c r="H1321" s="28">
        <v>42.0</v>
      </c>
      <c r="J1321" s="28">
        <v>0.57</v>
      </c>
      <c r="K1321" s="28">
        <v>50.0</v>
      </c>
      <c r="P1321" s="134"/>
    </row>
    <row r="1322">
      <c r="C1322" s="124"/>
      <c r="H1322" s="28">
        <v>41.0</v>
      </c>
      <c r="J1322" s="28">
        <v>0.58</v>
      </c>
      <c r="K1322" s="28">
        <v>46.0</v>
      </c>
      <c r="P1322" s="134"/>
    </row>
    <row r="1323">
      <c r="C1323" s="124"/>
      <c r="H1323" s="28">
        <v>47.0</v>
      </c>
      <c r="J1323" s="28">
        <v>0.55</v>
      </c>
      <c r="K1323" s="28">
        <v>43.0</v>
      </c>
      <c r="P1323" s="134"/>
    </row>
    <row r="1324">
      <c r="C1324" s="124"/>
      <c r="H1324" s="28">
        <v>41.0</v>
      </c>
      <c r="J1324" s="28">
        <v>0.54</v>
      </c>
      <c r="K1324" s="28">
        <v>41.0</v>
      </c>
      <c r="P1324" s="134"/>
    </row>
    <row r="1325">
      <c r="C1325" s="124"/>
      <c r="H1325" s="28">
        <v>43.0</v>
      </c>
      <c r="J1325" s="28">
        <v>0.49</v>
      </c>
      <c r="K1325" s="28">
        <v>45.0</v>
      </c>
      <c r="P1325" s="134"/>
    </row>
    <row r="1326">
      <c r="C1326" s="124"/>
      <c r="H1326" s="28">
        <v>50.0</v>
      </c>
      <c r="J1326" s="28">
        <v>0.52</v>
      </c>
      <c r="K1326" s="28">
        <v>41.0</v>
      </c>
      <c r="P1326" s="134"/>
    </row>
    <row r="1327">
      <c r="C1327" s="124"/>
      <c r="H1327" s="28">
        <v>41.0</v>
      </c>
      <c r="J1327" s="28">
        <v>0.49</v>
      </c>
      <c r="K1327" s="28">
        <v>43.0</v>
      </c>
      <c r="P1327" s="134"/>
    </row>
    <row r="1328">
      <c r="C1328" s="124"/>
      <c r="H1328" s="28">
        <v>51.0</v>
      </c>
      <c r="J1328" s="28">
        <v>0.48</v>
      </c>
      <c r="K1328" s="28">
        <v>44.0</v>
      </c>
      <c r="P1328" s="134"/>
    </row>
    <row r="1329">
      <c r="C1329" s="124"/>
      <c r="H1329" s="28">
        <v>47.0</v>
      </c>
      <c r="J1329" s="28">
        <v>0.52</v>
      </c>
      <c r="K1329" s="28">
        <v>42.0</v>
      </c>
      <c r="P1329" s="134"/>
    </row>
    <row r="1330">
      <c r="C1330" s="124"/>
      <c r="H1330" s="28">
        <v>45.0</v>
      </c>
      <c r="J1330" s="28">
        <v>0.55</v>
      </c>
      <c r="K1330" s="28">
        <v>44.0</v>
      </c>
      <c r="P1330" s="134"/>
    </row>
    <row r="1331">
      <c r="C1331" s="124"/>
      <c r="H1331" s="28">
        <v>43.0</v>
      </c>
      <c r="J1331" s="28">
        <v>0.43</v>
      </c>
      <c r="K1331" s="28">
        <v>41.0</v>
      </c>
      <c r="P1331" s="134"/>
    </row>
    <row r="1332">
      <c r="C1332" s="124"/>
      <c r="H1332" s="28">
        <v>42.0</v>
      </c>
      <c r="J1332" s="28">
        <v>0.52</v>
      </c>
      <c r="K1332" s="28">
        <v>46.0</v>
      </c>
      <c r="P1332" s="134"/>
    </row>
    <row r="1333">
      <c r="C1333" s="124"/>
      <c r="H1333" s="28">
        <v>43.0</v>
      </c>
      <c r="J1333" s="28">
        <v>0.49</v>
      </c>
      <c r="K1333" s="28">
        <v>44.0</v>
      </c>
      <c r="P1333" s="134"/>
    </row>
    <row r="1334">
      <c r="C1334" s="124"/>
      <c r="H1334" s="28">
        <v>44.0</v>
      </c>
      <c r="J1334" s="28">
        <v>0.56</v>
      </c>
      <c r="K1334" s="28">
        <v>41.0</v>
      </c>
      <c r="P1334" s="134"/>
    </row>
    <row r="1335">
      <c r="C1335" s="124"/>
      <c r="H1335" s="28">
        <v>45.0</v>
      </c>
      <c r="J1335" s="28">
        <v>0.44</v>
      </c>
      <c r="K1335" s="28">
        <v>47.0</v>
      </c>
      <c r="P1335" s="134"/>
    </row>
    <row r="1336">
      <c r="C1336" s="124"/>
      <c r="H1336" s="28">
        <v>42.0</v>
      </c>
      <c r="J1336" s="28">
        <v>0.55</v>
      </c>
      <c r="K1336" s="28">
        <v>41.0</v>
      </c>
      <c r="P1336" s="134"/>
    </row>
    <row r="1337">
      <c r="C1337" s="124"/>
      <c r="H1337" s="28">
        <v>44.0</v>
      </c>
      <c r="J1337" s="28">
        <v>0.48</v>
      </c>
      <c r="K1337" s="28">
        <v>45.0</v>
      </c>
      <c r="P1337" s="134"/>
    </row>
    <row r="1338">
      <c r="C1338" s="124"/>
      <c r="H1338" s="28">
        <v>43.0</v>
      </c>
      <c r="J1338" s="28">
        <v>0.49</v>
      </c>
      <c r="K1338" s="28">
        <v>42.0</v>
      </c>
      <c r="P1338" s="134"/>
    </row>
    <row r="1339">
      <c r="C1339" s="124"/>
      <c r="H1339" s="28">
        <v>47.0</v>
      </c>
      <c r="J1339" s="28">
        <v>0.52</v>
      </c>
      <c r="K1339" s="28">
        <v>48.0</v>
      </c>
      <c r="P1339" s="134"/>
    </row>
    <row r="1340">
      <c r="C1340" s="124"/>
      <c r="H1340" s="28">
        <v>44.0</v>
      </c>
      <c r="J1340" s="28">
        <v>0.51</v>
      </c>
      <c r="K1340" s="28">
        <v>45.0</v>
      </c>
      <c r="P1340" s="134"/>
    </row>
    <row r="1341">
      <c r="C1341" s="124"/>
      <c r="H1341" s="28">
        <v>43.0</v>
      </c>
      <c r="J1341" s="28">
        <v>0.57</v>
      </c>
      <c r="K1341" s="28">
        <v>42.0</v>
      </c>
      <c r="P1341" s="134"/>
    </row>
    <row r="1342">
      <c r="C1342" s="124"/>
      <c r="H1342" s="28">
        <v>45.0</v>
      </c>
      <c r="J1342" s="28">
        <v>0.51</v>
      </c>
      <c r="K1342" s="28">
        <v>42.0</v>
      </c>
      <c r="P1342" s="134"/>
    </row>
    <row r="1343">
      <c r="C1343" s="124"/>
      <c r="H1343" s="28">
        <v>46.0</v>
      </c>
      <c r="J1343" s="28">
        <v>0.58</v>
      </c>
      <c r="K1343" s="28">
        <v>40.0</v>
      </c>
      <c r="P1343" s="134"/>
    </row>
    <row r="1344">
      <c r="C1344" s="124"/>
      <c r="H1344" s="28">
        <v>39.0</v>
      </c>
      <c r="J1344" s="28">
        <v>0.55</v>
      </c>
      <c r="K1344" s="28">
        <v>44.0</v>
      </c>
      <c r="P1344" s="134"/>
    </row>
    <row r="1345">
      <c r="C1345" s="124"/>
      <c r="H1345" s="28">
        <v>40.0</v>
      </c>
      <c r="J1345" s="28">
        <v>0.49</v>
      </c>
      <c r="K1345" s="28">
        <v>43.0</v>
      </c>
      <c r="P1345" s="134"/>
    </row>
    <row r="1346">
      <c r="C1346" s="124"/>
      <c r="H1346" s="28">
        <v>41.0</v>
      </c>
      <c r="J1346" s="28">
        <v>0.49</v>
      </c>
      <c r="K1346" s="28">
        <v>39.0</v>
      </c>
      <c r="P1346" s="134"/>
    </row>
    <row r="1347">
      <c r="C1347" s="124"/>
      <c r="H1347" s="28">
        <v>46.0</v>
      </c>
      <c r="J1347" s="28">
        <v>0.5</v>
      </c>
      <c r="K1347" s="28">
        <v>43.0</v>
      </c>
      <c r="P1347" s="134"/>
    </row>
    <row r="1348">
      <c r="C1348" s="124"/>
      <c r="H1348" s="28">
        <v>39.0</v>
      </c>
      <c r="J1348" s="28">
        <v>0.5</v>
      </c>
      <c r="K1348" s="28">
        <v>41.0</v>
      </c>
      <c r="P1348" s="134"/>
    </row>
    <row r="1349">
      <c r="C1349" s="124"/>
      <c r="H1349" s="28">
        <v>46.0</v>
      </c>
      <c r="J1349" s="28">
        <v>0.49</v>
      </c>
      <c r="K1349" s="28">
        <v>42.0</v>
      </c>
      <c r="P1349" s="134"/>
    </row>
    <row r="1350">
      <c r="C1350" s="124"/>
      <c r="H1350" s="28">
        <v>45.0</v>
      </c>
      <c r="J1350" s="28">
        <v>0.53</v>
      </c>
      <c r="K1350" s="28">
        <v>39.0</v>
      </c>
      <c r="P1350" s="134"/>
    </row>
    <row r="1351">
      <c r="C1351" s="124"/>
      <c r="H1351" s="28">
        <v>49.0</v>
      </c>
      <c r="J1351" s="28">
        <v>0.49</v>
      </c>
      <c r="K1351" s="28">
        <v>44.0</v>
      </c>
      <c r="P1351" s="134"/>
    </row>
    <row r="1352">
      <c r="C1352" s="124"/>
      <c r="H1352" s="28">
        <v>45.0</v>
      </c>
      <c r="J1352" s="28">
        <v>0.54</v>
      </c>
      <c r="K1352" s="28">
        <v>38.0</v>
      </c>
      <c r="P1352" s="134"/>
    </row>
    <row r="1353">
      <c r="C1353" s="124"/>
      <c r="H1353" s="28">
        <v>43.0</v>
      </c>
      <c r="J1353" s="28">
        <v>0.47</v>
      </c>
      <c r="K1353" s="28">
        <v>41.0</v>
      </c>
      <c r="P1353" s="134"/>
    </row>
    <row r="1354">
      <c r="C1354" s="124"/>
      <c r="H1354" s="28">
        <v>48.0</v>
      </c>
      <c r="J1354" s="28">
        <v>0.56</v>
      </c>
      <c r="K1354" s="28">
        <v>37.0</v>
      </c>
      <c r="P1354" s="134"/>
    </row>
    <row r="1355">
      <c r="C1355" s="124"/>
      <c r="H1355" s="28">
        <v>42.0</v>
      </c>
      <c r="J1355" s="28">
        <v>0.54</v>
      </c>
      <c r="K1355" s="28">
        <v>47.0</v>
      </c>
      <c r="P1355" s="134"/>
    </row>
    <row r="1356">
      <c r="C1356" s="124"/>
      <c r="H1356" s="28">
        <v>45.0</v>
      </c>
      <c r="J1356" s="28">
        <v>0.54</v>
      </c>
      <c r="K1356" s="28">
        <v>40.0</v>
      </c>
      <c r="P1356" s="134"/>
    </row>
    <row r="1357">
      <c r="C1357" s="124"/>
      <c r="H1357" s="28">
        <v>46.0</v>
      </c>
      <c r="J1357" s="28">
        <v>0.51</v>
      </c>
      <c r="K1357" s="28">
        <v>45.0</v>
      </c>
      <c r="P1357" s="134"/>
    </row>
    <row r="1358">
      <c r="C1358" s="124"/>
      <c r="H1358" s="28">
        <v>42.0</v>
      </c>
      <c r="J1358" s="28">
        <v>0.59</v>
      </c>
      <c r="K1358" s="28">
        <v>41.0</v>
      </c>
      <c r="P1358" s="134"/>
    </row>
    <row r="1359">
      <c r="C1359" s="124"/>
      <c r="H1359" s="28">
        <v>47.0</v>
      </c>
      <c r="J1359" s="28">
        <v>0.48</v>
      </c>
      <c r="K1359" s="28">
        <v>44.0</v>
      </c>
      <c r="P1359" s="134"/>
    </row>
    <row r="1360">
      <c r="C1360" s="124"/>
      <c r="H1360" s="28">
        <v>44.0</v>
      </c>
      <c r="J1360" s="28">
        <v>0.53</v>
      </c>
      <c r="K1360" s="28">
        <v>48.0</v>
      </c>
      <c r="P1360" s="134"/>
    </row>
    <row r="1361">
      <c r="C1361" s="124"/>
      <c r="H1361" s="28">
        <v>43.0</v>
      </c>
      <c r="J1361" s="28">
        <v>0.51</v>
      </c>
      <c r="K1361" s="28">
        <v>49.0</v>
      </c>
      <c r="P1361" s="134"/>
    </row>
    <row r="1362">
      <c r="C1362" s="124"/>
      <c r="H1362" s="28">
        <v>43.0</v>
      </c>
      <c r="J1362" s="28">
        <v>0.57</v>
      </c>
      <c r="K1362" s="28">
        <v>41.0</v>
      </c>
      <c r="P1362" s="134"/>
    </row>
    <row r="1363">
      <c r="C1363" s="124"/>
      <c r="H1363" s="28">
        <v>46.0</v>
      </c>
      <c r="J1363" s="28">
        <v>0.5</v>
      </c>
      <c r="K1363" s="28">
        <v>42.0</v>
      </c>
      <c r="P1363" s="134"/>
    </row>
    <row r="1364">
      <c r="C1364" s="124"/>
      <c r="H1364" s="28">
        <v>51.0</v>
      </c>
      <c r="J1364" s="28">
        <v>0.47</v>
      </c>
      <c r="K1364" s="28">
        <v>39.0</v>
      </c>
      <c r="P1364" s="134"/>
    </row>
    <row r="1365">
      <c r="C1365" s="124"/>
      <c r="H1365" s="28">
        <v>44.0</v>
      </c>
      <c r="J1365" s="28">
        <v>0.47</v>
      </c>
      <c r="K1365" s="28">
        <v>46.0</v>
      </c>
      <c r="P1365" s="134"/>
    </row>
    <row r="1366">
      <c r="C1366" s="124"/>
      <c r="H1366" s="28">
        <v>46.0</v>
      </c>
      <c r="J1366" s="28">
        <v>0.5</v>
      </c>
      <c r="K1366" s="28">
        <v>42.0</v>
      </c>
      <c r="P1366" s="134"/>
    </row>
    <row r="1367">
      <c r="C1367" s="124"/>
      <c r="H1367" s="28">
        <v>45.0</v>
      </c>
      <c r="J1367" s="28">
        <v>0.48</v>
      </c>
      <c r="K1367" s="28">
        <v>45.0</v>
      </c>
      <c r="P1367" s="134"/>
    </row>
    <row r="1368">
      <c r="C1368" s="124"/>
      <c r="H1368" s="28">
        <v>44.0</v>
      </c>
      <c r="J1368" s="28">
        <v>0.5</v>
      </c>
      <c r="K1368" s="28">
        <v>46.0</v>
      </c>
      <c r="P1368" s="134"/>
    </row>
    <row r="1369">
      <c r="C1369" s="124"/>
      <c r="H1369" s="28">
        <v>42.0</v>
      </c>
      <c r="J1369" s="28">
        <v>0.51</v>
      </c>
      <c r="K1369" s="28">
        <v>43.0</v>
      </c>
      <c r="P1369" s="134"/>
    </row>
    <row r="1370">
      <c r="C1370" s="124"/>
      <c r="H1370" s="28">
        <v>47.0</v>
      </c>
      <c r="J1370" s="28">
        <v>0.51</v>
      </c>
      <c r="K1370" s="28">
        <v>41.0</v>
      </c>
      <c r="P1370" s="134"/>
    </row>
    <row r="1371">
      <c r="C1371" s="124"/>
      <c r="H1371" s="28">
        <v>47.0</v>
      </c>
      <c r="J1371" s="28">
        <v>0.5</v>
      </c>
      <c r="K1371" s="28">
        <v>46.0</v>
      </c>
      <c r="P1371" s="134"/>
    </row>
    <row r="1372">
      <c r="C1372" s="124"/>
      <c r="H1372" s="28">
        <v>45.0</v>
      </c>
      <c r="J1372" s="28">
        <v>0.51</v>
      </c>
      <c r="K1372" s="28">
        <v>45.0</v>
      </c>
      <c r="P1372" s="134"/>
    </row>
    <row r="1373">
      <c r="C1373" s="124"/>
      <c r="H1373" s="28">
        <v>42.0</v>
      </c>
      <c r="J1373" s="28">
        <v>0.51</v>
      </c>
      <c r="K1373" s="28">
        <v>40.0</v>
      </c>
      <c r="P1373" s="134"/>
    </row>
    <row r="1374">
      <c r="C1374" s="124"/>
      <c r="H1374" s="28">
        <v>40.0</v>
      </c>
      <c r="J1374" s="28">
        <v>0.48</v>
      </c>
      <c r="K1374" s="28">
        <v>40.0</v>
      </c>
      <c r="P1374" s="134"/>
    </row>
    <row r="1375">
      <c r="C1375" s="124"/>
      <c r="H1375" s="28">
        <v>45.0</v>
      </c>
      <c r="J1375" s="28">
        <v>0.47</v>
      </c>
      <c r="K1375" s="28">
        <v>44.0</v>
      </c>
      <c r="P1375" s="134"/>
    </row>
    <row r="1376">
      <c r="C1376" s="124"/>
      <c r="H1376" s="28">
        <v>50.0</v>
      </c>
      <c r="J1376" s="28">
        <v>0.5</v>
      </c>
      <c r="K1376" s="28">
        <v>43.0</v>
      </c>
      <c r="P1376" s="134"/>
    </row>
    <row r="1377">
      <c r="C1377" s="124"/>
      <c r="H1377" s="28">
        <v>51.0</v>
      </c>
      <c r="J1377" s="28">
        <v>0.51</v>
      </c>
      <c r="K1377" s="28">
        <v>42.0</v>
      </c>
      <c r="P1377" s="134"/>
    </row>
    <row r="1378">
      <c r="C1378" s="124"/>
      <c r="H1378" s="28">
        <v>45.0</v>
      </c>
      <c r="J1378" s="28">
        <v>0.51</v>
      </c>
      <c r="K1378" s="28">
        <v>38.0</v>
      </c>
      <c r="P1378" s="134"/>
    </row>
    <row r="1379">
      <c r="C1379" s="124"/>
      <c r="H1379" s="28">
        <v>45.0</v>
      </c>
      <c r="J1379" s="28">
        <v>0.48</v>
      </c>
      <c r="K1379" s="28">
        <v>43.0</v>
      </c>
      <c r="P1379" s="134"/>
    </row>
    <row r="1380">
      <c r="C1380" s="124"/>
      <c r="H1380" s="28">
        <v>45.0</v>
      </c>
      <c r="J1380" s="28">
        <v>0.5</v>
      </c>
      <c r="K1380" s="28">
        <v>45.0</v>
      </c>
      <c r="P1380" s="134"/>
    </row>
    <row r="1381">
      <c r="C1381" s="124"/>
      <c r="H1381" s="28">
        <v>46.0</v>
      </c>
      <c r="J1381" s="28">
        <v>0.46</v>
      </c>
      <c r="K1381" s="28">
        <v>42.0</v>
      </c>
      <c r="P1381" s="134"/>
    </row>
    <row r="1382">
      <c r="C1382" s="124"/>
      <c r="H1382" s="28">
        <v>44.0</v>
      </c>
      <c r="J1382" s="28">
        <v>0.54</v>
      </c>
      <c r="K1382" s="28">
        <v>40.0</v>
      </c>
      <c r="P1382" s="134"/>
    </row>
    <row r="1383">
      <c r="C1383" s="124"/>
      <c r="H1383" s="28">
        <v>49.0</v>
      </c>
      <c r="J1383" s="28">
        <v>0.51</v>
      </c>
      <c r="K1383" s="28">
        <v>44.0</v>
      </c>
      <c r="P1383" s="134"/>
    </row>
    <row r="1384">
      <c r="C1384" s="124"/>
      <c r="H1384" s="28">
        <v>46.0</v>
      </c>
      <c r="J1384" s="28">
        <v>0.48</v>
      </c>
      <c r="K1384" s="28">
        <v>43.0</v>
      </c>
      <c r="P1384" s="134"/>
    </row>
    <row r="1385">
      <c r="C1385" s="124"/>
      <c r="H1385" s="28">
        <v>43.0</v>
      </c>
      <c r="J1385" s="28">
        <v>0.48</v>
      </c>
      <c r="K1385" s="28">
        <v>45.0</v>
      </c>
      <c r="P1385" s="134"/>
    </row>
    <row r="1386">
      <c r="C1386" s="124"/>
      <c r="H1386" s="28">
        <v>44.0</v>
      </c>
      <c r="J1386" s="28">
        <v>0.48</v>
      </c>
      <c r="K1386" s="28">
        <v>38.0</v>
      </c>
      <c r="P1386" s="134"/>
    </row>
    <row r="1387">
      <c r="C1387" s="124"/>
      <c r="H1387" s="28">
        <v>49.0</v>
      </c>
      <c r="J1387" s="28">
        <v>0.53</v>
      </c>
      <c r="K1387" s="28">
        <v>46.0</v>
      </c>
      <c r="P1387" s="134"/>
    </row>
    <row r="1388">
      <c r="C1388" s="124"/>
      <c r="H1388" s="28">
        <v>45.0</v>
      </c>
      <c r="J1388" s="28">
        <v>0.52</v>
      </c>
      <c r="K1388" s="28">
        <v>44.0</v>
      </c>
      <c r="P1388" s="134"/>
    </row>
    <row r="1389">
      <c r="C1389" s="124"/>
      <c r="H1389" s="28">
        <v>46.0</v>
      </c>
      <c r="J1389" s="28">
        <v>0.49</v>
      </c>
      <c r="K1389" s="28">
        <v>40.0</v>
      </c>
      <c r="P1389" s="134"/>
    </row>
    <row r="1390">
      <c r="C1390" s="124"/>
      <c r="H1390" s="28">
        <v>43.0</v>
      </c>
      <c r="J1390" s="28">
        <v>0.52</v>
      </c>
      <c r="K1390" s="28">
        <v>41.0</v>
      </c>
      <c r="P1390" s="134"/>
    </row>
    <row r="1391">
      <c r="C1391" s="124"/>
      <c r="H1391" s="28">
        <v>44.0</v>
      </c>
      <c r="J1391" s="28">
        <v>0.47</v>
      </c>
      <c r="K1391" s="28">
        <v>43.0</v>
      </c>
      <c r="P1391" s="134"/>
    </row>
    <row r="1392">
      <c r="C1392" s="124"/>
      <c r="H1392" s="28">
        <v>43.0</v>
      </c>
      <c r="J1392" s="28">
        <v>0.52</v>
      </c>
      <c r="K1392" s="28">
        <v>44.0</v>
      </c>
      <c r="P1392" s="134"/>
    </row>
    <row r="1393">
      <c r="C1393" s="124"/>
      <c r="H1393" s="28">
        <v>47.0</v>
      </c>
      <c r="J1393" s="28">
        <v>0.48</v>
      </c>
      <c r="K1393" s="28">
        <v>44.0</v>
      </c>
      <c r="P1393" s="134"/>
    </row>
    <row r="1394">
      <c r="C1394" s="124"/>
      <c r="H1394" s="28">
        <v>46.0</v>
      </c>
      <c r="J1394" s="28">
        <v>0.5</v>
      </c>
      <c r="K1394" s="28">
        <v>40.0</v>
      </c>
      <c r="P1394" s="134"/>
    </row>
    <row r="1395">
      <c r="C1395" s="124"/>
      <c r="H1395" s="28">
        <v>46.0</v>
      </c>
      <c r="J1395" s="28">
        <v>0.5</v>
      </c>
      <c r="K1395" s="28">
        <v>40.0</v>
      </c>
      <c r="P1395" s="134"/>
    </row>
    <row r="1396">
      <c r="C1396" s="124"/>
      <c r="H1396" s="28">
        <v>41.0</v>
      </c>
      <c r="J1396" s="28">
        <v>0.45</v>
      </c>
      <c r="K1396" s="28">
        <v>45.0</v>
      </c>
      <c r="P1396" s="134"/>
    </row>
    <row r="1397">
      <c r="C1397" s="124"/>
      <c r="H1397" s="28">
        <v>42.0</v>
      </c>
      <c r="J1397" s="28">
        <v>0.46</v>
      </c>
      <c r="K1397" s="28">
        <v>46.0</v>
      </c>
      <c r="P1397" s="134"/>
    </row>
    <row r="1398">
      <c r="C1398" s="124"/>
      <c r="H1398" s="28">
        <v>42.0</v>
      </c>
      <c r="J1398" s="28">
        <v>0.49</v>
      </c>
      <c r="K1398" s="28">
        <v>46.0</v>
      </c>
      <c r="P1398" s="134"/>
    </row>
    <row r="1399">
      <c r="C1399" s="124"/>
      <c r="H1399" s="28">
        <v>45.0</v>
      </c>
      <c r="J1399" s="28">
        <v>0.53</v>
      </c>
      <c r="K1399" s="28">
        <v>45.0</v>
      </c>
      <c r="P1399" s="134"/>
    </row>
    <row r="1400">
      <c r="C1400" s="124"/>
      <c r="H1400" s="28">
        <v>44.0</v>
      </c>
      <c r="J1400" s="28">
        <v>0.52</v>
      </c>
      <c r="K1400" s="28">
        <v>43.0</v>
      </c>
      <c r="P1400" s="134"/>
    </row>
    <row r="1401">
      <c r="C1401" s="124"/>
      <c r="H1401" s="28">
        <v>48.0</v>
      </c>
      <c r="J1401" s="28">
        <v>0.47</v>
      </c>
      <c r="K1401" s="28">
        <v>39.0</v>
      </c>
      <c r="P1401" s="134"/>
    </row>
    <row r="1402">
      <c r="C1402" s="124"/>
      <c r="H1402" s="28">
        <v>47.0</v>
      </c>
      <c r="J1402" s="28">
        <v>0.49</v>
      </c>
      <c r="K1402" s="28">
        <v>41.0</v>
      </c>
      <c r="P1402" s="134"/>
    </row>
    <row r="1403">
      <c r="C1403" s="124"/>
      <c r="H1403" s="28">
        <v>47.0</v>
      </c>
      <c r="J1403" s="28">
        <v>0.63</v>
      </c>
      <c r="K1403" s="28">
        <v>42.0</v>
      </c>
      <c r="P1403" s="134"/>
    </row>
    <row r="1404">
      <c r="C1404" s="124"/>
      <c r="H1404" s="28">
        <v>46.0</v>
      </c>
      <c r="J1404" s="28">
        <v>0.56</v>
      </c>
      <c r="K1404" s="28">
        <v>48.0</v>
      </c>
      <c r="P1404" s="134"/>
    </row>
    <row r="1405">
      <c r="C1405" s="124"/>
      <c r="H1405" s="28">
        <v>47.0</v>
      </c>
      <c r="J1405" s="28">
        <v>0.48</v>
      </c>
      <c r="K1405" s="28">
        <v>46.0</v>
      </c>
      <c r="P1405" s="134"/>
    </row>
    <row r="1406">
      <c r="C1406" s="124"/>
      <c r="H1406" s="28">
        <v>44.0</v>
      </c>
      <c r="J1406" s="28">
        <v>0.5</v>
      </c>
      <c r="K1406" s="28">
        <v>44.0</v>
      </c>
      <c r="P1406" s="134"/>
    </row>
    <row r="1407">
      <c r="C1407" s="124"/>
      <c r="H1407" s="28">
        <v>47.0</v>
      </c>
      <c r="J1407" s="28">
        <v>0.48</v>
      </c>
      <c r="K1407" s="28">
        <v>44.0</v>
      </c>
      <c r="P1407" s="134"/>
    </row>
    <row r="1408">
      <c r="C1408" s="124"/>
      <c r="H1408" s="28">
        <v>47.0</v>
      </c>
      <c r="J1408" s="28">
        <v>0.58</v>
      </c>
      <c r="K1408" s="28">
        <v>42.0</v>
      </c>
      <c r="P1408" s="134"/>
    </row>
    <row r="1409">
      <c r="C1409" s="124"/>
      <c r="H1409" s="28">
        <v>44.0</v>
      </c>
      <c r="J1409" s="28">
        <v>0.46</v>
      </c>
      <c r="K1409" s="28">
        <v>41.0</v>
      </c>
      <c r="P1409" s="134"/>
    </row>
    <row r="1410">
      <c r="C1410" s="124"/>
      <c r="H1410" s="28">
        <v>44.0</v>
      </c>
      <c r="J1410" s="28">
        <v>0.54</v>
      </c>
      <c r="K1410" s="28">
        <v>43.0</v>
      </c>
      <c r="P1410" s="134"/>
    </row>
    <row r="1411">
      <c r="C1411" s="124"/>
      <c r="H1411" s="28">
        <v>46.0</v>
      </c>
      <c r="J1411" s="28">
        <v>0.47</v>
      </c>
      <c r="K1411" s="28">
        <v>48.0</v>
      </c>
      <c r="P1411" s="134"/>
    </row>
    <row r="1412">
      <c r="C1412" s="124"/>
      <c r="H1412" s="28">
        <v>44.0</v>
      </c>
      <c r="J1412" s="28">
        <v>0.52</v>
      </c>
      <c r="K1412" s="28">
        <v>43.0</v>
      </c>
      <c r="P1412" s="134"/>
    </row>
    <row r="1413">
      <c r="C1413" s="124"/>
      <c r="H1413" s="28">
        <v>40.0</v>
      </c>
      <c r="J1413" s="28">
        <v>0.49</v>
      </c>
      <c r="K1413" s="28">
        <v>41.0</v>
      </c>
      <c r="P1413" s="134"/>
    </row>
    <row r="1414">
      <c r="C1414" s="124"/>
      <c r="H1414" s="28">
        <v>46.0</v>
      </c>
      <c r="J1414" s="28">
        <v>0.57</v>
      </c>
      <c r="K1414" s="28">
        <v>39.0</v>
      </c>
      <c r="P1414" s="134"/>
    </row>
    <row r="1415">
      <c r="C1415" s="124"/>
      <c r="H1415" s="28">
        <v>52.0</v>
      </c>
      <c r="J1415" s="28">
        <v>0.55</v>
      </c>
      <c r="K1415" s="28">
        <v>45.0</v>
      </c>
      <c r="P1415" s="134"/>
    </row>
    <row r="1416">
      <c r="C1416" s="124"/>
      <c r="H1416" s="28">
        <v>46.0</v>
      </c>
      <c r="J1416" s="28">
        <v>0.55</v>
      </c>
      <c r="K1416" s="28">
        <v>42.0</v>
      </c>
      <c r="P1416" s="134"/>
    </row>
    <row r="1417">
      <c r="C1417" s="124"/>
      <c r="H1417" s="28">
        <v>42.0</v>
      </c>
      <c r="J1417" s="28">
        <v>0.57</v>
      </c>
      <c r="K1417" s="28">
        <v>39.0</v>
      </c>
      <c r="P1417" s="134"/>
    </row>
    <row r="1418">
      <c r="C1418" s="124"/>
      <c r="H1418" s="28">
        <v>44.0</v>
      </c>
      <c r="J1418" s="28">
        <v>0.47</v>
      </c>
      <c r="K1418" s="28">
        <v>44.0</v>
      </c>
      <c r="P1418" s="134"/>
    </row>
    <row r="1419">
      <c r="C1419" s="124"/>
      <c r="H1419" s="28">
        <v>45.0</v>
      </c>
      <c r="J1419" s="28">
        <v>0.53</v>
      </c>
      <c r="K1419" s="28">
        <v>45.0</v>
      </c>
      <c r="P1419" s="134"/>
    </row>
    <row r="1420">
      <c r="C1420" s="124"/>
      <c r="H1420" s="28">
        <v>43.0</v>
      </c>
      <c r="J1420" s="28">
        <v>0.5</v>
      </c>
      <c r="K1420" s="28">
        <v>42.0</v>
      </c>
      <c r="P1420" s="134"/>
    </row>
    <row r="1421">
      <c r="C1421" s="124"/>
      <c r="H1421" s="28">
        <v>38.0</v>
      </c>
      <c r="J1421" s="28">
        <v>0.47</v>
      </c>
      <c r="K1421" s="28">
        <v>40.0</v>
      </c>
      <c r="P1421" s="134"/>
    </row>
    <row r="1422">
      <c r="C1422" s="124"/>
      <c r="H1422" s="28">
        <v>44.0</v>
      </c>
      <c r="J1422" s="28">
        <v>0.54</v>
      </c>
      <c r="K1422" s="28">
        <v>44.0</v>
      </c>
      <c r="P1422" s="134"/>
    </row>
    <row r="1423">
      <c r="C1423" s="124"/>
      <c r="H1423" s="28">
        <v>46.0</v>
      </c>
      <c r="J1423" s="28">
        <v>0.49</v>
      </c>
      <c r="K1423" s="28">
        <v>42.0</v>
      </c>
      <c r="P1423" s="134"/>
    </row>
    <row r="1424">
      <c r="C1424" s="124"/>
      <c r="H1424" s="28">
        <v>38.0</v>
      </c>
      <c r="J1424" s="28">
        <v>0.49</v>
      </c>
      <c r="K1424" s="28">
        <v>40.0</v>
      </c>
      <c r="P1424" s="134"/>
    </row>
    <row r="1425">
      <c r="C1425" s="124"/>
      <c r="H1425" s="28">
        <v>45.0</v>
      </c>
      <c r="J1425" s="28">
        <v>0.53</v>
      </c>
      <c r="K1425" s="28">
        <v>35.0</v>
      </c>
      <c r="P1425" s="134"/>
    </row>
    <row r="1426">
      <c r="C1426" s="124"/>
      <c r="H1426" s="28">
        <v>43.0</v>
      </c>
      <c r="J1426" s="28">
        <v>0.51</v>
      </c>
      <c r="K1426" s="28">
        <v>40.0</v>
      </c>
      <c r="P1426" s="134"/>
    </row>
    <row r="1427">
      <c r="C1427" s="124"/>
      <c r="H1427" s="28">
        <v>46.0</v>
      </c>
      <c r="J1427" s="28">
        <v>0.49</v>
      </c>
      <c r="K1427" s="28">
        <v>44.0</v>
      </c>
      <c r="P1427" s="134"/>
    </row>
    <row r="1428">
      <c r="C1428" s="124"/>
      <c r="H1428" s="28">
        <v>42.0</v>
      </c>
      <c r="J1428" s="28">
        <v>0.51</v>
      </c>
      <c r="K1428" s="28">
        <v>45.0</v>
      </c>
      <c r="P1428" s="134"/>
    </row>
    <row r="1429">
      <c r="C1429" s="124"/>
      <c r="H1429" s="28">
        <v>46.0</v>
      </c>
      <c r="J1429" s="28">
        <v>0.45</v>
      </c>
      <c r="K1429" s="28">
        <v>46.0</v>
      </c>
      <c r="P1429" s="134"/>
    </row>
    <row r="1430">
      <c r="C1430" s="124"/>
      <c r="H1430" s="28">
        <v>44.0</v>
      </c>
      <c r="J1430" s="28">
        <v>0.48</v>
      </c>
      <c r="K1430" s="28">
        <v>42.0</v>
      </c>
      <c r="P1430" s="134"/>
    </row>
    <row r="1431">
      <c r="C1431" s="124"/>
      <c r="H1431" s="28">
        <v>46.0</v>
      </c>
      <c r="J1431" s="28">
        <v>0.49</v>
      </c>
      <c r="K1431" s="28">
        <v>48.0</v>
      </c>
      <c r="P1431" s="134"/>
    </row>
    <row r="1432">
      <c r="C1432" s="124"/>
      <c r="H1432" s="28">
        <v>40.0</v>
      </c>
      <c r="J1432" s="28">
        <v>0.48</v>
      </c>
      <c r="K1432" s="28">
        <v>39.0</v>
      </c>
      <c r="P1432" s="134"/>
    </row>
    <row r="1433">
      <c r="C1433" s="124"/>
      <c r="H1433" s="28">
        <v>45.0</v>
      </c>
      <c r="J1433" s="28">
        <v>0.54</v>
      </c>
      <c r="K1433" s="28">
        <v>41.0</v>
      </c>
      <c r="P1433" s="134"/>
    </row>
    <row r="1434">
      <c r="C1434" s="124"/>
      <c r="H1434" s="28">
        <v>39.0</v>
      </c>
      <c r="J1434" s="28">
        <v>0.54</v>
      </c>
      <c r="K1434" s="28">
        <v>38.0</v>
      </c>
      <c r="P1434" s="134"/>
    </row>
    <row r="1435">
      <c r="C1435" s="124"/>
      <c r="H1435" s="28">
        <v>42.0</v>
      </c>
      <c r="J1435" s="28">
        <v>0.55</v>
      </c>
      <c r="K1435" s="28">
        <v>42.0</v>
      </c>
      <c r="P1435" s="134"/>
    </row>
    <row r="1436">
      <c r="C1436" s="124"/>
      <c r="H1436" s="28">
        <v>45.0</v>
      </c>
      <c r="J1436" s="28">
        <v>0.51</v>
      </c>
      <c r="K1436" s="28">
        <v>48.0</v>
      </c>
      <c r="P1436" s="134"/>
    </row>
    <row r="1437">
      <c r="C1437" s="124"/>
      <c r="H1437" s="28">
        <v>48.0</v>
      </c>
      <c r="J1437" s="28">
        <v>0.49</v>
      </c>
      <c r="K1437" s="28">
        <v>47.0</v>
      </c>
      <c r="P1437" s="134"/>
    </row>
    <row r="1438">
      <c r="C1438" s="124"/>
      <c r="H1438" s="28">
        <v>44.0</v>
      </c>
      <c r="J1438" s="28">
        <v>0.5</v>
      </c>
      <c r="K1438" s="28">
        <v>40.0</v>
      </c>
      <c r="P1438" s="134"/>
    </row>
    <row r="1439">
      <c r="C1439" s="124"/>
      <c r="H1439" s="28">
        <v>44.0</v>
      </c>
      <c r="J1439" s="28">
        <v>0.53</v>
      </c>
      <c r="K1439" s="28">
        <v>48.0</v>
      </c>
      <c r="P1439" s="134"/>
    </row>
    <row r="1440">
      <c r="C1440" s="124"/>
      <c r="H1440" s="28">
        <v>46.0</v>
      </c>
      <c r="J1440" s="28">
        <v>0.5</v>
      </c>
      <c r="K1440" s="28">
        <v>45.0</v>
      </c>
      <c r="P1440" s="134"/>
    </row>
    <row r="1441">
      <c r="C1441" s="124"/>
      <c r="H1441" s="28">
        <v>46.0</v>
      </c>
      <c r="J1441" s="28">
        <v>0.45</v>
      </c>
      <c r="K1441" s="28">
        <v>46.0</v>
      </c>
      <c r="P1441" s="134"/>
    </row>
    <row r="1442">
      <c r="C1442" s="124"/>
      <c r="H1442" s="28">
        <v>39.0</v>
      </c>
      <c r="J1442" s="28">
        <v>0.5</v>
      </c>
      <c r="K1442" s="28">
        <v>42.0</v>
      </c>
      <c r="P1442" s="134"/>
    </row>
    <row r="1443">
      <c r="C1443" s="124"/>
      <c r="H1443" s="28">
        <v>47.0</v>
      </c>
      <c r="J1443" s="28">
        <v>0.55</v>
      </c>
      <c r="K1443" s="28">
        <v>42.0</v>
      </c>
      <c r="P1443" s="134"/>
    </row>
    <row r="1444">
      <c r="C1444" s="124"/>
      <c r="H1444" s="28">
        <v>44.0</v>
      </c>
      <c r="J1444" s="28">
        <v>0.46</v>
      </c>
      <c r="K1444" s="28">
        <v>46.0</v>
      </c>
      <c r="P1444" s="134"/>
    </row>
    <row r="1445">
      <c r="C1445" s="124"/>
      <c r="H1445" s="28">
        <v>45.0</v>
      </c>
      <c r="J1445" s="28">
        <v>0.57</v>
      </c>
      <c r="K1445" s="28">
        <v>50.0</v>
      </c>
      <c r="P1445" s="134"/>
    </row>
    <row r="1446">
      <c r="C1446" s="124"/>
      <c r="H1446" s="28">
        <v>45.0</v>
      </c>
      <c r="J1446" s="28">
        <v>0.51</v>
      </c>
      <c r="K1446" s="28">
        <v>47.0</v>
      </c>
      <c r="P1446" s="134"/>
    </row>
    <row r="1447">
      <c r="C1447" s="124"/>
      <c r="H1447" s="28">
        <v>44.0</v>
      </c>
      <c r="J1447" s="28">
        <v>0.45</v>
      </c>
      <c r="K1447" s="28">
        <v>43.0</v>
      </c>
      <c r="P1447" s="134"/>
    </row>
    <row r="1448">
      <c r="C1448" s="124"/>
      <c r="H1448" s="28">
        <v>45.0</v>
      </c>
      <c r="J1448" s="28">
        <v>0.48</v>
      </c>
      <c r="K1448" s="28">
        <v>47.0</v>
      </c>
      <c r="P1448" s="134"/>
    </row>
    <row r="1449">
      <c r="C1449" s="124"/>
      <c r="H1449" s="28">
        <v>47.0</v>
      </c>
      <c r="J1449" s="28">
        <v>0.55</v>
      </c>
      <c r="K1449" s="28">
        <v>44.0</v>
      </c>
      <c r="P1449" s="134"/>
    </row>
    <row r="1450">
      <c r="C1450" s="124"/>
      <c r="H1450" s="28">
        <v>45.0</v>
      </c>
      <c r="J1450" s="28">
        <v>0.55</v>
      </c>
      <c r="K1450" s="28">
        <v>38.0</v>
      </c>
      <c r="P1450" s="134"/>
    </row>
    <row r="1451">
      <c r="C1451" s="124"/>
      <c r="H1451" s="28">
        <v>44.0</v>
      </c>
      <c r="J1451" s="28">
        <v>0.49</v>
      </c>
      <c r="K1451" s="28">
        <v>46.0</v>
      </c>
      <c r="P1451" s="134"/>
    </row>
    <row r="1452">
      <c r="C1452" s="124"/>
      <c r="H1452" s="28">
        <v>47.0</v>
      </c>
      <c r="J1452" s="28">
        <v>0.52</v>
      </c>
      <c r="K1452" s="28">
        <v>43.0</v>
      </c>
      <c r="P1452" s="134"/>
    </row>
    <row r="1453">
      <c r="C1453" s="124"/>
      <c r="H1453" s="28">
        <v>42.0</v>
      </c>
      <c r="J1453" s="28">
        <v>0.49</v>
      </c>
      <c r="K1453" s="28">
        <v>40.0</v>
      </c>
      <c r="P1453" s="134"/>
    </row>
    <row r="1454">
      <c r="C1454" s="124"/>
      <c r="H1454" s="28">
        <v>42.0</v>
      </c>
      <c r="J1454" s="28">
        <v>0.48</v>
      </c>
      <c r="K1454" s="28">
        <v>43.0</v>
      </c>
      <c r="P1454" s="134"/>
    </row>
    <row r="1455">
      <c r="C1455" s="124"/>
      <c r="H1455" s="28">
        <v>49.0</v>
      </c>
      <c r="J1455" s="28">
        <v>0.49</v>
      </c>
      <c r="K1455" s="28">
        <v>45.0</v>
      </c>
      <c r="P1455" s="134"/>
    </row>
    <row r="1456">
      <c r="C1456" s="124"/>
      <c r="H1456" s="28">
        <v>48.0</v>
      </c>
      <c r="J1456" s="28">
        <v>0.55</v>
      </c>
      <c r="K1456" s="28">
        <v>48.0</v>
      </c>
      <c r="P1456" s="134"/>
    </row>
    <row r="1457">
      <c r="C1457" s="124"/>
      <c r="H1457" s="28">
        <v>43.0</v>
      </c>
      <c r="J1457" s="28">
        <v>0.51</v>
      </c>
      <c r="K1457" s="28">
        <v>48.0</v>
      </c>
      <c r="P1457" s="134"/>
    </row>
    <row r="1458">
      <c r="C1458" s="124"/>
      <c r="H1458" s="28">
        <v>47.0</v>
      </c>
      <c r="J1458" s="28">
        <v>0.53</v>
      </c>
      <c r="K1458" s="28">
        <v>48.0</v>
      </c>
      <c r="P1458" s="134"/>
    </row>
    <row r="1459">
      <c r="C1459" s="124"/>
      <c r="H1459" s="28">
        <v>45.0</v>
      </c>
      <c r="J1459" s="28">
        <v>0.52</v>
      </c>
      <c r="K1459" s="28">
        <v>49.0</v>
      </c>
      <c r="P1459" s="134"/>
    </row>
    <row r="1460">
      <c r="C1460" s="124"/>
      <c r="H1460" s="28">
        <v>42.0</v>
      </c>
      <c r="J1460" s="28">
        <v>0.55</v>
      </c>
      <c r="K1460" s="28">
        <v>45.0</v>
      </c>
      <c r="P1460" s="134"/>
    </row>
    <row r="1461">
      <c r="C1461" s="124"/>
      <c r="H1461" s="28">
        <v>45.0</v>
      </c>
      <c r="J1461" s="28">
        <v>0.5</v>
      </c>
      <c r="K1461" s="28">
        <v>41.0</v>
      </c>
      <c r="P1461" s="134"/>
    </row>
    <row r="1462">
      <c r="C1462" s="124"/>
      <c r="H1462" s="28">
        <v>41.0</v>
      </c>
      <c r="J1462" s="28">
        <v>0.51</v>
      </c>
      <c r="K1462" s="28">
        <v>40.0</v>
      </c>
      <c r="P1462" s="134"/>
    </row>
    <row r="1463">
      <c r="C1463" s="124"/>
      <c r="H1463" s="28">
        <v>48.0</v>
      </c>
      <c r="J1463" s="28">
        <v>0.47</v>
      </c>
      <c r="K1463" s="28">
        <v>41.0</v>
      </c>
      <c r="P1463" s="134"/>
    </row>
    <row r="1464">
      <c r="C1464" s="124"/>
      <c r="H1464" s="28">
        <v>39.0</v>
      </c>
      <c r="J1464" s="28">
        <v>0.5</v>
      </c>
      <c r="K1464" s="28">
        <v>37.0</v>
      </c>
      <c r="P1464" s="134"/>
    </row>
    <row r="1465">
      <c r="C1465" s="124"/>
      <c r="H1465" s="28">
        <v>43.0</v>
      </c>
      <c r="J1465" s="28">
        <v>0.52</v>
      </c>
      <c r="K1465" s="28">
        <v>47.0</v>
      </c>
      <c r="P1465" s="134"/>
    </row>
    <row r="1466">
      <c r="C1466" s="124"/>
      <c r="H1466" s="28">
        <v>42.0</v>
      </c>
      <c r="J1466" s="28">
        <v>0.52</v>
      </c>
      <c r="K1466" s="28">
        <v>46.0</v>
      </c>
      <c r="P1466" s="134"/>
    </row>
    <row r="1467">
      <c r="C1467" s="124"/>
      <c r="H1467" s="28">
        <v>44.0</v>
      </c>
      <c r="J1467" s="28">
        <v>0.47</v>
      </c>
      <c r="K1467" s="28">
        <v>41.0</v>
      </c>
      <c r="P1467" s="134"/>
    </row>
    <row r="1468">
      <c r="C1468" s="124"/>
      <c r="H1468" s="28">
        <v>45.0</v>
      </c>
      <c r="J1468" s="28">
        <v>0.56</v>
      </c>
      <c r="K1468" s="28">
        <v>45.0</v>
      </c>
      <c r="P1468" s="134"/>
    </row>
    <row r="1469">
      <c r="C1469" s="124"/>
      <c r="H1469" s="28">
        <v>50.0</v>
      </c>
      <c r="J1469" s="28">
        <v>0.5</v>
      </c>
      <c r="K1469" s="28">
        <v>48.0</v>
      </c>
      <c r="P1469" s="134"/>
    </row>
    <row r="1470">
      <c r="C1470" s="124"/>
      <c r="H1470" s="28">
        <v>45.0</v>
      </c>
      <c r="J1470" s="28">
        <v>0.52</v>
      </c>
      <c r="K1470" s="28">
        <v>49.0</v>
      </c>
      <c r="P1470" s="134"/>
    </row>
    <row r="1471">
      <c r="C1471" s="124"/>
      <c r="H1471" s="28">
        <v>42.0</v>
      </c>
      <c r="J1471" s="28">
        <v>0.48</v>
      </c>
      <c r="K1471" s="28">
        <v>41.0</v>
      </c>
      <c r="P1471" s="134"/>
    </row>
    <row r="1472">
      <c r="C1472" s="124"/>
      <c r="H1472" s="28">
        <v>39.0</v>
      </c>
      <c r="J1472" s="28">
        <v>0.5</v>
      </c>
      <c r="K1472" s="28">
        <v>45.0</v>
      </c>
      <c r="P1472" s="134"/>
    </row>
    <row r="1473">
      <c r="C1473" s="124"/>
      <c r="H1473" s="28">
        <v>37.0</v>
      </c>
      <c r="J1473" s="28">
        <v>0.47</v>
      </c>
      <c r="K1473" s="28">
        <v>38.0</v>
      </c>
      <c r="P1473" s="134"/>
    </row>
    <row r="1474">
      <c r="C1474" s="124"/>
      <c r="H1474" s="28">
        <v>43.0</v>
      </c>
      <c r="J1474" s="28">
        <v>0.59</v>
      </c>
      <c r="K1474" s="28">
        <v>36.0</v>
      </c>
      <c r="P1474" s="134"/>
    </row>
    <row r="1475">
      <c r="C1475" s="124"/>
      <c r="H1475" s="28">
        <v>45.0</v>
      </c>
      <c r="J1475" s="28">
        <v>0.49</v>
      </c>
      <c r="K1475" s="28">
        <v>40.0</v>
      </c>
      <c r="P1475" s="134"/>
    </row>
    <row r="1476">
      <c r="C1476" s="124"/>
      <c r="H1476" s="28">
        <v>43.0</v>
      </c>
      <c r="J1476" s="28">
        <v>0.47</v>
      </c>
      <c r="K1476" s="28">
        <v>49.0</v>
      </c>
      <c r="P1476" s="134"/>
    </row>
    <row r="1477">
      <c r="C1477" s="124"/>
      <c r="H1477" s="28">
        <v>40.0</v>
      </c>
      <c r="J1477" s="28">
        <v>0.48</v>
      </c>
      <c r="K1477" s="28">
        <v>44.0</v>
      </c>
      <c r="P1477" s="134"/>
    </row>
    <row r="1478">
      <c r="C1478" s="124"/>
      <c r="H1478" s="28">
        <v>42.0</v>
      </c>
      <c r="J1478" s="28">
        <v>0.54</v>
      </c>
      <c r="K1478" s="28">
        <v>40.0</v>
      </c>
      <c r="P1478" s="134"/>
    </row>
    <row r="1479">
      <c r="C1479" s="124"/>
      <c r="H1479" s="28">
        <v>44.0</v>
      </c>
      <c r="J1479" s="28">
        <v>0.47</v>
      </c>
      <c r="K1479" s="28">
        <v>51.0</v>
      </c>
      <c r="P1479" s="134"/>
    </row>
    <row r="1480">
      <c r="C1480" s="124"/>
      <c r="H1480" s="28">
        <v>39.0</v>
      </c>
      <c r="J1480" s="28">
        <v>0.56</v>
      </c>
      <c r="K1480" s="28">
        <v>41.0</v>
      </c>
      <c r="P1480" s="134"/>
    </row>
    <row r="1481">
      <c r="C1481" s="124"/>
      <c r="H1481" s="28">
        <v>46.0</v>
      </c>
      <c r="J1481" s="28">
        <v>0.5</v>
      </c>
      <c r="K1481" s="28">
        <v>47.0</v>
      </c>
      <c r="P1481" s="134"/>
    </row>
    <row r="1482">
      <c r="C1482" s="124"/>
      <c r="H1482" s="28">
        <v>45.0</v>
      </c>
      <c r="J1482" s="28">
        <v>0.52</v>
      </c>
      <c r="K1482" s="28">
        <v>41.0</v>
      </c>
      <c r="P1482" s="134"/>
    </row>
    <row r="1483">
      <c r="C1483" s="124"/>
      <c r="H1483" s="28">
        <v>44.0</v>
      </c>
      <c r="J1483" s="28">
        <v>0.51</v>
      </c>
      <c r="K1483" s="28">
        <v>44.0</v>
      </c>
      <c r="P1483" s="134"/>
    </row>
    <row r="1484">
      <c r="C1484" s="124"/>
      <c r="H1484" s="28">
        <v>50.0</v>
      </c>
      <c r="J1484" s="28">
        <v>0.57</v>
      </c>
      <c r="K1484" s="28">
        <v>52.0</v>
      </c>
      <c r="P1484" s="134"/>
    </row>
    <row r="1485">
      <c r="C1485" s="124"/>
      <c r="H1485" s="28">
        <v>42.0</v>
      </c>
      <c r="J1485" s="28">
        <v>0.52</v>
      </c>
      <c r="K1485" s="28">
        <v>38.0</v>
      </c>
      <c r="P1485" s="134"/>
    </row>
    <row r="1486">
      <c r="C1486" s="124"/>
      <c r="H1486" s="28">
        <v>38.0</v>
      </c>
      <c r="J1486" s="28">
        <v>0.49</v>
      </c>
      <c r="K1486" s="28">
        <v>37.0</v>
      </c>
      <c r="P1486" s="134"/>
    </row>
    <row r="1487">
      <c r="C1487" s="124"/>
      <c r="H1487" s="28">
        <v>44.0</v>
      </c>
      <c r="J1487" s="28">
        <v>0.54</v>
      </c>
      <c r="K1487" s="28">
        <v>46.0</v>
      </c>
      <c r="P1487" s="134"/>
    </row>
    <row r="1488">
      <c r="C1488" s="124"/>
      <c r="H1488" s="28">
        <v>43.0</v>
      </c>
      <c r="J1488" s="28">
        <v>0.5</v>
      </c>
      <c r="K1488" s="28">
        <v>41.0</v>
      </c>
      <c r="P1488" s="134"/>
    </row>
    <row r="1489">
      <c r="C1489" s="124"/>
      <c r="H1489" s="28">
        <v>42.0</v>
      </c>
      <c r="J1489" s="28">
        <v>0.52</v>
      </c>
      <c r="K1489" s="28">
        <v>41.0</v>
      </c>
      <c r="P1489" s="134"/>
    </row>
    <row r="1490">
      <c r="C1490" s="124"/>
      <c r="H1490" s="28">
        <v>41.0</v>
      </c>
      <c r="J1490" s="28">
        <v>0.51</v>
      </c>
      <c r="K1490" s="28">
        <v>36.0</v>
      </c>
      <c r="P1490" s="134"/>
    </row>
    <row r="1491">
      <c r="C1491" s="124"/>
      <c r="H1491" s="28">
        <v>47.0</v>
      </c>
      <c r="J1491" s="28">
        <v>0.53</v>
      </c>
      <c r="K1491" s="28">
        <v>56.0</v>
      </c>
      <c r="P1491" s="134"/>
    </row>
    <row r="1492">
      <c r="C1492" s="124"/>
      <c r="H1492" s="28">
        <v>45.0</v>
      </c>
      <c r="J1492" s="28">
        <v>0.5</v>
      </c>
      <c r="K1492" s="28">
        <v>39.0</v>
      </c>
      <c r="P1492" s="134"/>
    </row>
    <row r="1493">
      <c r="C1493" s="124"/>
      <c r="H1493" s="28">
        <v>49.0</v>
      </c>
      <c r="J1493" s="28">
        <v>0.57</v>
      </c>
      <c r="K1493" s="28">
        <v>40.0</v>
      </c>
      <c r="P1493" s="134"/>
    </row>
    <row r="1494">
      <c r="C1494" s="124"/>
      <c r="H1494" s="28">
        <v>45.0</v>
      </c>
      <c r="J1494" s="28">
        <v>0.51</v>
      </c>
      <c r="K1494" s="28">
        <v>41.0</v>
      </c>
      <c r="P1494" s="134"/>
    </row>
    <row r="1495">
      <c r="C1495" s="124"/>
      <c r="H1495" s="28">
        <v>38.0</v>
      </c>
      <c r="J1495" s="28">
        <v>0.49</v>
      </c>
      <c r="K1495" s="28">
        <v>40.0</v>
      </c>
      <c r="P1495" s="134"/>
    </row>
    <row r="1496">
      <c r="C1496" s="124"/>
      <c r="H1496" s="28">
        <v>40.0</v>
      </c>
      <c r="J1496" s="28">
        <v>0.58</v>
      </c>
      <c r="K1496" s="28">
        <v>43.0</v>
      </c>
      <c r="P1496" s="134"/>
    </row>
    <row r="1497">
      <c r="C1497" s="124"/>
      <c r="H1497" s="28">
        <v>43.0</v>
      </c>
      <c r="J1497" s="28">
        <v>0.5</v>
      </c>
      <c r="K1497" s="28">
        <v>41.0</v>
      </c>
      <c r="P1497" s="134"/>
    </row>
    <row r="1498">
      <c r="C1498" s="124"/>
      <c r="H1498" s="28">
        <v>38.0</v>
      </c>
      <c r="J1498" s="28">
        <v>0.47</v>
      </c>
      <c r="K1498" s="28">
        <v>38.0</v>
      </c>
      <c r="P1498" s="134"/>
    </row>
    <row r="1499">
      <c r="C1499" s="124"/>
      <c r="H1499" s="28">
        <v>40.0</v>
      </c>
      <c r="J1499" s="28">
        <v>0.52</v>
      </c>
      <c r="K1499" s="28">
        <v>47.0</v>
      </c>
      <c r="P1499" s="134"/>
    </row>
    <row r="1500">
      <c r="C1500" s="124"/>
      <c r="H1500" s="28">
        <v>45.0</v>
      </c>
      <c r="J1500" s="28">
        <v>0.51</v>
      </c>
      <c r="K1500" s="28">
        <v>50.0</v>
      </c>
      <c r="P1500" s="134"/>
    </row>
    <row r="1501">
      <c r="C1501" s="124"/>
      <c r="H1501" s="28">
        <v>43.0</v>
      </c>
      <c r="J1501" s="28">
        <v>0.5</v>
      </c>
      <c r="K1501" s="28">
        <v>42.0</v>
      </c>
      <c r="P1501" s="134"/>
    </row>
    <row r="1502">
      <c r="C1502" s="124"/>
      <c r="H1502" s="28">
        <v>42.0</v>
      </c>
      <c r="J1502" s="28">
        <v>0.53</v>
      </c>
      <c r="K1502" s="28">
        <v>37.0</v>
      </c>
      <c r="P1502" s="134"/>
    </row>
    <row r="1503">
      <c r="C1503" s="124"/>
      <c r="H1503" s="28">
        <v>44.0</v>
      </c>
      <c r="J1503" s="28">
        <v>0.49</v>
      </c>
      <c r="K1503" s="28">
        <v>40.0</v>
      </c>
      <c r="P1503" s="134"/>
    </row>
    <row r="1504">
      <c r="C1504" s="124"/>
      <c r="H1504" s="28">
        <v>45.0</v>
      </c>
      <c r="J1504" s="28">
        <v>0.53</v>
      </c>
      <c r="K1504" s="28">
        <v>45.0</v>
      </c>
      <c r="P1504" s="134"/>
    </row>
    <row r="1505">
      <c r="C1505" s="124"/>
      <c r="H1505" s="28">
        <v>45.0</v>
      </c>
      <c r="J1505" s="28">
        <v>0.51</v>
      </c>
      <c r="K1505" s="28">
        <v>45.0</v>
      </c>
      <c r="P1505" s="134"/>
    </row>
    <row r="1506">
      <c r="C1506" s="124"/>
      <c r="H1506" s="28">
        <v>49.0</v>
      </c>
      <c r="J1506" s="28">
        <v>0.49</v>
      </c>
      <c r="K1506" s="28">
        <v>39.0</v>
      </c>
      <c r="P1506" s="134"/>
    </row>
    <row r="1507">
      <c r="C1507" s="124"/>
      <c r="H1507" s="28">
        <v>40.0</v>
      </c>
      <c r="J1507" s="28">
        <v>0.48</v>
      </c>
      <c r="K1507" s="28">
        <v>49.0</v>
      </c>
      <c r="P1507" s="134"/>
    </row>
    <row r="1508">
      <c r="C1508" s="124"/>
      <c r="H1508" s="28">
        <v>43.0</v>
      </c>
      <c r="J1508" s="28">
        <v>0.51</v>
      </c>
      <c r="K1508" s="28">
        <v>47.0</v>
      </c>
      <c r="P1508" s="134"/>
    </row>
    <row r="1509">
      <c r="C1509" s="124"/>
      <c r="H1509" s="28">
        <v>37.0</v>
      </c>
      <c r="J1509" s="28">
        <v>0.53</v>
      </c>
      <c r="K1509" s="28">
        <v>44.0</v>
      </c>
      <c r="P1509" s="134"/>
    </row>
    <row r="1510">
      <c r="C1510" s="124"/>
      <c r="H1510" s="28">
        <v>40.0</v>
      </c>
      <c r="J1510" s="28">
        <v>0.51</v>
      </c>
      <c r="K1510" s="28">
        <v>44.0</v>
      </c>
      <c r="P1510" s="134"/>
    </row>
    <row r="1511">
      <c r="C1511" s="124"/>
      <c r="H1511" s="28">
        <v>44.0</v>
      </c>
      <c r="J1511" s="28">
        <v>0.51</v>
      </c>
      <c r="K1511" s="28">
        <v>40.0</v>
      </c>
      <c r="P1511" s="134"/>
    </row>
    <row r="1512">
      <c r="C1512" s="124"/>
      <c r="H1512" s="28">
        <v>43.0</v>
      </c>
      <c r="J1512" s="28">
        <v>0.5</v>
      </c>
      <c r="K1512" s="28">
        <v>44.0</v>
      </c>
      <c r="P1512" s="134"/>
    </row>
    <row r="1513">
      <c r="C1513" s="124"/>
      <c r="H1513" s="28">
        <v>44.0</v>
      </c>
      <c r="J1513" s="28">
        <v>0.5</v>
      </c>
      <c r="K1513" s="28">
        <v>42.0</v>
      </c>
      <c r="P1513" s="134"/>
    </row>
    <row r="1514">
      <c r="C1514" s="124"/>
      <c r="H1514" s="28">
        <v>44.0</v>
      </c>
      <c r="J1514" s="28">
        <v>0.55</v>
      </c>
      <c r="K1514" s="28">
        <v>42.0</v>
      </c>
      <c r="P1514" s="134"/>
    </row>
    <row r="1515">
      <c r="C1515" s="124"/>
      <c r="H1515" s="28">
        <v>43.0</v>
      </c>
      <c r="J1515" s="28">
        <v>0.47</v>
      </c>
      <c r="K1515" s="28">
        <v>44.0</v>
      </c>
      <c r="P1515" s="134"/>
    </row>
    <row r="1516">
      <c r="C1516" s="124"/>
      <c r="H1516" s="28">
        <v>42.0</v>
      </c>
      <c r="J1516" s="28">
        <v>0.54</v>
      </c>
      <c r="K1516" s="28">
        <v>39.0</v>
      </c>
      <c r="P1516" s="134"/>
    </row>
    <row r="1517">
      <c r="C1517" s="124"/>
      <c r="H1517" s="28">
        <v>40.0</v>
      </c>
      <c r="J1517" s="28">
        <v>0.54</v>
      </c>
      <c r="K1517" s="28">
        <v>41.0</v>
      </c>
      <c r="P1517" s="134"/>
    </row>
    <row r="1518">
      <c r="C1518" s="124"/>
      <c r="H1518" s="28">
        <v>48.0</v>
      </c>
      <c r="J1518" s="28">
        <v>0.53</v>
      </c>
      <c r="K1518" s="28">
        <v>48.0</v>
      </c>
      <c r="P1518" s="134"/>
    </row>
    <row r="1519">
      <c r="C1519" s="124"/>
      <c r="H1519" s="28">
        <v>37.0</v>
      </c>
      <c r="J1519" s="28">
        <v>0.52</v>
      </c>
      <c r="K1519" s="28">
        <v>44.0</v>
      </c>
      <c r="P1519" s="134"/>
    </row>
    <row r="1520">
      <c r="C1520" s="124"/>
      <c r="H1520" s="28">
        <v>46.0</v>
      </c>
      <c r="J1520" s="28">
        <v>0.49</v>
      </c>
      <c r="K1520" s="28">
        <v>41.0</v>
      </c>
      <c r="P1520" s="134"/>
    </row>
    <row r="1521">
      <c r="C1521" s="124"/>
      <c r="H1521" s="28">
        <v>39.0</v>
      </c>
      <c r="J1521" s="28">
        <v>0.54</v>
      </c>
      <c r="K1521" s="28">
        <v>43.0</v>
      </c>
      <c r="P1521" s="134"/>
    </row>
    <row r="1522">
      <c r="C1522" s="124"/>
      <c r="H1522" s="28">
        <v>42.0</v>
      </c>
      <c r="J1522" s="28">
        <v>0.5</v>
      </c>
      <c r="K1522" s="28">
        <v>37.0</v>
      </c>
      <c r="P1522" s="134"/>
    </row>
    <row r="1523">
      <c r="C1523" s="124"/>
      <c r="H1523" s="28">
        <v>50.0</v>
      </c>
      <c r="J1523" s="28">
        <v>0.5</v>
      </c>
      <c r="K1523" s="28">
        <v>45.0</v>
      </c>
      <c r="P1523" s="134"/>
    </row>
    <row r="1524">
      <c r="C1524" s="124"/>
      <c r="H1524" s="28">
        <v>40.0</v>
      </c>
      <c r="J1524" s="28">
        <v>0.53</v>
      </c>
      <c r="K1524" s="28">
        <v>43.0</v>
      </c>
      <c r="P1524" s="134"/>
    </row>
    <row r="1525">
      <c r="C1525" s="124"/>
      <c r="H1525" s="28">
        <v>43.0</v>
      </c>
      <c r="J1525" s="28">
        <v>0.51</v>
      </c>
      <c r="K1525" s="28">
        <v>44.0</v>
      </c>
      <c r="P1525" s="134"/>
    </row>
    <row r="1526">
      <c r="C1526" s="124"/>
      <c r="H1526" s="28">
        <v>42.0</v>
      </c>
      <c r="J1526" s="28">
        <v>0.56</v>
      </c>
      <c r="K1526" s="28">
        <v>40.0</v>
      </c>
      <c r="P1526" s="134"/>
    </row>
    <row r="1527">
      <c r="C1527" s="124"/>
      <c r="H1527" s="28">
        <v>46.0</v>
      </c>
      <c r="J1527" s="28">
        <v>0.52</v>
      </c>
      <c r="K1527" s="28">
        <v>44.0</v>
      </c>
      <c r="P1527" s="134"/>
    </row>
    <row r="1528">
      <c r="C1528" s="124"/>
      <c r="H1528" s="28">
        <v>38.0</v>
      </c>
      <c r="J1528" s="28">
        <v>0.54</v>
      </c>
      <c r="K1528" s="28">
        <v>46.0</v>
      </c>
      <c r="P1528" s="134"/>
    </row>
    <row r="1529">
      <c r="C1529" s="124"/>
      <c r="H1529" s="28">
        <v>44.0</v>
      </c>
      <c r="J1529" s="28">
        <v>0.51</v>
      </c>
      <c r="K1529" s="28">
        <v>37.0</v>
      </c>
      <c r="P1529" s="134"/>
    </row>
    <row r="1530">
      <c r="C1530" s="124"/>
      <c r="H1530" s="28">
        <v>49.0</v>
      </c>
      <c r="J1530" s="28">
        <v>0.51</v>
      </c>
      <c r="K1530" s="28">
        <v>46.0</v>
      </c>
      <c r="P1530" s="134"/>
    </row>
    <row r="1531">
      <c r="C1531" s="124"/>
      <c r="H1531" s="28">
        <v>46.0</v>
      </c>
      <c r="J1531" s="28">
        <v>0.53</v>
      </c>
      <c r="K1531" s="28">
        <v>41.0</v>
      </c>
      <c r="P1531" s="134"/>
    </row>
    <row r="1532">
      <c r="C1532" s="124"/>
      <c r="H1532" s="28">
        <v>39.0</v>
      </c>
      <c r="J1532" s="28">
        <v>0.5</v>
      </c>
      <c r="K1532" s="28">
        <v>47.0</v>
      </c>
      <c r="P1532" s="134"/>
    </row>
    <row r="1533">
      <c r="C1533" s="124"/>
      <c r="H1533" s="28">
        <v>48.0</v>
      </c>
      <c r="J1533" s="28">
        <v>0.52</v>
      </c>
      <c r="K1533" s="28">
        <v>37.0</v>
      </c>
      <c r="P1533" s="134"/>
    </row>
    <row r="1534">
      <c r="C1534" s="124"/>
      <c r="H1534" s="28">
        <v>46.0</v>
      </c>
      <c r="J1534" s="28">
        <v>0.53</v>
      </c>
      <c r="K1534" s="28">
        <v>40.0</v>
      </c>
      <c r="P1534" s="134"/>
    </row>
    <row r="1535">
      <c r="C1535" s="124"/>
      <c r="H1535" s="28">
        <v>44.0</v>
      </c>
      <c r="J1535" s="28">
        <v>0.5</v>
      </c>
      <c r="K1535" s="28">
        <v>41.0</v>
      </c>
      <c r="P1535" s="134"/>
    </row>
    <row r="1536">
      <c r="C1536" s="124"/>
      <c r="H1536" s="28">
        <v>44.0</v>
      </c>
      <c r="J1536" s="28">
        <v>0.5</v>
      </c>
      <c r="K1536" s="28">
        <v>48.0</v>
      </c>
      <c r="P1536" s="134"/>
    </row>
    <row r="1537">
      <c r="C1537" s="124"/>
      <c r="H1537" s="28">
        <v>46.0</v>
      </c>
      <c r="J1537" s="28">
        <v>0.52</v>
      </c>
      <c r="K1537" s="28">
        <v>39.0</v>
      </c>
      <c r="P1537" s="134"/>
    </row>
    <row r="1538">
      <c r="C1538" s="124"/>
      <c r="H1538" s="28">
        <v>42.0</v>
      </c>
      <c r="J1538" s="28">
        <v>0.52</v>
      </c>
      <c r="K1538" s="28">
        <v>44.0</v>
      </c>
      <c r="P1538" s="134"/>
    </row>
    <row r="1539">
      <c r="C1539" s="124"/>
      <c r="H1539" s="28">
        <v>40.0</v>
      </c>
      <c r="J1539" s="28">
        <v>0.51</v>
      </c>
      <c r="K1539" s="28">
        <v>43.0</v>
      </c>
      <c r="P1539" s="134"/>
    </row>
    <row r="1540">
      <c r="C1540" s="124"/>
      <c r="H1540" s="28">
        <v>48.0</v>
      </c>
      <c r="J1540" s="28">
        <v>0.48</v>
      </c>
      <c r="K1540" s="28">
        <v>41.0</v>
      </c>
      <c r="P1540" s="134"/>
    </row>
    <row r="1541">
      <c r="C1541" s="124"/>
      <c r="H1541" s="28">
        <v>44.0</v>
      </c>
      <c r="J1541" s="28">
        <v>0.49</v>
      </c>
      <c r="K1541" s="28">
        <v>41.0</v>
      </c>
      <c r="P1541" s="134"/>
    </row>
    <row r="1542">
      <c r="C1542" s="124"/>
      <c r="H1542" s="28">
        <v>39.0</v>
      </c>
      <c r="J1542" s="28">
        <v>0.52</v>
      </c>
      <c r="K1542" s="28">
        <v>45.0</v>
      </c>
      <c r="P1542" s="134"/>
    </row>
    <row r="1543">
      <c r="C1543" s="124"/>
      <c r="H1543" s="28">
        <v>44.0</v>
      </c>
      <c r="J1543" s="28">
        <v>0.53</v>
      </c>
      <c r="K1543" s="28">
        <v>37.0</v>
      </c>
      <c r="P1543" s="134"/>
    </row>
    <row r="1544">
      <c r="C1544" s="124"/>
      <c r="H1544" s="28">
        <v>43.0</v>
      </c>
      <c r="J1544" s="28">
        <v>0.48</v>
      </c>
      <c r="K1544" s="28">
        <v>42.0</v>
      </c>
      <c r="P1544" s="134"/>
    </row>
    <row r="1545">
      <c r="C1545" s="124"/>
      <c r="H1545" s="28">
        <v>42.0</v>
      </c>
      <c r="J1545" s="28">
        <v>0.51</v>
      </c>
      <c r="K1545" s="28">
        <v>38.0</v>
      </c>
      <c r="P1545" s="134"/>
    </row>
    <row r="1546">
      <c r="C1546" s="124"/>
      <c r="H1546" s="28">
        <v>39.0</v>
      </c>
      <c r="J1546" s="28">
        <v>0.5</v>
      </c>
      <c r="K1546" s="28">
        <v>43.0</v>
      </c>
      <c r="P1546" s="134"/>
    </row>
    <row r="1547">
      <c r="C1547" s="124"/>
      <c r="H1547" s="28">
        <v>44.0</v>
      </c>
      <c r="J1547" s="28">
        <v>0.47</v>
      </c>
      <c r="K1547" s="28">
        <v>38.0</v>
      </c>
      <c r="P1547" s="134"/>
    </row>
    <row r="1548">
      <c r="C1548" s="124"/>
      <c r="H1548" s="28">
        <v>42.0</v>
      </c>
      <c r="J1548" s="28">
        <v>0.45</v>
      </c>
      <c r="K1548" s="28">
        <v>40.0</v>
      </c>
      <c r="P1548" s="134"/>
    </row>
    <row r="1549">
      <c r="C1549" s="124"/>
      <c r="H1549" s="28">
        <v>43.0</v>
      </c>
      <c r="J1549" s="28">
        <v>0.47</v>
      </c>
      <c r="K1549" s="28">
        <v>39.0</v>
      </c>
      <c r="P1549" s="134"/>
    </row>
    <row r="1550">
      <c r="C1550" s="124"/>
      <c r="H1550" s="28">
        <v>42.0</v>
      </c>
      <c r="J1550" s="28">
        <v>0.42</v>
      </c>
      <c r="K1550" s="28">
        <v>40.0</v>
      </c>
      <c r="P1550" s="134"/>
    </row>
    <row r="1551">
      <c r="C1551" s="124"/>
      <c r="H1551" s="28">
        <v>45.0</v>
      </c>
      <c r="J1551" s="28">
        <v>0.52</v>
      </c>
      <c r="K1551" s="28">
        <v>41.0</v>
      </c>
      <c r="P1551" s="134"/>
    </row>
    <row r="1552">
      <c r="C1552" s="124"/>
      <c r="H1552" s="28">
        <v>46.0</v>
      </c>
      <c r="J1552" s="28">
        <v>0.54</v>
      </c>
      <c r="K1552" s="28">
        <v>38.0</v>
      </c>
      <c r="P1552" s="134"/>
    </row>
    <row r="1553">
      <c r="C1553" s="124"/>
      <c r="H1553" s="28">
        <v>43.0</v>
      </c>
      <c r="J1553" s="28">
        <v>0.49</v>
      </c>
      <c r="K1553" s="28">
        <v>37.0</v>
      </c>
      <c r="P1553" s="134"/>
    </row>
    <row r="1554">
      <c r="C1554" s="124"/>
      <c r="H1554" s="28">
        <v>43.0</v>
      </c>
      <c r="J1554" s="28">
        <v>0.52</v>
      </c>
      <c r="K1554" s="28">
        <v>39.0</v>
      </c>
      <c r="P1554" s="134"/>
    </row>
    <row r="1555">
      <c r="C1555" s="124"/>
      <c r="H1555" s="28">
        <v>45.0</v>
      </c>
      <c r="J1555" s="28">
        <v>0.53</v>
      </c>
      <c r="K1555" s="28">
        <v>40.0</v>
      </c>
      <c r="P1555" s="134"/>
    </row>
    <row r="1556">
      <c r="C1556" s="124"/>
      <c r="H1556" s="28">
        <v>42.0</v>
      </c>
      <c r="J1556" s="28">
        <v>0.44</v>
      </c>
      <c r="K1556" s="28">
        <v>39.0</v>
      </c>
      <c r="P1556" s="134"/>
    </row>
    <row r="1557">
      <c r="C1557" s="124"/>
      <c r="H1557" s="28">
        <v>42.0</v>
      </c>
      <c r="J1557" s="28">
        <v>0.51</v>
      </c>
      <c r="K1557" s="28">
        <v>47.0</v>
      </c>
      <c r="P1557" s="134"/>
    </row>
    <row r="1558">
      <c r="C1558" s="124"/>
      <c r="H1558" s="28">
        <v>43.0</v>
      </c>
      <c r="J1558" s="28">
        <v>0.48</v>
      </c>
      <c r="K1558" s="28">
        <v>39.0</v>
      </c>
      <c r="P1558" s="134"/>
    </row>
    <row r="1559">
      <c r="C1559" s="124"/>
      <c r="H1559" s="28">
        <v>44.0</v>
      </c>
      <c r="J1559" s="28">
        <v>0.5</v>
      </c>
      <c r="K1559" s="28">
        <v>41.0</v>
      </c>
      <c r="P1559" s="134"/>
    </row>
    <row r="1560">
      <c r="C1560" s="124"/>
      <c r="H1560" s="28">
        <v>46.0</v>
      </c>
      <c r="J1560" s="28">
        <v>0.46</v>
      </c>
      <c r="K1560" s="28">
        <v>40.0</v>
      </c>
      <c r="P1560" s="134"/>
    </row>
    <row r="1561">
      <c r="C1561" s="124"/>
      <c r="H1561" s="28">
        <v>47.0</v>
      </c>
      <c r="J1561" s="28">
        <v>0.53</v>
      </c>
      <c r="K1561" s="28">
        <v>42.0</v>
      </c>
      <c r="P1561" s="134"/>
    </row>
    <row r="1562">
      <c r="C1562" s="124"/>
      <c r="H1562" s="28">
        <v>37.0</v>
      </c>
      <c r="J1562" s="28">
        <v>0.47</v>
      </c>
      <c r="K1562" s="28">
        <v>38.0</v>
      </c>
      <c r="P1562" s="134"/>
    </row>
    <row r="1563">
      <c r="C1563" s="124"/>
      <c r="H1563" s="28">
        <v>43.0</v>
      </c>
      <c r="J1563" s="28">
        <v>0.47</v>
      </c>
      <c r="K1563" s="28">
        <v>38.0</v>
      </c>
      <c r="P1563" s="134"/>
    </row>
    <row r="1564">
      <c r="C1564" s="124"/>
      <c r="H1564" s="28">
        <v>45.0</v>
      </c>
      <c r="J1564" s="28">
        <v>0.44</v>
      </c>
      <c r="K1564" s="28">
        <v>42.0</v>
      </c>
      <c r="P1564" s="134"/>
    </row>
    <row r="1565">
      <c r="C1565" s="124"/>
      <c r="H1565" s="28">
        <v>46.0</v>
      </c>
      <c r="J1565" s="28">
        <v>0.47</v>
      </c>
      <c r="K1565" s="28">
        <v>46.0</v>
      </c>
      <c r="P1565" s="134"/>
    </row>
    <row r="1566">
      <c r="C1566" s="124"/>
      <c r="H1566" s="28">
        <v>42.0</v>
      </c>
      <c r="J1566" s="28">
        <v>0.48</v>
      </c>
      <c r="K1566" s="28">
        <v>39.0</v>
      </c>
      <c r="P1566" s="134"/>
    </row>
    <row r="1567">
      <c r="C1567" s="124"/>
      <c r="H1567" s="28">
        <v>46.0</v>
      </c>
      <c r="J1567" s="28">
        <v>0.43</v>
      </c>
      <c r="K1567" s="28">
        <v>44.0</v>
      </c>
      <c r="P1567" s="134"/>
    </row>
    <row r="1568">
      <c r="C1568" s="124"/>
      <c r="H1568" s="28">
        <v>43.0</v>
      </c>
      <c r="J1568" s="28">
        <v>0.53</v>
      </c>
      <c r="K1568" s="28">
        <v>50.0</v>
      </c>
      <c r="P1568" s="134"/>
    </row>
    <row r="1569">
      <c r="C1569" s="124"/>
      <c r="H1569" s="28">
        <v>46.0</v>
      </c>
      <c r="J1569" s="28">
        <v>0.51</v>
      </c>
      <c r="K1569" s="28">
        <v>40.0</v>
      </c>
      <c r="P1569" s="134"/>
    </row>
    <row r="1570">
      <c r="C1570" s="124"/>
      <c r="H1570" s="28">
        <v>49.0</v>
      </c>
      <c r="J1570" s="28">
        <v>0.45</v>
      </c>
      <c r="K1570" s="28">
        <v>41.0</v>
      </c>
      <c r="P1570" s="134"/>
    </row>
    <row r="1571">
      <c r="C1571" s="124"/>
      <c r="H1571" s="28">
        <v>48.0</v>
      </c>
      <c r="J1571" s="28">
        <v>0.48</v>
      </c>
      <c r="K1571" s="28">
        <v>45.0</v>
      </c>
      <c r="P1571" s="134"/>
    </row>
    <row r="1572">
      <c r="C1572" s="124"/>
      <c r="H1572" s="28">
        <v>44.0</v>
      </c>
      <c r="J1572" s="28">
        <v>0.49</v>
      </c>
      <c r="K1572" s="28">
        <v>43.0</v>
      </c>
      <c r="P1572" s="134"/>
    </row>
    <row r="1573">
      <c r="C1573" s="124"/>
      <c r="H1573" s="28">
        <v>44.0</v>
      </c>
      <c r="J1573" s="28">
        <v>0.56</v>
      </c>
      <c r="K1573" s="28">
        <v>38.0</v>
      </c>
      <c r="P1573" s="134"/>
    </row>
    <row r="1574">
      <c r="C1574" s="124"/>
      <c r="H1574" s="28">
        <v>44.0</v>
      </c>
      <c r="J1574" s="28">
        <v>0.48</v>
      </c>
      <c r="K1574" s="28">
        <v>39.0</v>
      </c>
      <c r="P1574" s="134"/>
    </row>
    <row r="1575">
      <c r="C1575" s="124"/>
      <c r="H1575" s="28">
        <v>41.0</v>
      </c>
      <c r="J1575" s="28">
        <v>0.48</v>
      </c>
      <c r="K1575" s="28">
        <v>41.0</v>
      </c>
      <c r="P1575" s="134"/>
    </row>
    <row r="1576">
      <c r="C1576" s="124"/>
      <c r="H1576" s="28">
        <v>43.0</v>
      </c>
      <c r="J1576" s="28">
        <v>0.46</v>
      </c>
      <c r="K1576" s="28">
        <v>43.0</v>
      </c>
      <c r="P1576" s="134"/>
    </row>
    <row r="1577">
      <c r="C1577" s="124"/>
      <c r="H1577" s="28">
        <v>47.0</v>
      </c>
      <c r="J1577" s="28">
        <v>0.48</v>
      </c>
      <c r="K1577" s="28">
        <v>36.0</v>
      </c>
      <c r="P1577" s="134"/>
    </row>
    <row r="1578">
      <c r="C1578" s="124"/>
      <c r="H1578" s="28">
        <v>52.0</v>
      </c>
      <c r="J1578" s="28">
        <v>0.54</v>
      </c>
      <c r="K1578" s="28">
        <v>38.0</v>
      </c>
      <c r="P1578" s="134"/>
    </row>
    <row r="1579">
      <c r="C1579" s="124"/>
      <c r="H1579" s="28">
        <v>42.0</v>
      </c>
      <c r="J1579" s="28">
        <v>0.5</v>
      </c>
      <c r="K1579" s="28">
        <v>43.0</v>
      </c>
      <c r="P1579" s="134"/>
    </row>
    <row r="1580">
      <c r="C1580" s="124"/>
      <c r="H1580" s="28">
        <v>44.0</v>
      </c>
      <c r="J1580" s="28">
        <v>0.48</v>
      </c>
      <c r="K1580" s="28">
        <v>42.0</v>
      </c>
      <c r="P1580" s="134"/>
    </row>
    <row r="1581">
      <c r="C1581" s="124"/>
      <c r="H1581" s="28">
        <v>45.0</v>
      </c>
      <c r="J1581" s="28">
        <v>0.51</v>
      </c>
      <c r="K1581" s="28">
        <v>41.0</v>
      </c>
      <c r="P1581" s="134"/>
    </row>
    <row r="1582">
      <c r="C1582" s="124"/>
      <c r="H1582" s="28">
        <v>47.0</v>
      </c>
      <c r="J1582" s="28">
        <v>0.49</v>
      </c>
      <c r="K1582" s="28">
        <v>41.0</v>
      </c>
      <c r="P1582" s="134"/>
    </row>
    <row r="1583">
      <c r="C1583" s="124"/>
      <c r="H1583" s="28">
        <v>48.0</v>
      </c>
      <c r="J1583" s="28">
        <v>0.47</v>
      </c>
      <c r="K1583" s="28">
        <v>43.0</v>
      </c>
      <c r="P1583" s="134"/>
    </row>
    <row r="1584">
      <c r="C1584" s="124"/>
      <c r="H1584" s="28">
        <v>47.0</v>
      </c>
      <c r="J1584" s="28">
        <v>0.47</v>
      </c>
      <c r="K1584" s="28">
        <v>47.0</v>
      </c>
      <c r="P1584" s="134"/>
    </row>
    <row r="1585">
      <c r="C1585" s="124"/>
      <c r="H1585" s="28">
        <v>45.0</v>
      </c>
      <c r="J1585" s="28">
        <v>0.5</v>
      </c>
      <c r="K1585" s="28">
        <v>44.0</v>
      </c>
      <c r="P1585" s="134"/>
    </row>
    <row r="1586">
      <c r="C1586" s="124"/>
      <c r="H1586" s="28">
        <v>41.0</v>
      </c>
      <c r="J1586" s="28">
        <v>0.43</v>
      </c>
      <c r="K1586" s="28">
        <v>40.0</v>
      </c>
      <c r="P1586" s="134"/>
    </row>
    <row r="1587">
      <c r="C1587" s="124"/>
      <c r="H1587" s="28">
        <v>45.0</v>
      </c>
      <c r="J1587" s="28">
        <v>0.5</v>
      </c>
      <c r="K1587" s="28">
        <v>46.0</v>
      </c>
      <c r="P1587" s="134"/>
    </row>
    <row r="1588">
      <c r="C1588" s="124"/>
      <c r="H1588" s="28">
        <v>43.0</v>
      </c>
      <c r="J1588" s="28">
        <v>0.46</v>
      </c>
      <c r="K1588" s="28">
        <v>49.0</v>
      </c>
      <c r="P1588" s="134"/>
    </row>
    <row r="1589">
      <c r="C1589" s="124"/>
      <c r="H1589" s="28">
        <v>43.0</v>
      </c>
      <c r="J1589" s="28">
        <v>0.49</v>
      </c>
      <c r="K1589" s="28">
        <v>47.0</v>
      </c>
      <c r="P1589" s="134"/>
    </row>
    <row r="1590">
      <c r="C1590" s="124"/>
      <c r="H1590" s="28">
        <v>44.0</v>
      </c>
      <c r="J1590" s="28">
        <v>0.45</v>
      </c>
      <c r="K1590" s="28">
        <v>41.0</v>
      </c>
      <c r="P1590" s="134"/>
    </row>
    <row r="1591">
      <c r="C1591" s="124"/>
      <c r="H1591" s="28">
        <v>45.0</v>
      </c>
      <c r="J1591" s="28">
        <v>0.48</v>
      </c>
      <c r="K1591" s="28">
        <v>43.0</v>
      </c>
      <c r="P1591" s="134"/>
    </row>
    <row r="1592">
      <c r="C1592" s="124"/>
      <c r="H1592" s="28">
        <v>44.0</v>
      </c>
      <c r="J1592" s="28">
        <v>0.47</v>
      </c>
      <c r="K1592" s="28">
        <v>40.0</v>
      </c>
      <c r="P1592" s="134"/>
    </row>
    <row r="1593">
      <c r="C1593" s="124"/>
      <c r="H1593" s="28">
        <v>47.0</v>
      </c>
      <c r="J1593" s="28">
        <v>0.5</v>
      </c>
      <c r="K1593" s="28">
        <v>43.0</v>
      </c>
      <c r="P1593" s="134"/>
    </row>
    <row r="1594">
      <c r="C1594" s="124"/>
      <c r="H1594" s="28">
        <v>47.0</v>
      </c>
      <c r="J1594" s="28">
        <v>0.45</v>
      </c>
      <c r="K1594" s="28">
        <v>44.0</v>
      </c>
      <c r="P1594" s="134"/>
    </row>
    <row r="1595">
      <c r="C1595" s="124"/>
      <c r="H1595" s="28">
        <v>46.0</v>
      </c>
      <c r="J1595" s="28">
        <v>0.5</v>
      </c>
      <c r="K1595" s="28">
        <v>45.0</v>
      </c>
      <c r="P1595" s="134"/>
    </row>
    <row r="1596">
      <c r="C1596" s="124"/>
      <c r="H1596" s="28">
        <v>44.0</v>
      </c>
      <c r="J1596" s="28">
        <v>0.44</v>
      </c>
      <c r="K1596" s="28">
        <v>43.0</v>
      </c>
      <c r="P1596" s="134"/>
    </row>
    <row r="1597">
      <c r="C1597" s="124"/>
      <c r="H1597" s="28">
        <v>45.0</v>
      </c>
      <c r="J1597" s="28">
        <v>0.49</v>
      </c>
      <c r="K1597" s="28">
        <v>44.0</v>
      </c>
      <c r="P1597" s="134"/>
    </row>
    <row r="1598">
      <c r="C1598" s="124"/>
      <c r="H1598" s="28">
        <v>46.0</v>
      </c>
      <c r="J1598" s="28">
        <v>0.51</v>
      </c>
      <c r="K1598" s="28">
        <v>38.0</v>
      </c>
      <c r="P1598" s="134"/>
    </row>
    <row r="1599">
      <c r="C1599" s="124"/>
      <c r="H1599" s="28">
        <v>36.0</v>
      </c>
      <c r="J1599" s="28">
        <v>0.5</v>
      </c>
      <c r="K1599" s="28">
        <v>46.0</v>
      </c>
      <c r="P1599" s="134"/>
    </row>
    <row r="1600">
      <c r="C1600" s="124"/>
      <c r="H1600" s="28">
        <v>45.0</v>
      </c>
      <c r="J1600" s="28">
        <v>0.47</v>
      </c>
      <c r="K1600" s="28">
        <v>41.0</v>
      </c>
      <c r="P1600" s="134"/>
    </row>
    <row r="1601">
      <c r="C1601" s="124"/>
      <c r="H1601" s="28">
        <v>48.0</v>
      </c>
      <c r="J1601" s="28">
        <v>0.49</v>
      </c>
      <c r="K1601" s="28">
        <v>40.0</v>
      </c>
      <c r="P1601" s="134"/>
    </row>
    <row r="1602">
      <c r="C1602" s="124"/>
      <c r="H1602" s="28">
        <v>45.0</v>
      </c>
      <c r="J1602" s="28">
        <v>0.49</v>
      </c>
      <c r="K1602" s="28">
        <v>38.0</v>
      </c>
      <c r="P1602" s="134"/>
    </row>
    <row r="1603">
      <c r="C1603" s="124"/>
      <c r="H1603" s="28">
        <v>45.0</v>
      </c>
      <c r="J1603" s="28">
        <v>0.43</v>
      </c>
      <c r="K1603" s="28">
        <v>48.0</v>
      </c>
      <c r="P1603" s="134"/>
    </row>
    <row r="1604">
      <c r="C1604" s="124"/>
      <c r="H1604" s="28">
        <v>45.0</v>
      </c>
      <c r="J1604" s="28">
        <v>0.49</v>
      </c>
      <c r="K1604" s="28">
        <v>41.0</v>
      </c>
      <c r="P1604" s="134"/>
    </row>
    <row r="1605">
      <c r="C1605" s="124"/>
      <c r="H1605" s="28">
        <v>46.0</v>
      </c>
      <c r="J1605" s="28">
        <v>0.5</v>
      </c>
      <c r="K1605" s="28">
        <v>47.0</v>
      </c>
      <c r="P1605" s="134"/>
    </row>
    <row r="1606">
      <c r="C1606" s="124"/>
      <c r="H1606" s="28">
        <v>41.0</v>
      </c>
      <c r="J1606" s="28">
        <v>0.46</v>
      </c>
      <c r="K1606" s="28">
        <v>44.0</v>
      </c>
      <c r="P1606" s="134"/>
    </row>
    <row r="1607">
      <c r="C1607" s="124"/>
      <c r="H1607" s="28">
        <v>47.0</v>
      </c>
      <c r="J1607" s="28">
        <v>0.47</v>
      </c>
      <c r="K1607" s="28">
        <v>44.0</v>
      </c>
      <c r="P1607" s="134"/>
    </row>
    <row r="1608">
      <c r="C1608" s="124"/>
      <c r="H1608" s="28">
        <v>45.0</v>
      </c>
      <c r="J1608" s="28">
        <v>0.45</v>
      </c>
      <c r="K1608" s="28">
        <v>42.0</v>
      </c>
      <c r="P1608" s="134"/>
    </row>
    <row r="1609">
      <c r="C1609" s="124"/>
      <c r="H1609" s="28">
        <v>47.0</v>
      </c>
      <c r="J1609" s="28">
        <v>0.45</v>
      </c>
      <c r="K1609" s="28">
        <v>45.0</v>
      </c>
      <c r="P1609" s="134"/>
    </row>
    <row r="1610">
      <c r="C1610" s="124"/>
      <c r="H1610" s="28">
        <v>47.0</v>
      </c>
      <c r="J1610" s="28">
        <v>0.49</v>
      </c>
      <c r="K1610" s="28">
        <v>40.0</v>
      </c>
      <c r="P1610" s="134"/>
    </row>
    <row r="1611">
      <c r="C1611" s="124"/>
      <c r="H1611" s="28">
        <v>48.0</v>
      </c>
      <c r="J1611" s="28">
        <v>0.48</v>
      </c>
      <c r="K1611" s="28">
        <v>44.0</v>
      </c>
      <c r="P1611" s="134"/>
    </row>
    <row r="1612">
      <c r="C1612" s="124"/>
      <c r="H1612" s="28">
        <v>48.0</v>
      </c>
      <c r="J1612" s="28">
        <v>0.42</v>
      </c>
      <c r="K1612" s="28">
        <v>40.0</v>
      </c>
      <c r="P1612" s="134"/>
    </row>
    <row r="1613">
      <c r="C1613" s="124"/>
      <c r="H1613" s="28">
        <v>47.0</v>
      </c>
      <c r="J1613" s="28">
        <v>0.46</v>
      </c>
      <c r="K1613" s="28">
        <v>45.0</v>
      </c>
      <c r="P1613" s="134"/>
    </row>
    <row r="1614">
      <c r="C1614" s="124"/>
      <c r="H1614" s="28">
        <v>42.0</v>
      </c>
      <c r="J1614" s="28">
        <v>0.46</v>
      </c>
      <c r="K1614" s="28">
        <v>49.0</v>
      </c>
      <c r="P1614" s="134"/>
    </row>
    <row r="1615">
      <c r="C1615" s="124"/>
      <c r="H1615" s="28">
        <v>43.0</v>
      </c>
      <c r="J1615" s="28">
        <v>0.43</v>
      </c>
      <c r="K1615" s="28">
        <v>45.0</v>
      </c>
      <c r="P1615" s="134"/>
    </row>
    <row r="1616">
      <c r="C1616" s="124"/>
      <c r="H1616" s="28">
        <v>45.0</v>
      </c>
      <c r="J1616" s="28">
        <v>0.5</v>
      </c>
      <c r="K1616" s="28">
        <v>40.0</v>
      </c>
      <c r="P1616" s="134"/>
    </row>
    <row r="1617">
      <c r="C1617" s="124"/>
      <c r="H1617" s="28">
        <v>44.0</v>
      </c>
      <c r="J1617" s="28">
        <v>0.48</v>
      </c>
      <c r="K1617" s="28">
        <v>43.0</v>
      </c>
      <c r="P1617" s="134"/>
    </row>
    <row r="1618">
      <c r="C1618" s="124"/>
      <c r="H1618" s="28">
        <v>47.0</v>
      </c>
      <c r="J1618" s="28">
        <v>0.45</v>
      </c>
      <c r="K1618" s="28">
        <v>38.0</v>
      </c>
      <c r="P1618" s="134"/>
    </row>
    <row r="1619">
      <c r="C1619" s="124"/>
      <c r="H1619" s="28">
        <v>48.0</v>
      </c>
      <c r="J1619" s="28">
        <v>0.5</v>
      </c>
      <c r="K1619" s="28">
        <v>45.0</v>
      </c>
      <c r="P1619" s="134"/>
    </row>
    <row r="1620">
      <c r="C1620" s="124"/>
      <c r="H1620" s="28">
        <v>46.0</v>
      </c>
      <c r="J1620" s="28">
        <v>0.45</v>
      </c>
      <c r="K1620" s="28">
        <v>46.0</v>
      </c>
      <c r="P1620" s="134"/>
    </row>
    <row r="1621">
      <c r="C1621" s="124"/>
      <c r="H1621" s="28">
        <v>46.0</v>
      </c>
      <c r="J1621" s="28">
        <v>0.46</v>
      </c>
      <c r="K1621" s="28">
        <v>41.0</v>
      </c>
      <c r="P1621" s="134"/>
    </row>
    <row r="1622">
      <c r="C1622" s="124"/>
      <c r="H1622" s="28">
        <v>45.0</v>
      </c>
      <c r="J1622" s="28">
        <v>0.45</v>
      </c>
      <c r="K1622" s="28">
        <v>40.0</v>
      </c>
      <c r="P1622" s="134"/>
    </row>
    <row r="1623">
      <c r="C1623" s="124"/>
      <c r="H1623" s="28">
        <v>51.0</v>
      </c>
      <c r="J1623" s="28">
        <v>0.51</v>
      </c>
      <c r="K1623" s="28">
        <v>45.0</v>
      </c>
      <c r="P1623" s="134"/>
    </row>
    <row r="1624">
      <c r="C1624" s="124"/>
      <c r="H1624" s="28">
        <v>44.0</v>
      </c>
      <c r="J1624" s="28">
        <v>0.5</v>
      </c>
      <c r="K1624" s="28">
        <v>46.0</v>
      </c>
      <c r="P1624" s="134"/>
    </row>
    <row r="1625">
      <c r="C1625" s="124"/>
      <c r="H1625" s="28">
        <v>42.0</v>
      </c>
      <c r="J1625" s="28">
        <v>0.46</v>
      </c>
      <c r="K1625" s="28">
        <v>44.0</v>
      </c>
      <c r="P1625" s="134"/>
    </row>
    <row r="1626">
      <c r="C1626" s="124"/>
      <c r="H1626" s="28">
        <v>44.0</v>
      </c>
      <c r="J1626" s="28">
        <v>0.49</v>
      </c>
      <c r="K1626" s="28">
        <v>44.0</v>
      </c>
      <c r="P1626" s="134"/>
    </row>
    <row r="1627">
      <c r="C1627" s="124"/>
      <c r="H1627" s="28">
        <v>41.0</v>
      </c>
      <c r="J1627" s="28">
        <v>0.49</v>
      </c>
      <c r="K1627" s="28">
        <v>42.0</v>
      </c>
      <c r="P1627" s="134"/>
    </row>
    <row r="1628">
      <c r="C1628" s="124"/>
      <c r="H1628" s="28">
        <v>44.0</v>
      </c>
      <c r="J1628" s="28">
        <v>0.51</v>
      </c>
      <c r="K1628" s="28">
        <v>44.0</v>
      </c>
      <c r="P1628" s="134"/>
    </row>
    <row r="1629">
      <c r="C1629" s="124"/>
      <c r="H1629" s="28">
        <v>43.0</v>
      </c>
      <c r="J1629" s="28">
        <v>0.45</v>
      </c>
      <c r="K1629" s="28">
        <v>41.0</v>
      </c>
      <c r="P1629" s="134"/>
    </row>
    <row r="1630">
      <c r="C1630" s="124"/>
      <c r="H1630" s="28">
        <v>45.0</v>
      </c>
      <c r="J1630" s="28">
        <v>0.46</v>
      </c>
      <c r="K1630" s="28">
        <v>38.0</v>
      </c>
      <c r="P1630" s="134"/>
    </row>
    <row r="1631">
      <c r="C1631" s="124"/>
      <c r="H1631" s="28">
        <v>50.0</v>
      </c>
      <c r="J1631" s="28">
        <v>0.44</v>
      </c>
      <c r="K1631" s="28">
        <v>44.0</v>
      </c>
      <c r="P1631" s="134"/>
    </row>
    <row r="1632">
      <c r="C1632" s="124"/>
      <c r="H1632" s="28">
        <v>47.0</v>
      </c>
      <c r="J1632" s="28">
        <v>0.46</v>
      </c>
      <c r="K1632" s="28">
        <v>47.0</v>
      </c>
      <c r="P1632" s="134"/>
    </row>
    <row r="1633">
      <c r="C1633" s="124"/>
      <c r="H1633" s="28">
        <v>44.0</v>
      </c>
      <c r="J1633" s="28">
        <v>0.51</v>
      </c>
      <c r="K1633" s="28">
        <v>45.0</v>
      </c>
      <c r="P1633" s="134"/>
    </row>
    <row r="1634">
      <c r="C1634" s="124"/>
      <c r="H1634" s="28">
        <v>44.0</v>
      </c>
      <c r="J1634" s="28">
        <v>0.45</v>
      </c>
      <c r="K1634" s="28">
        <v>41.0</v>
      </c>
      <c r="P1634" s="134"/>
    </row>
    <row r="1635">
      <c r="C1635" s="124"/>
      <c r="H1635" s="28">
        <v>43.0</v>
      </c>
      <c r="J1635" s="28">
        <v>0.48</v>
      </c>
      <c r="K1635" s="28">
        <v>48.0</v>
      </c>
      <c r="P1635" s="134"/>
    </row>
    <row r="1636">
      <c r="C1636" s="124"/>
      <c r="H1636" s="28">
        <v>49.0</v>
      </c>
      <c r="J1636" s="28">
        <v>0.47</v>
      </c>
      <c r="K1636" s="28">
        <v>42.0</v>
      </c>
      <c r="P1636" s="134"/>
    </row>
    <row r="1637">
      <c r="C1637" s="124"/>
      <c r="H1637" s="28">
        <v>46.0</v>
      </c>
      <c r="J1637" s="28">
        <v>0.45</v>
      </c>
      <c r="K1637" s="28">
        <v>45.0</v>
      </c>
      <c r="P1637" s="134"/>
    </row>
    <row r="1638">
      <c r="C1638" s="124"/>
      <c r="H1638" s="28">
        <v>43.0</v>
      </c>
      <c r="J1638" s="28">
        <v>0.47</v>
      </c>
      <c r="K1638" s="28">
        <v>43.0</v>
      </c>
      <c r="P1638" s="134"/>
    </row>
    <row r="1639">
      <c r="C1639" s="124"/>
      <c r="H1639" s="28">
        <v>40.0</v>
      </c>
      <c r="J1639" s="28">
        <v>0.47</v>
      </c>
      <c r="K1639" s="28">
        <v>41.0</v>
      </c>
      <c r="P1639" s="134"/>
    </row>
    <row r="1640">
      <c r="C1640" s="124"/>
      <c r="H1640" s="28">
        <v>42.0</v>
      </c>
      <c r="J1640" s="28">
        <v>0.47</v>
      </c>
      <c r="K1640" s="28">
        <v>38.0</v>
      </c>
      <c r="P1640" s="134"/>
    </row>
    <row r="1641">
      <c r="C1641" s="124"/>
      <c r="H1641" s="28">
        <v>43.0</v>
      </c>
      <c r="J1641" s="28">
        <v>0.45</v>
      </c>
      <c r="K1641" s="28">
        <v>43.0</v>
      </c>
      <c r="P1641" s="134"/>
    </row>
    <row r="1642">
      <c r="C1642" s="124"/>
      <c r="H1642" s="28">
        <v>40.0</v>
      </c>
      <c r="J1642" s="28">
        <v>0.51</v>
      </c>
      <c r="K1642" s="28">
        <v>37.0</v>
      </c>
      <c r="P1642" s="134"/>
    </row>
    <row r="1643">
      <c r="C1643" s="124"/>
      <c r="H1643" s="28">
        <v>42.0</v>
      </c>
      <c r="J1643" s="28">
        <v>0.46</v>
      </c>
      <c r="K1643" s="28">
        <v>48.0</v>
      </c>
      <c r="P1643" s="134"/>
    </row>
    <row r="1644">
      <c r="C1644" s="124"/>
      <c r="H1644" s="28">
        <v>42.0</v>
      </c>
      <c r="J1644" s="28">
        <v>0.49</v>
      </c>
      <c r="K1644" s="28">
        <v>43.0</v>
      </c>
      <c r="P1644" s="134"/>
    </row>
    <row r="1645">
      <c r="C1645" s="124"/>
      <c r="H1645" s="28">
        <v>42.0</v>
      </c>
      <c r="J1645" s="28">
        <v>0.44</v>
      </c>
      <c r="K1645" s="28">
        <v>47.0</v>
      </c>
      <c r="P1645" s="134"/>
    </row>
    <row r="1646">
      <c r="C1646" s="124"/>
      <c r="H1646" s="28">
        <v>44.0</v>
      </c>
      <c r="J1646" s="28">
        <v>0.46</v>
      </c>
      <c r="K1646" s="28">
        <v>39.0</v>
      </c>
      <c r="P1646" s="134"/>
    </row>
    <row r="1647">
      <c r="C1647" s="124"/>
      <c r="H1647" s="28">
        <v>48.0</v>
      </c>
      <c r="J1647" s="28">
        <v>0.44</v>
      </c>
      <c r="K1647" s="28">
        <v>52.0</v>
      </c>
      <c r="P1647" s="134"/>
    </row>
    <row r="1648">
      <c r="C1648" s="124"/>
      <c r="H1648" s="28">
        <v>45.0</v>
      </c>
      <c r="J1648" s="28">
        <v>0.46</v>
      </c>
      <c r="K1648" s="28">
        <v>39.0</v>
      </c>
      <c r="P1648" s="134"/>
    </row>
    <row r="1649">
      <c r="C1649" s="124"/>
      <c r="H1649" s="28">
        <v>47.0</v>
      </c>
      <c r="J1649" s="28">
        <v>0.46</v>
      </c>
      <c r="K1649" s="28">
        <v>43.0</v>
      </c>
      <c r="P1649" s="134"/>
    </row>
    <row r="1650">
      <c r="C1650" s="124"/>
      <c r="H1650" s="28">
        <v>50.0</v>
      </c>
      <c r="J1650" s="28">
        <v>0.45</v>
      </c>
      <c r="K1650" s="28">
        <v>39.0</v>
      </c>
      <c r="P1650" s="134"/>
    </row>
    <row r="1651">
      <c r="C1651" s="124"/>
      <c r="H1651" s="28">
        <v>42.0</v>
      </c>
      <c r="J1651" s="28">
        <v>0.46</v>
      </c>
      <c r="K1651" s="28">
        <v>38.0</v>
      </c>
      <c r="P1651" s="134"/>
    </row>
    <row r="1652">
      <c r="C1652" s="124"/>
      <c r="H1652" s="28">
        <v>43.0</v>
      </c>
      <c r="J1652" s="28">
        <v>0.46</v>
      </c>
      <c r="K1652" s="28">
        <v>38.0</v>
      </c>
      <c r="P1652" s="134"/>
    </row>
    <row r="1653">
      <c r="C1653" s="124"/>
      <c r="H1653" s="28">
        <v>42.0</v>
      </c>
      <c r="J1653" s="28">
        <v>0.47</v>
      </c>
      <c r="K1653" s="28">
        <v>36.0</v>
      </c>
      <c r="P1653" s="134"/>
    </row>
    <row r="1654">
      <c r="C1654" s="124"/>
      <c r="H1654" s="28">
        <v>41.0</v>
      </c>
      <c r="J1654" s="28">
        <v>0.48</v>
      </c>
      <c r="K1654" s="28">
        <v>38.0</v>
      </c>
      <c r="P1654" s="134"/>
    </row>
    <row r="1655">
      <c r="C1655" s="124"/>
      <c r="H1655" s="28">
        <v>44.0</v>
      </c>
      <c r="J1655" s="28">
        <v>0.47</v>
      </c>
      <c r="K1655" s="28">
        <v>42.0</v>
      </c>
      <c r="P1655" s="134"/>
    </row>
    <row r="1656">
      <c r="C1656" s="124"/>
      <c r="H1656" s="28">
        <v>45.0</v>
      </c>
      <c r="J1656" s="28">
        <v>0.46</v>
      </c>
      <c r="K1656" s="28">
        <v>38.0</v>
      </c>
      <c r="P1656" s="134"/>
    </row>
    <row r="1657">
      <c r="C1657" s="124"/>
      <c r="H1657" s="28">
        <v>41.0</v>
      </c>
      <c r="J1657" s="28">
        <v>0.49</v>
      </c>
      <c r="K1657" s="28">
        <v>41.0</v>
      </c>
      <c r="P1657" s="134"/>
    </row>
    <row r="1658">
      <c r="C1658" s="124"/>
      <c r="H1658" s="28">
        <v>43.0</v>
      </c>
      <c r="J1658" s="28">
        <v>0.44</v>
      </c>
      <c r="K1658" s="28">
        <v>40.0</v>
      </c>
      <c r="P1658" s="134"/>
    </row>
    <row r="1659">
      <c r="C1659" s="124"/>
      <c r="H1659" s="28">
        <v>49.0</v>
      </c>
      <c r="J1659" s="28">
        <v>0.46</v>
      </c>
      <c r="K1659" s="28">
        <v>43.0</v>
      </c>
      <c r="P1659" s="134"/>
    </row>
    <row r="1660">
      <c r="C1660" s="124"/>
      <c r="H1660" s="28">
        <v>47.0</v>
      </c>
      <c r="J1660" s="28">
        <v>0.47</v>
      </c>
      <c r="K1660" s="28">
        <v>41.0</v>
      </c>
      <c r="P1660" s="134"/>
    </row>
    <row r="1661">
      <c r="C1661" s="124"/>
      <c r="H1661" s="28">
        <v>48.0</v>
      </c>
      <c r="J1661" s="28">
        <v>0.49</v>
      </c>
      <c r="K1661" s="28">
        <v>44.0</v>
      </c>
      <c r="P1661" s="134"/>
    </row>
    <row r="1662">
      <c r="C1662" s="124"/>
      <c r="H1662" s="28">
        <v>47.0</v>
      </c>
      <c r="J1662" s="28">
        <v>0.45</v>
      </c>
      <c r="K1662" s="28">
        <v>44.0</v>
      </c>
      <c r="P1662" s="134"/>
    </row>
    <row r="1663">
      <c r="C1663" s="124"/>
      <c r="H1663" s="28">
        <v>44.0</v>
      </c>
      <c r="J1663" s="28">
        <v>0.47</v>
      </c>
      <c r="K1663" s="28">
        <v>40.0</v>
      </c>
      <c r="P1663" s="134"/>
    </row>
    <row r="1664">
      <c r="C1664" s="124"/>
      <c r="H1664" s="28">
        <v>43.0</v>
      </c>
      <c r="J1664" s="28">
        <v>0.48</v>
      </c>
      <c r="K1664" s="28">
        <v>39.0</v>
      </c>
      <c r="P1664" s="134"/>
    </row>
    <row r="1665">
      <c r="C1665" s="124"/>
      <c r="H1665" s="28">
        <v>42.0</v>
      </c>
      <c r="J1665" s="28">
        <v>0.47</v>
      </c>
      <c r="K1665" s="28">
        <v>38.0</v>
      </c>
      <c r="P1665" s="134"/>
    </row>
    <row r="1666">
      <c r="C1666" s="124"/>
      <c r="H1666" s="28">
        <v>43.0</v>
      </c>
      <c r="J1666" s="28">
        <v>0.46</v>
      </c>
      <c r="K1666" s="28">
        <v>36.0</v>
      </c>
      <c r="P1666" s="134"/>
    </row>
    <row r="1667">
      <c r="C1667" s="124"/>
      <c r="H1667" s="28">
        <v>42.0</v>
      </c>
      <c r="J1667" s="28">
        <v>0.46</v>
      </c>
      <c r="K1667" s="28">
        <v>41.0</v>
      </c>
      <c r="P1667" s="134"/>
    </row>
    <row r="1668">
      <c r="C1668" s="135"/>
      <c r="H1668" s="28">
        <v>43.0</v>
      </c>
      <c r="J1668" s="28">
        <v>0.47</v>
      </c>
      <c r="K1668" s="28">
        <v>41.0</v>
      </c>
      <c r="P1668" s="134"/>
    </row>
    <row r="1669">
      <c r="C1669" s="135"/>
      <c r="H1669" s="28">
        <v>44.0</v>
      </c>
      <c r="J1669" s="28">
        <v>0.51</v>
      </c>
      <c r="K1669" s="28">
        <v>42.0</v>
      </c>
      <c r="P1669" s="134"/>
    </row>
    <row r="1670">
      <c r="C1670" s="135"/>
      <c r="H1670" s="28">
        <v>43.0</v>
      </c>
      <c r="J1670" s="28">
        <v>0.44</v>
      </c>
      <c r="K1670" s="28">
        <v>39.0</v>
      </c>
      <c r="P1670" s="134"/>
    </row>
    <row r="1671">
      <c r="C1671" s="135"/>
      <c r="H1671" s="28">
        <v>44.0</v>
      </c>
      <c r="J1671" s="28">
        <v>0.47</v>
      </c>
      <c r="K1671" s="28">
        <v>42.0</v>
      </c>
      <c r="P1671" s="134"/>
    </row>
    <row r="1672">
      <c r="C1672" s="135"/>
      <c r="H1672" s="28">
        <v>48.0</v>
      </c>
      <c r="J1672" s="28">
        <v>0.48</v>
      </c>
      <c r="K1672" s="28">
        <v>47.0</v>
      </c>
      <c r="P1672" s="134"/>
    </row>
    <row r="1673">
      <c r="C1673" s="135"/>
      <c r="H1673" s="28">
        <v>45.0</v>
      </c>
      <c r="J1673" s="28">
        <v>0.47</v>
      </c>
      <c r="K1673" s="28">
        <v>43.0</v>
      </c>
      <c r="P1673" s="134"/>
    </row>
    <row r="1674">
      <c r="C1674" s="135"/>
      <c r="H1674" s="28">
        <v>49.0</v>
      </c>
      <c r="J1674" s="28">
        <v>0.48</v>
      </c>
      <c r="K1674" s="28">
        <v>41.0</v>
      </c>
      <c r="P1674" s="134"/>
    </row>
    <row r="1675">
      <c r="C1675" s="135"/>
      <c r="J1675" s="28">
        <v>0.49</v>
      </c>
      <c r="K1675" s="28">
        <v>41.0</v>
      </c>
      <c r="P1675" s="134"/>
    </row>
    <row r="1676">
      <c r="C1676" s="135"/>
      <c r="J1676" s="28">
        <v>0.47</v>
      </c>
      <c r="K1676" s="28">
        <v>41.0</v>
      </c>
      <c r="P1676" s="134"/>
    </row>
    <row r="1677">
      <c r="C1677" s="135"/>
      <c r="J1677" s="28">
        <v>0.46</v>
      </c>
      <c r="K1677" s="28">
        <v>42.0</v>
      </c>
      <c r="P1677" s="134"/>
    </row>
    <row r="1678">
      <c r="C1678" s="135"/>
      <c r="J1678" s="28">
        <v>0.5</v>
      </c>
      <c r="K1678" s="28">
        <v>35.0</v>
      </c>
      <c r="P1678" s="134"/>
    </row>
    <row r="1679">
      <c r="C1679" s="135"/>
      <c r="J1679" s="28">
        <v>0.48</v>
      </c>
      <c r="K1679" s="28">
        <v>41.0</v>
      </c>
      <c r="P1679" s="134"/>
    </row>
    <row r="1680">
      <c r="C1680" s="135"/>
      <c r="J1680" s="28">
        <v>0.49</v>
      </c>
      <c r="K1680" s="28">
        <v>38.0</v>
      </c>
      <c r="P1680" s="134"/>
    </row>
    <row r="1681">
      <c r="C1681" s="135"/>
      <c r="J1681" s="28">
        <v>0.48</v>
      </c>
      <c r="K1681" s="28">
        <v>38.0</v>
      </c>
      <c r="P1681" s="134"/>
    </row>
    <row r="1682">
      <c r="C1682" s="135"/>
      <c r="J1682" s="28">
        <v>0.47</v>
      </c>
      <c r="K1682" s="28">
        <v>37.0</v>
      </c>
      <c r="P1682" s="134"/>
    </row>
    <row r="1683">
      <c r="C1683" s="135"/>
      <c r="J1683" s="28">
        <v>0.46</v>
      </c>
      <c r="K1683" s="28">
        <v>41.0</v>
      </c>
      <c r="P1683" s="134"/>
    </row>
    <row r="1684">
      <c r="C1684" s="135"/>
      <c r="J1684" s="28">
        <v>0.48</v>
      </c>
      <c r="K1684" s="28">
        <v>47.0</v>
      </c>
      <c r="P1684" s="134"/>
    </row>
    <row r="1685">
      <c r="C1685" s="135"/>
      <c r="J1685" s="28">
        <v>0.49</v>
      </c>
      <c r="K1685" s="28">
        <v>43.0</v>
      </c>
      <c r="P1685" s="134"/>
    </row>
    <row r="1686">
      <c r="C1686" s="135"/>
      <c r="J1686" s="28">
        <v>0.49</v>
      </c>
      <c r="K1686" s="28">
        <v>47.0</v>
      </c>
      <c r="P1686" s="134"/>
    </row>
    <row r="1687">
      <c r="C1687" s="135"/>
      <c r="P1687" s="134"/>
    </row>
    <row r="1688">
      <c r="C1688" s="135"/>
      <c r="P1688" s="134"/>
    </row>
    <row r="1689">
      <c r="C1689" s="135"/>
      <c r="P1689" s="134"/>
    </row>
    <row r="1690">
      <c r="C1690" s="135"/>
      <c r="P1690" s="134"/>
    </row>
    <row r="1691">
      <c r="C1691" s="135"/>
      <c r="P1691" s="134"/>
    </row>
    <row r="1692">
      <c r="C1692" s="135"/>
      <c r="P1692" s="134"/>
    </row>
    <row r="1693">
      <c r="C1693" s="135"/>
      <c r="P1693" s="134"/>
    </row>
    <row r="1694">
      <c r="C1694" s="135"/>
      <c r="P1694" s="134"/>
    </row>
    <row r="1695">
      <c r="C1695" s="135"/>
      <c r="P1695" s="134"/>
    </row>
    <row r="1696">
      <c r="C1696" s="135"/>
      <c r="P1696" s="134"/>
    </row>
    <row r="1697">
      <c r="C1697" s="135"/>
      <c r="P1697" s="134"/>
    </row>
    <row r="1698">
      <c r="C1698" s="135"/>
      <c r="P1698" s="134"/>
    </row>
    <row r="1699">
      <c r="C1699" s="135"/>
      <c r="P1699" s="134"/>
    </row>
    <row r="1700">
      <c r="C1700" s="135"/>
      <c r="P1700" s="134"/>
    </row>
    <row r="1701">
      <c r="C1701" s="135"/>
      <c r="P1701" s="134"/>
    </row>
    <row r="1702">
      <c r="C1702" s="135"/>
      <c r="P1702" s="134"/>
    </row>
    <row r="1703">
      <c r="C1703" s="135"/>
      <c r="P1703" s="134"/>
    </row>
    <row r="1704">
      <c r="C1704" s="135"/>
      <c r="P1704" s="134"/>
    </row>
    <row r="1705">
      <c r="C1705" s="135"/>
      <c r="P1705" s="134"/>
    </row>
    <row r="1706">
      <c r="C1706" s="135"/>
      <c r="P1706" s="134"/>
    </row>
    <row r="1707">
      <c r="C1707" s="135"/>
      <c r="P1707" s="134"/>
    </row>
    <row r="1708">
      <c r="C1708" s="135"/>
      <c r="P1708" s="134"/>
    </row>
    <row r="1709">
      <c r="C1709" s="135"/>
      <c r="P1709" s="134"/>
    </row>
    <row r="1710">
      <c r="C1710" s="135"/>
      <c r="P1710" s="134"/>
    </row>
    <row r="1711">
      <c r="C1711" s="135"/>
      <c r="P1711" s="134"/>
    </row>
    <row r="1712">
      <c r="C1712" s="135"/>
      <c r="P1712" s="134"/>
    </row>
    <row r="1713">
      <c r="C1713" s="135"/>
      <c r="P1713" s="134"/>
    </row>
    <row r="1714">
      <c r="C1714" s="135"/>
      <c r="P1714" s="134"/>
    </row>
    <row r="1715">
      <c r="C1715" s="135"/>
      <c r="P1715" s="134"/>
    </row>
    <row r="1716">
      <c r="C1716" s="135"/>
      <c r="P1716" s="134"/>
    </row>
    <row r="1717">
      <c r="C1717" s="135"/>
      <c r="P1717" s="134"/>
    </row>
    <row r="1718">
      <c r="C1718" s="135"/>
      <c r="P1718" s="134"/>
    </row>
    <row r="1719">
      <c r="C1719" s="135"/>
      <c r="P1719" s="134"/>
    </row>
    <row r="1720">
      <c r="C1720" s="135"/>
      <c r="P1720" s="134"/>
    </row>
    <row r="1721">
      <c r="C1721" s="135"/>
      <c r="P1721" s="134"/>
    </row>
    <row r="1722">
      <c r="C1722" s="135"/>
      <c r="P1722" s="134"/>
    </row>
    <row r="1723">
      <c r="C1723" s="135"/>
      <c r="P1723" s="134"/>
    </row>
    <row r="1724">
      <c r="C1724" s="135"/>
      <c r="P1724" s="134"/>
    </row>
    <row r="1725">
      <c r="C1725" s="135"/>
      <c r="P1725" s="134"/>
    </row>
    <row r="1726">
      <c r="C1726" s="135"/>
      <c r="P1726" s="134"/>
    </row>
    <row r="1727">
      <c r="C1727" s="135"/>
      <c r="P1727" s="134"/>
    </row>
    <row r="1728">
      <c r="C1728" s="135"/>
      <c r="P1728" s="134"/>
    </row>
    <row r="1729">
      <c r="C1729" s="135"/>
      <c r="P1729" s="134"/>
    </row>
    <row r="1730">
      <c r="C1730" s="135"/>
      <c r="P1730" s="134"/>
    </row>
    <row r="1731">
      <c r="C1731" s="135"/>
      <c r="P1731" s="134"/>
    </row>
    <row r="1732">
      <c r="C1732" s="135"/>
      <c r="P1732" s="134"/>
    </row>
    <row r="1733">
      <c r="C1733" s="135"/>
      <c r="P1733" s="134"/>
    </row>
    <row r="1734">
      <c r="C1734" s="135"/>
      <c r="P1734" s="134"/>
    </row>
    <row r="1735">
      <c r="C1735" s="135"/>
      <c r="P1735" s="134"/>
    </row>
    <row r="1736">
      <c r="C1736" s="135"/>
      <c r="P1736" s="134"/>
    </row>
    <row r="1737">
      <c r="C1737" s="135"/>
      <c r="P1737" s="134"/>
    </row>
    <row r="1738">
      <c r="C1738" s="135"/>
      <c r="P1738" s="134"/>
    </row>
    <row r="1739">
      <c r="C1739" s="135"/>
      <c r="P1739" s="134"/>
    </row>
    <row r="1740">
      <c r="C1740" s="135"/>
      <c r="P1740" s="134"/>
    </row>
    <row r="1741">
      <c r="C1741" s="135"/>
      <c r="P1741" s="134"/>
    </row>
    <row r="1742">
      <c r="C1742" s="135"/>
      <c r="P1742" s="134"/>
    </row>
    <row r="1743">
      <c r="C1743" s="135"/>
      <c r="P1743" s="134"/>
    </row>
    <row r="1744">
      <c r="C1744" s="135"/>
      <c r="P1744" s="134"/>
    </row>
    <row r="1745">
      <c r="C1745" s="135"/>
      <c r="P1745" s="134"/>
    </row>
    <row r="1746">
      <c r="C1746" s="135"/>
      <c r="P1746" s="134"/>
    </row>
    <row r="1747">
      <c r="C1747" s="135"/>
      <c r="P1747" s="134"/>
    </row>
    <row r="1748">
      <c r="C1748" s="135"/>
      <c r="P1748" s="134"/>
    </row>
    <row r="1749">
      <c r="C1749" s="135"/>
      <c r="P1749" s="134"/>
    </row>
    <row r="1750">
      <c r="C1750" s="135"/>
      <c r="P1750" s="134"/>
    </row>
    <row r="1751">
      <c r="C1751" s="135"/>
      <c r="P1751" s="134"/>
    </row>
    <row r="1752">
      <c r="C1752" s="135"/>
      <c r="P1752" s="134"/>
    </row>
    <row r="1753">
      <c r="C1753" s="135"/>
      <c r="P1753" s="134"/>
    </row>
    <row r="1754">
      <c r="C1754" s="135"/>
      <c r="P1754" s="134"/>
    </row>
    <row r="1755">
      <c r="C1755" s="135"/>
      <c r="P1755" s="134"/>
    </row>
    <row r="1756">
      <c r="C1756" s="135"/>
      <c r="P1756" s="134"/>
    </row>
    <row r="1757">
      <c r="C1757" s="135"/>
      <c r="P1757" s="134"/>
    </row>
    <row r="1758">
      <c r="C1758" s="135"/>
      <c r="P1758" s="134"/>
    </row>
    <row r="1759">
      <c r="C1759" s="135"/>
      <c r="P1759" s="134"/>
    </row>
    <row r="1760">
      <c r="C1760" s="135"/>
      <c r="P1760" s="134"/>
    </row>
    <row r="1761">
      <c r="C1761" s="135"/>
      <c r="P1761" s="134"/>
    </row>
    <row r="1762">
      <c r="C1762" s="135"/>
      <c r="P1762" s="134"/>
    </row>
    <row r="1763">
      <c r="C1763" s="135"/>
      <c r="P1763" s="134"/>
    </row>
    <row r="1764">
      <c r="C1764" s="135"/>
      <c r="P1764" s="134"/>
    </row>
    <row r="1765">
      <c r="C1765" s="135"/>
      <c r="P1765" s="134"/>
    </row>
    <row r="1766">
      <c r="C1766" s="135"/>
      <c r="P1766" s="134"/>
    </row>
    <row r="1767">
      <c r="C1767" s="135"/>
      <c r="P1767" s="134"/>
    </row>
    <row r="1768">
      <c r="C1768" s="135"/>
      <c r="P1768" s="134"/>
    </row>
    <row r="1769">
      <c r="C1769" s="135"/>
      <c r="P1769" s="134"/>
    </row>
    <row r="1770">
      <c r="C1770" s="135"/>
      <c r="P1770" s="134"/>
    </row>
    <row r="1771">
      <c r="C1771" s="135"/>
      <c r="P1771" s="134"/>
    </row>
    <row r="1772">
      <c r="C1772" s="135"/>
      <c r="P1772" s="134"/>
    </row>
    <row r="1773">
      <c r="C1773" s="135"/>
      <c r="P1773" s="134"/>
    </row>
    <row r="1774">
      <c r="C1774" s="135"/>
      <c r="P1774" s="134"/>
    </row>
    <row r="1775">
      <c r="C1775" s="135"/>
      <c r="P1775" s="134"/>
    </row>
  </sheetData>
  <conditionalFormatting sqref="S22:U24">
    <cfRule type="colorScale" priority="1">
      <colorScale>
        <cfvo type="min"/>
        <cfvo type="max"/>
        <color rgb="FFFFFFFF"/>
        <color rgb="FF57BB8A"/>
      </colorScale>
    </cfRule>
  </conditionalFormatting>
  <conditionalFormatting sqref="AD29:AD43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6" max="16" width="30.38"/>
  </cols>
  <sheetData>
    <row r="1">
      <c r="A1" s="136"/>
      <c r="B1" s="137" t="s">
        <v>219</v>
      </c>
      <c r="C1" s="138"/>
      <c r="D1" s="138"/>
      <c r="E1" s="138"/>
      <c r="F1" s="138"/>
      <c r="G1" s="139" t="s">
        <v>220</v>
      </c>
      <c r="H1" s="138"/>
      <c r="I1" s="138"/>
      <c r="J1" s="138"/>
      <c r="K1" s="138"/>
      <c r="L1" s="138"/>
      <c r="M1" s="140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</row>
    <row r="2">
      <c r="A2" s="125" t="s">
        <v>3</v>
      </c>
      <c r="B2" s="142" t="s">
        <v>221</v>
      </c>
      <c r="C2" s="143" t="s">
        <v>222</v>
      </c>
      <c r="D2" s="143" t="s">
        <v>199</v>
      </c>
      <c r="E2" s="143" t="s">
        <v>223</v>
      </c>
      <c r="F2" s="144" t="s">
        <v>224</v>
      </c>
      <c r="G2" s="142">
        <v>1.0</v>
      </c>
      <c r="H2" s="143" t="s">
        <v>151</v>
      </c>
      <c r="I2" s="143">
        <v>2.0</v>
      </c>
      <c r="J2" s="143" t="s">
        <v>225</v>
      </c>
      <c r="K2" s="145" t="s">
        <v>226</v>
      </c>
      <c r="L2" s="143" t="s">
        <v>227</v>
      </c>
      <c r="M2" s="146" t="s">
        <v>228</v>
      </c>
      <c r="N2" s="126" t="s">
        <v>229</v>
      </c>
      <c r="O2" s="126" t="s">
        <v>230</v>
      </c>
      <c r="P2" s="126" t="s">
        <v>231</v>
      </c>
      <c r="Q2" s="141"/>
      <c r="R2" s="141"/>
      <c r="S2" s="105" t="s">
        <v>232</v>
      </c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</row>
    <row r="3">
      <c r="A3" s="126"/>
      <c r="B3" s="147"/>
      <c r="C3" s="148"/>
      <c r="D3" s="148"/>
      <c r="E3" s="148"/>
      <c r="F3" s="149" t="str">
        <f t="shared" ref="F3:F22" si="1">IFERROR((E3-C3)/abs(C3),"")</f>
        <v/>
      </c>
      <c r="G3" s="141"/>
      <c r="H3" s="141"/>
      <c r="I3" s="141"/>
      <c r="J3" s="126"/>
      <c r="K3" s="150" t="str">
        <f t="shared" ref="K3:K22" si="2">IF(ISNUMBER(J3),J3/$E$29,"")</f>
        <v/>
      </c>
      <c r="L3" s="126"/>
      <c r="M3" s="150" t="str">
        <f t="shared" ref="M3:M22" si="3">IF(ISNUMBER(L3),L3/H3,"")</f>
        <v/>
      </c>
      <c r="N3" s="136"/>
      <c r="O3" s="126"/>
      <c r="P3" s="15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</row>
    <row r="4">
      <c r="A4" s="126"/>
      <c r="B4" s="147"/>
      <c r="C4" s="148"/>
      <c r="D4" s="148"/>
      <c r="E4" s="148"/>
      <c r="F4" s="149" t="str">
        <f t="shared" si="1"/>
        <v/>
      </c>
      <c r="G4" s="141"/>
      <c r="H4" s="141"/>
      <c r="I4" s="141"/>
      <c r="J4" s="126"/>
      <c r="K4" s="150" t="str">
        <f t="shared" si="2"/>
        <v/>
      </c>
      <c r="L4" s="126"/>
      <c r="M4" s="150" t="str">
        <f t="shared" si="3"/>
        <v/>
      </c>
      <c r="N4" s="136"/>
      <c r="O4" s="126"/>
      <c r="P4" s="151"/>
      <c r="Q4" s="141"/>
      <c r="R4" s="141"/>
      <c r="S4" s="152" t="s">
        <v>233</v>
      </c>
      <c r="T4" s="153"/>
      <c r="Z4" s="35"/>
      <c r="AA4" s="35"/>
      <c r="AB4" s="35"/>
      <c r="AC4" s="35"/>
    </row>
    <row r="5">
      <c r="A5" s="16"/>
      <c r="B5" s="154"/>
      <c r="C5" s="85"/>
      <c r="D5" s="85"/>
      <c r="E5" s="85"/>
      <c r="F5" s="149" t="str">
        <f t="shared" si="1"/>
        <v/>
      </c>
      <c r="G5" s="141"/>
      <c r="H5" s="141"/>
      <c r="I5" s="141"/>
      <c r="J5" s="16"/>
      <c r="K5" s="150" t="str">
        <f t="shared" si="2"/>
        <v/>
      </c>
      <c r="L5" s="16"/>
      <c r="M5" s="150" t="str">
        <f t="shared" si="3"/>
        <v/>
      </c>
      <c r="N5" s="126"/>
      <c r="O5" s="78"/>
      <c r="P5" s="155"/>
      <c r="S5" s="153"/>
      <c r="T5" s="156" t="s">
        <v>234</v>
      </c>
    </row>
    <row r="6">
      <c r="A6" s="126"/>
      <c r="B6" s="147"/>
      <c r="C6" s="148"/>
      <c r="D6" s="148"/>
      <c r="E6" s="148"/>
      <c r="F6" s="149" t="str">
        <f t="shared" si="1"/>
        <v/>
      </c>
      <c r="G6" s="141"/>
      <c r="H6" s="141"/>
      <c r="I6" s="141"/>
      <c r="J6" s="126"/>
      <c r="K6" s="150" t="str">
        <f t="shared" si="2"/>
        <v/>
      </c>
      <c r="L6" s="126"/>
      <c r="M6" s="150" t="str">
        <f t="shared" si="3"/>
        <v/>
      </c>
      <c r="N6" s="136"/>
      <c r="O6" s="126"/>
      <c r="P6" s="151"/>
      <c r="Q6" s="141"/>
      <c r="R6" s="141"/>
      <c r="S6" s="153"/>
      <c r="T6" s="156" t="s">
        <v>235</v>
      </c>
      <c r="Z6" s="88"/>
      <c r="AD6" s="28" t="s">
        <v>236</v>
      </c>
    </row>
    <row r="7">
      <c r="A7" s="16"/>
      <c r="B7" s="154"/>
      <c r="C7" s="85"/>
      <c r="D7" s="85"/>
      <c r="E7" s="85"/>
      <c r="F7" s="149" t="str">
        <f t="shared" si="1"/>
        <v/>
      </c>
      <c r="G7" s="157"/>
      <c r="H7" s="78"/>
      <c r="I7" s="78"/>
      <c r="J7" s="78"/>
      <c r="K7" s="150" t="str">
        <f t="shared" si="2"/>
        <v/>
      </c>
      <c r="L7" s="78"/>
      <c r="M7" s="150" t="str">
        <f t="shared" si="3"/>
        <v/>
      </c>
      <c r="N7" s="16"/>
      <c r="O7" s="78"/>
      <c r="P7" s="158"/>
      <c r="AD7" s="156" t="s">
        <v>237</v>
      </c>
      <c r="AE7" s="153"/>
      <c r="AF7" s="153"/>
      <c r="AG7" s="153"/>
    </row>
    <row r="8">
      <c r="A8" s="16"/>
      <c r="B8" s="154"/>
      <c r="C8" s="85"/>
      <c r="D8" s="85"/>
      <c r="E8" s="85"/>
      <c r="F8" s="149" t="str">
        <f t="shared" si="1"/>
        <v/>
      </c>
      <c r="G8" s="157"/>
      <c r="H8" s="78"/>
      <c r="I8" s="78"/>
      <c r="J8" s="78"/>
      <c r="K8" s="150" t="str">
        <f t="shared" si="2"/>
        <v/>
      </c>
      <c r="L8" s="78"/>
      <c r="M8" s="150" t="str">
        <f t="shared" si="3"/>
        <v/>
      </c>
      <c r="N8" s="16"/>
      <c r="O8" s="78"/>
      <c r="P8" s="158"/>
      <c r="S8" s="156" t="s">
        <v>238</v>
      </c>
      <c r="AA8" s="88"/>
      <c r="AD8" s="156" t="s">
        <v>239</v>
      </c>
    </row>
    <row r="9">
      <c r="A9" s="126"/>
      <c r="B9" s="147"/>
      <c r="C9" s="148"/>
      <c r="D9" s="148"/>
      <c r="E9" s="148"/>
      <c r="F9" s="149" t="str">
        <f t="shared" si="1"/>
        <v/>
      </c>
      <c r="G9" s="141"/>
      <c r="H9" s="141"/>
      <c r="I9" s="141"/>
      <c r="J9" s="126"/>
      <c r="K9" s="150" t="str">
        <f t="shared" si="2"/>
        <v/>
      </c>
      <c r="L9" s="126"/>
      <c r="M9" s="150" t="str">
        <f t="shared" si="3"/>
        <v/>
      </c>
      <c r="N9" s="136"/>
      <c r="O9" s="126"/>
      <c r="P9" s="151"/>
      <c r="Q9" s="141"/>
      <c r="R9" s="141"/>
    </row>
    <row r="10">
      <c r="A10" s="16"/>
      <c r="B10" s="154"/>
      <c r="C10" s="85"/>
      <c r="D10" s="85"/>
      <c r="E10" s="85"/>
      <c r="F10" s="149" t="str">
        <f t="shared" si="1"/>
        <v/>
      </c>
      <c r="G10" s="141"/>
      <c r="H10" s="136"/>
      <c r="I10" s="141"/>
      <c r="J10" s="16"/>
      <c r="K10" s="150" t="str">
        <f t="shared" si="2"/>
        <v/>
      </c>
      <c r="L10" s="16"/>
      <c r="M10" s="150" t="str">
        <f t="shared" si="3"/>
        <v/>
      </c>
      <c r="N10" s="126"/>
      <c r="O10" s="78"/>
      <c r="P10" s="158"/>
      <c r="Z10" s="88"/>
    </row>
    <row r="11">
      <c r="A11" s="126"/>
      <c r="B11" s="147"/>
      <c r="C11" s="148"/>
      <c r="D11" s="148"/>
      <c r="E11" s="148"/>
      <c r="F11" s="149" t="str">
        <f t="shared" si="1"/>
        <v/>
      </c>
      <c r="G11" s="159"/>
      <c r="H11" s="136"/>
      <c r="I11" s="136"/>
      <c r="J11" s="126"/>
      <c r="K11" s="150" t="str">
        <f t="shared" si="2"/>
        <v/>
      </c>
      <c r="L11" s="126"/>
      <c r="M11" s="150" t="str">
        <f t="shared" si="3"/>
        <v/>
      </c>
      <c r="N11" s="126"/>
      <c r="O11" s="136"/>
      <c r="P11" s="160"/>
      <c r="Q11" s="141"/>
      <c r="R11" s="141"/>
    </row>
    <row r="12">
      <c r="A12" s="16"/>
      <c r="B12" s="154"/>
      <c r="C12" s="85"/>
      <c r="D12" s="85"/>
      <c r="E12" s="85"/>
      <c r="F12" s="149" t="str">
        <f t="shared" si="1"/>
        <v/>
      </c>
      <c r="G12" s="141"/>
      <c r="H12" s="141"/>
      <c r="I12" s="141"/>
      <c r="J12" s="16"/>
      <c r="K12" s="150" t="str">
        <f t="shared" si="2"/>
        <v/>
      </c>
      <c r="L12" s="16"/>
      <c r="M12" s="150" t="str">
        <f t="shared" si="3"/>
        <v/>
      </c>
      <c r="N12" s="126"/>
      <c r="O12" s="78"/>
      <c r="P12" s="158"/>
    </row>
    <row r="13">
      <c r="A13" s="126"/>
      <c r="B13" s="147"/>
      <c r="C13" s="148"/>
      <c r="D13" s="148"/>
      <c r="E13" s="148"/>
      <c r="F13" s="149" t="str">
        <f t="shared" si="1"/>
        <v/>
      </c>
      <c r="G13" s="159"/>
      <c r="H13" s="136"/>
      <c r="I13" s="136"/>
      <c r="J13" s="136"/>
      <c r="K13" s="150" t="str">
        <f t="shared" si="2"/>
        <v/>
      </c>
      <c r="L13" s="136"/>
      <c r="M13" s="150" t="str">
        <f t="shared" si="3"/>
        <v/>
      </c>
      <c r="N13" s="126"/>
      <c r="O13" s="136"/>
      <c r="P13" s="160"/>
      <c r="Q13" s="141"/>
      <c r="R13" s="141"/>
    </row>
    <row r="14">
      <c r="A14" s="16"/>
      <c r="B14" s="154"/>
      <c r="C14" s="85"/>
      <c r="D14" s="85"/>
      <c r="E14" s="85"/>
      <c r="F14" s="149" t="str">
        <f t="shared" si="1"/>
        <v/>
      </c>
      <c r="G14" s="157"/>
      <c r="H14" s="78"/>
      <c r="I14" s="78"/>
      <c r="J14" s="78"/>
      <c r="K14" s="150" t="str">
        <f t="shared" si="2"/>
        <v/>
      </c>
      <c r="L14" s="78"/>
      <c r="M14" s="150" t="str">
        <f t="shared" si="3"/>
        <v/>
      </c>
      <c r="N14" s="16"/>
      <c r="O14" s="78"/>
      <c r="P14" s="158"/>
    </row>
    <row r="15">
      <c r="A15" s="16"/>
      <c r="B15" s="154"/>
      <c r="C15" s="85"/>
      <c r="D15" s="85"/>
      <c r="E15" s="85"/>
      <c r="F15" s="149" t="str">
        <f t="shared" si="1"/>
        <v/>
      </c>
      <c r="G15" s="157"/>
      <c r="H15" s="78"/>
      <c r="I15" s="78"/>
      <c r="J15" s="78"/>
      <c r="K15" s="150" t="str">
        <f t="shared" si="2"/>
        <v/>
      </c>
      <c r="L15" s="78"/>
      <c r="M15" s="150" t="str">
        <f t="shared" si="3"/>
        <v/>
      </c>
      <c r="N15" s="126"/>
      <c r="O15" s="78"/>
      <c r="P15" s="158"/>
      <c r="S15" s="28" t="s">
        <v>240</v>
      </c>
    </row>
    <row r="16">
      <c r="A16" s="16"/>
      <c r="B16" s="154"/>
      <c r="C16" s="85"/>
      <c r="D16" s="85"/>
      <c r="E16" s="85"/>
      <c r="F16" s="149" t="str">
        <f t="shared" si="1"/>
        <v/>
      </c>
      <c r="G16" s="157"/>
      <c r="H16" s="78"/>
      <c r="I16" s="78"/>
      <c r="J16" s="78"/>
      <c r="K16" s="150" t="str">
        <f t="shared" si="2"/>
        <v/>
      </c>
      <c r="L16" s="78"/>
      <c r="M16" s="150" t="str">
        <f t="shared" si="3"/>
        <v/>
      </c>
      <c r="N16" s="126"/>
      <c r="O16" s="78"/>
      <c r="P16" s="158"/>
    </row>
    <row r="17">
      <c r="A17" s="16"/>
      <c r="B17" s="154"/>
      <c r="C17" s="85"/>
      <c r="D17" s="85"/>
      <c r="E17" s="85"/>
      <c r="F17" s="149" t="str">
        <f t="shared" si="1"/>
        <v/>
      </c>
      <c r="G17" s="157"/>
      <c r="H17" s="78"/>
      <c r="I17" s="78"/>
      <c r="J17" s="78"/>
      <c r="K17" s="150" t="str">
        <f t="shared" si="2"/>
        <v/>
      </c>
      <c r="L17" s="78"/>
      <c r="M17" s="150" t="str">
        <f t="shared" si="3"/>
        <v/>
      </c>
      <c r="N17" s="126"/>
      <c r="O17" s="78"/>
      <c r="P17" s="158"/>
    </row>
    <row r="18">
      <c r="A18" s="16"/>
      <c r="B18" s="154"/>
      <c r="C18" s="85"/>
      <c r="D18" s="85"/>
      <c r="E18" s="85"/>
      <c r="F18" s="149" t="str">
        <f t="shared" si="1"/>
        <v/>
      </c>
      <c r="G18" s="157"/>
      <c r="H18" s="78"/>
      <c r="I18" s="78"/>
      <c r="J18" s="78"/>
      <c r="K18" s="150" t="str">
        <f t="shared" si="2"/>
        <v/>
      </c>
      <c r="L18" s="78"/>
      <c r="M18" s="150" t="str">
        <f t="shared" si="3"/>
        <v/>
      </c>
      <c r="N18" s="16"/>
      <c r="O18" s="78"/>
      <c r="P18" s="158"/>
    </row>
    <row r="19">
      <c r="A19" s="126"/>
      <c r="B19" s="147"/>
      <c r="C19" s="148"/>
      <c r="D19" s="148"/>
      <c r="E19" s="148"/>
      <c r="F19" s="149" t="str">
        <f t="shared" si="1"/>
        <v/>
      </c>
      <c r="G19" s="159"/>
      <c r="H19" s="136"/>
      <c r="I19" s="136"/>
      <c r="J19" s="126"/>
      <c r="K19" s="150" t="str">
        <f t="shared" si="2"/>
        <v/>
      </c>
      <c r="L19" s="126"/>
      <c r="M19" s="150" t="str">
        <f t="shared" si="3"/>
        <v/>
      </c>
      <c r="N19" s="16"/>
      <c r="O19" s="136"/>
      <c r="P19" s="160"/>
      <c r="Q19" s="141"/>
      <c r="R19" s="141"/>
      <c r="S19" s="28" t="s">
        <v>241</v>
      </c>
    </row>
    <row r="20">
      <c r="A20" s="20"/>
      <c r="B20" s="13"/>
      <c r="C20" s="13"/>
      <c r="D20" s="13"/>
      <c r="E20" s="13"/>
      <c r="F20" s="149" t="str">
        <f t="shared" si="1"/>
        <v/>
      </c>
      <c r="G20" s="17"/>
      <c r="H20" s="17"/>
      <c r="I20" s="17"/>
      <c r="J20" s="17"/>
      <c r="K20" s="150" t="str">
        <f t="shared" si="2"/>
        <v/>
      </c>
      <c r="L20" s="17"/>
      <c r="M20" s="150" t="str">
        <f t="shared" si="3"/>
        <v/>
      </c>
      <c r="N20" s="16"/>
      <c r="O20" s="17"/>
      <c r="P20" s="161"/>
    </row>
    <row r="21">
      <c r="A21" s="20"/>
      <c r="B21" s="13"/>
      <c r="C21" s="13"/>
      <c r="D21" s="13"/>
      <c r="E21" s="13"/>
      <c r="F21" s="149" t="str">
        <f t="shared" si="1"/>
        <v/>
      </c>
      <c r="G21" s="17"/>
      <c r="H21" s="17"/>
      <c r="I21" s="17"/>
      <c r="J21" s="17"/>
      <c r="K21" s="150" t="str">
        <f t="shared" si="2"/>
        <v/>
      </c>
      <c r="L21" s="17"/>
      <c r="M21" s="150" t="str">
        <f t="shared" si="3"/>
        <v/>
      </c>
      <c r="N21" s="16"/>
      <c r="O21" s="17"/>
      <c r="P21" s="161"/>
    </row>
    <row r="22">
      <c r="A22" s="4"/>
      <c r="B22" s="64"/>
      <c r="C22" s="64"/>
      <c r="D22" s="64"/>
      <c r="E22" s="64"/>
      <c r="F22" s="149" t="str">
        <f t="shared" si="1"/>
        <v/>
      </c>
      <c r="G22" s="141"/>
      <c r="H22" s="141"/>
      <c r="I22" s="141"/>
      <c r="J22" s="141"/>
      <c r="K22" s="150" t="str">
        <f t="shared" si="2"/>
        <v/>
      </c>
      <c r="L22" s="141"/>
      <c r="M22" s="150" t="str">
        <f t="shared" si="3"/>
        <v/>
      </c>
      <c r="N22" s="126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</row>
    <row r="23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</row>
    <row r="24">
      <c r="A24" s="105" t="s">
        <v>191</v>
      </c>
      <c r="B24" s="162" t="str">
        <f t="shared" ref="B24:F24" si="4">IFERROR(AVERAGE(B3:B22),"")</f>
        <v/>
      </c>
      <c r="C24" s="162" t="str">
        <f t="shared" si="4"/>
        <v/>
      </c>
      <c r="D24" s="162" t="str">
        <f t="shared" si="4"/>
        <v/>
      </c>
      <c r="E24" s="162" t="str">
        <f t="shared" si="4"/>
        <v/>
      </c>
      <c r="F24" s="162" t="str">
        <f t="shared" si="4"/>
        <v/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9" t="s">
        <v>15</v>
      </c>
      <c r="T24" s="28">
        <v>145.0</v>
      </c>
      <c r="U24" s="28">
        <v>145.0</v>
      </c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</row>
    <row r="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9" t="s">
        <v>17</v>
      </c>
      <c r="T25" s="28">
        <v>1172.0</v>
      </c>
      <c r="U25" s="28">
        <v>518.0</v>
      </c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</row>
    <row r="26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6" t="s">
        <v>19</v>
      </c>
      <c r="T26" s="28">
        <v>411.0</v>
      </c>
      <c r="U26" s="28">
        <v>812.0</v>
      </c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</row>
    <row r="27">
      <c r="A27" s="141"/>
      <c r="B27" s="141"/>
      <c r="C27" s="141"/>
      <c r="D27" s="141"/>
      <c r="E27" s="141"/>
      <c r="F27" s="141"/>
      <c r="G27" s="163" t="s">
        <v>242</v>
      </c>
      <c r="H27" s="141"/>
      <c r="I27" s="141"/>
      <c r="J27" s="141"/>
      <c r="K27" s="141"/>
      <c r="L27" s="141"/>
      <c r="M27" s="141"/>
      <c r="O27" s="141"/>
      <c r="P27" s="141"/>
      <c r="Q27" s="141"/>
      <c r="R27" s="141"/>
      <c r="S27" s="16" t="s">
        <v>20</v>
      </c>
      <c r="T27" s="28">
        <v>1267.0</v>
      </c>
      <c r="U27" s="28">
        <v>1023.0</v>
      </c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</row>
    <row r="28">
      <c r="A28" s="141"/>
      <c r="B28" s="141"/>
      <c r="C28" s="141"/>
      <c r="D28" s="141"/>
      <c r="E28" s="141"/>
      <c r="F28" s="141"/>
      <c r="G28" s="164">
        <v>1.0</v>
      </c>
      <c r="H28" s="164" t="s">
        <v>151</v>
      </c>
      <c r="I28" s="164">
        <v>2.0</v>
      </c>
      <c r="J28" s="141"/>
      <c r="K28" s="141"/>
      <c r="L28" s="141"/>
      <c r="M28" s="141"/>
      <c r="O28" s="141"/>
      <c r="P28" s="141"/>
      <c r="Q28" s="141"/>
      <c r="R28" s="141"/>
      <c r="S28" s="16" t="s">
        <v>21</v>
      </c>
      <c r="T28" s="28">
        <v>770.0</v>
      </c>
      <c r="U28" s="28">
        <v>1263.0</v>
      </c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</row>
    <row r="29">
      <c r="A29" s="141"/>
      <c r="B29" s="141"/>
      <c r="C29" s="141"/>
      <c r="D29" s="4" t="s">
        <v>243</v>
      </c>
      <c r="E29" s="4">
        <f>J29</f>
        <v>146</v>
      </c>
      <c r="F29" s="141"/>
      <c r="G29" s="165">
        <v>59.0</v>
      </c>
      <c r="H29" s="165">
        <v>33.0</v>
      </c>
      <c r="I29" s="165">
        <v>54.0</v>
      </c>
      <c r="J29" s="141">
        <f>SUM(G29:I29)</f>
        <v>146</v>
      </c>
      <c r="K29" s="141"/>
      <c r="L29" s="105" t="s">
        <v>244</v>
      </c>
      <c r="M29" s="105" t="s">
        <v>245</v>
      </c>
      <c r="O29" s="4">
        <v>1.0</v>
      </c>
      <c r="P29" s="141">
        <f t="shared" ref="P29:P31" si="6">COUNTIF($M$30:$M1001,O29)</f>
        <v>54</v>
      </c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</row>
    <row r="30">
      <c r="A30" s="141"/>
      <c r="B30" s="141"/>
      <c r="C30" s="141"/>
      <c r="D30" s="141"/>
      <c r="E30" s="141"/>
      <c r="F30" s="141"/>
      <c r="G30" s="166">
        <f t="shared" ref="G30:I30" si="5">G29/$J$29</f>
        <v>0.404109589</v>
      </c>
      <c r="H30" s="166">
        <f t="shared" si="5"/>
        <v>0.2260273973</v>
      </c>
      <c r="I30" s="166">
        <f t="shared" si="5"/>
        <v>0.3698630137</v>
      </c>
      <c r="J30" s="141"/>
      <c r="K30" s="141"/>
      <c r="L30" s="4">
        <v>0.0</v>
      </c>
      <c r="M30" s="4">
        <v>2.0</v>
      </c>
      <c r="O30" s="4">
        <v>0.0</v>
      </c>
      <c r="P30" s="141">
        <f t="shared" si="6"/>
        <v>23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</row>
    <row r="31">
      <c r="A31" s="141"/>
      <c r="B31" s="141"/>
      <c r="C31" s="141"/>
      <c r="D31" s="141"/>
      <c r="E31" s="141"/>
      <c r="F31" s="141"/>
      <c r="K31" s="141"/>
      <c r="L31" s="4">
        <v>2.0</v>
      </c>
      <c r="M31" s="4">
        <v>2.0</v>
      </c>
      <c r="O31" s="4">
        <v>2.0</v>
      </c>
      <c r="P31" s="141">
        <f t="shared" si="6"/>
        <v>69</v>
      </c>
      <c r="R31" s="141"/>
      <c r="S31" s="105" t="s">
        <v>246</v>
      </c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</row>
    <row r="32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4">
        <v>2.0</v>
      </c>
      <c r="M32" s="4">
        <v>2.0</v>
      </c>
      <c r="O32" s="141"/>
      <c r="P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</row>
    <row r="33">
      <c r="A33" s="141"/>
      <c r="B33" s="141"/>
      <c r="C33" s="141"/>
      <c r="D33" s="141"/>
      <c r="E33" s="141"/>
      <c r="F33" s="141"/>
      <c r="G33" s="108" t="s">
        <v>247</v>
      </c>
      <c r="J33" s="141"/>
      <c r="K33" s="141"/>
      <c r="L33" s="4">
        <v>2.0</v>
      </c>
      <c r="M33" s="4">
        <v>2.0</v>
      </c>
      <c r="O33" s="141"/>
      <c r="P33" s="141"/>
      <c r="R33" s="141"/>
      <c r="T33" s="54" t="s">
        <v>248</v>
      </c>
      <c r="W33" s="28" t="s">
        <v>249</v>
      </c>
      <c r="AA33" s="35"/>
      <c r="AD33" s="141"/>
      <c r="AE33" s="141"/>
      <c r="AF33" s="141"/>
      <c r="AG33" s="141"/>
    </row>
    <row r="34">
      <c r="A34" s="141"/>
      <c r="B34" s="141"/>
      <c r="C34" s="141"/>
      <c r="D34" s="141"/>
      <c r="E34" s="141"/>
      <c r="F34" s="141"/>
      <c r="G34" s="167">
        <v>1.0</v>
      </c>
      <c r="H34" s="167" t="s">
        <v>151</v>
      </c>
      <c r="I34" s="167">
        <v>2.0</v>
      </c>
      <c r="J34" s="141"/>
      <c r="K34" s="141"/>
      <c r="L34" s="4">
        <v>0.0</v>
      </c>
      <c r="M34" s="4">
        <v>0.0</v>
      </c>
      <c r="N34" s="141"/>
      <c r="O34" s="141"/>
      <c r="P34" s="141"/>
      <c r="R34" s="141"/>
      <c r="S34" s="40" t="s">
        <v>15</v>
      </c>
      <c r="T34" s="103">
        <v>1626.0</v>
      </c>
      <c r="U34" s="103" t="s">
        <v>250</v>
      </c>
      <c r="W34" s="28">
        <v>5193.0</v>
      </c>
      <c r="AD34" s="141"/>
      <c r="AE34" s="141"/>
      <c r="AF34" s="141"/>
      <c r="AG34" s="141"/>
    </row>
    <row r="35">
      <c r="A35" s="141"/>
      <c r="B35" s="141"/>
      <c r="C35" s="141"/>
      <c r="D35" s="141"/>
      <c r="E35" s="141"/>
      <c r="F35" s="141"/>
      <c r="G35" s="168">
        <v>0.485</v>
      </c>
      <c r="H35" s="168">
        <v>0.285</v>
      </c>
      <c r="I35" s="168">
        <v>0.23</v>
      </c>
      <c r="J35" s="141"/>
      <c r="K35" s="141"/>
      <c r="L35" s="4">
        <v>2.0</v>
      </c>
      <c r="M35" s="4">
        <v>2.0</v>
      </c>
      <c r="N35" s="141"/>
      <c r="O35" s="141"/>
      <c r="P35" s="141"/>
      <c r="R35" s="141"/>
      <c r="S35" s="40" t="s">
        <v>17</v>
      </c>
      <c r="T35" s="103">
        <v>4176.0</v>
      </c>
      <c r="U35" s="103" t="s">
        <v>250</v>
      </c>
      <c r="W35" s="28">
        <v>4863.0</v>
      </c>
      <c r="AD35" s="141"/>
      <c r="AE35" s="141"/>
      <c r="AF35" s="141"/>
      <c r="AG35" s="141"/>
    </row>
    <row r="36">
      <c r="A36" s="141"/>
      <c r="B36" s="141"/>
      <c r="C36" s="141"/>
      <c r="D36" s="141"/>
      <c r="E36" s="141"/>
      <c r="F36" s="141"/>
      <c r="G36" s="17">
        <f t="shared" ref="G36:I36" si="7">ROUND(G35*$E$29,0)</f>
        <v>71</v>
      </c>
      <c r="H36" s="17">
        <f t="shared" si="7"/>
        <v>42</v>
      </c>
      <c r="I36" s="17">
        <f t="shared" si="7"/>
        <v>34</v>
      </c>
      <c r="J36" s="141"/>
      <c r="K36" s="141"/>
      <c r="L36" s="4">
        <v>2.0</v>
      </c>
      <c r="M36" s="4">
        <v>2.0</v>
      </c>
      <c r="N36" s="169"/>
      <c r="O36" s="141"/>
      <c r="P36" s="141"/>
      <c r="R36" s="141"/>
      <c r="S36" s="28" t="s">
        <v>19</v>
      </c>
      <c r="T36" s="103">
        <v>5130.0</v>
      </c>
      <c r="U36" s="170"/>
      <c r="W36" s="28">
        <v>3032.0</v>
      </c>
      <c r="AD36" s="141"/>
      <c r="AE36" s="141"/>
      <c r="AF36" s="141"/>
      <c r="AG36" s="141"/>
    </row>
    <row r="37">
      <c r="A37" s="141"/>
      <c r="B37" s="141"/>
      <c r="C37" s="141"/>
      <c r="D37" s="141"/>
      <c r="E37" s="141"/>
      <c r="F37" s="141"/>
      <c r="J37" s="141"/>
      <c r="K37" s="141"/>
      <c r="L37" s="4">
        <v>2.0</v>
      </c>
      <c r="M37" s="4">
        <v>2.0</v>
      </c>
      <c r="N37" s="169"/>
      <c r="O37" s="141"/>
      <c r="P37" s="141"/>
      <c r="Q37" s="141"/>
      <c r="R37" s="141"/>
      <c r="S37" s="28" t="s">
        <v>20</v>
      </c>
      <c r="T37" s="103">
        <v>2114.0</v>
      </c>
      <c r="U37" s="170"/>
      <c r="W37" s="28">
        <v>2114.0</v>
      </c>
      <c r="AD37" s="141"/>
      <c r="AE37" s="141"/>
      <c r="AF37" s="141"/>
      <c r="AG37" s="141"/>
    </row>
    <row r="38">
      <c r="A38" s="141"/>
      <c r="B38" s="141"/>
      <c r="C38" s="141"/>
      <c r="D38" s="141"/>
      <c r="E38" s="141"/>
      <c r="F38" s="4" t="s">
        <v>251</v>
      </c>
      <c r="G38" s="166">
        <f t="shared" ref="G38:I38" si="8">G30-G35</f>
        <v>-0.08089041096</v>
      </c>
      <c r="H38" s="166">
        <f t="shared" si="8"/>
        <v>-0.05897260274</v>
      </c>
      <c r="I38" s="166">
        <f t="shared" si="8"/>
        <v>0.1398630137</v>
      </c>
      <c r="J38" s="141"/>
      <c r="K38" s="141"/>
      <c r="L38" s="4">
        <v>1.0</v>
      </c>
      <c r="M38" s="4">
        <v>0.0</v>
      </c>
      <c r="N38" s="169"/>
      <c r="O38" s="141"/>
      <c r="P38" s="141"/>
      <c r="Q38" s="141"/>
      <c r="R38" s="141"/>
      <c r="S38" s="28" t="s">
        <v>21</v>
      </c>
      <c r="T38" s="170"/>
      <c r="U38" s="170"/>
      <c r="W38" s="28">
        <v>240.0</v>
      </c>
      <c r="AD38" s="141"/>
      <c r="AE38" s="141"/>
      <c r="AF38" s="141"/>
      <c r="AG38" s="141"/>
    </row>
    <row r="39">
      <c r="A39" s="141"/>
      <c r="B39" s="141"/>
      <c r="C39" s="141"/>
      <c r="D39" s="141"/>
      <c r="E39" s="141"/>
      <c r="K39" s="141"/>
      <c r="L39" s="4">
        <v>1.0</v>
      </c>
      <c r="M39" s="4">
        <v>1.0</v>
      </c>
      <c r="N39" s="169"/>
      <c r="O39" s="141"/>
      <c r="P39" s="141"/>
      <c r="Q39" s="141"/>
      <c r="R39" s="141"/>
      <c r="U39" s="28"/>
      <c r="AD39" s="141"/>
      <c r="AE39" s="141"/>
      <c r="AF39" s="141"/>
      <c r="AG39" s="141"/>
    </row>
    <row r="40">
      <c r="A40" s="141"/>
      <c r="B40" s="141"/>
      <c r="C40" s="141"/>
      <c r="D40" s="141"/>
      <c r="E40" s="141"/>
      <c r="K40" s="141"/>
      <c r="L40" s="4">
        <v>1.0</v>
      </c>
      <c r="M40" s="4">
        <v>1.0</v>
      </c>
      <c r="N40" s="169"/>
      <c r="O40" s="141"/>
      <c r="P40" s="141"/>
      <c r="Q40" s="141"/>
      <c r="R40" s="141"/>
      <c r="U40" s="28"/>
      <c r="AD40" s="141"/>
      <c r="AE40" s="141"/>
      <c r="AF40" s="141"/>
      <c r="AG40" s="141"/>
    </row>
    <row r="41">
      <c r="A41" s="141"/>
      <c r="B41" s="141"/>
      <c r="C41" s="141"/>
      <c r="D41" s="141"/>
      <c r="E41" s="141"/>
      <c r="K41" s="141"/>
      <c r="L41" s="4">
        <v>1.0</v>
      </c>
      <c r="M41" s="4">
        <v>1.0</v>
      </c>
      <c r="N41" s="169"/>
      <c r="O41" s="141"/>
      <c r="P41" s="141"/>
      <c r="Q41" s="141"/>
      <c r="R41" s="141"/>
      <c r="U41" s="28"/>
      <c r="AD41" s="141"/>
      <c r="AE41" s="141"/>
      <c r="AF41" s="141"/>
      <c r="AG41" s="141"/>
    </row>
    <row r="42">
      <c r="A42" s="141"/>
      <c r="B42" s="141"/>
      <c r="C42" s="141"/>
      <c r="D42" s="141"/>
      <c r="E42" s="141"/>
      <c r="K42" s="141"/>
      <c r="L42" s="4">
        <v>0.0</v>
      </c>
      <c r="M42" s="4">
        <v>1.0</v>
      </c>
      <c r="N42" s="169"/>
      <c r="O42" s="141"/>
      <c r="P42" s="141"/>
      <c r="Q42" s="141"/>
      <c r="R42" s="141"/>
      <c r="U42" s="28"/>
      <c r="AD42" s="141"/>
      <c r="AE42" s="141"/>
      <c r="AF42" s="141"/>
      <c r="AG42" s="141"/>
    </row>
    <row r="43">
      <c r="A43" s="141"/>
      <c r="B43" s="141"/>
      <c r="C43" s="141"/>
      <c r="D43" s="141"/>
      <c r="E43" s="141"/>
      <c r="K43" s="141"/>
      <c r="L43" s="4">
        <v>1.0</v>
      </c>
      <c r="M43" s="4">
        <v>0.0</v>
      </c>
      <c r="N43" s="169"/>
      <c r="O43" s="141"/>
      <c r="P43" s="141"/>
      <c r="Q43" s="141"/>
      <c r="R43" s="141"/>
      <c r="U43" s="28"/>
      <c r="AD43" s="141"/>
      <c r="AE43" s="141"/>
      <c r="AF43" s="141"/>
      <c r="AG43" s="141"/>
    </row>
    <row r="44">
      <c r="A44" s="141"/>
      <c r="B44" s="141"/>
      <c r="C44" s="141"/>
      <c r="D44" s="141"/>
      <c r="E44" s="141"/>
      <c r="K44" s="141"/>
      <c r="L44" s="4">
        <v>2.0</v>
      </c>
      <c r="M44" s="4">
        <v>2.0</v>
      </c>
      <c r="N44" s="169"/>
      <c r="O44" s="141"/>
      <c r="P44" s="141"/>
      <c r="Q44" s="141"/>
      <c r="R44" s="141"/>
      <c r="AD44" s="141"/>
      <c r="AE44" s="141"/>
      <c r="AF44" s="141"/>
      <c r="AG44" s="141"/>
    </row>
    <row r="45">
      <c r="A45" s="141"/>
      <c r="B45" s="141"/>
      <c r="C45" s="141"/>
      <c r="D45" s="141"/>
      <c r="E45" s="141"/>
      <c r="K45" s="141"/>
      <c r="L45" s="4">
        <v>2.0</v>
      </c>
      <c r="M45" s="4">
        <v>2.0</v>
      </c>
      <c r="N45" s="169"/>
      <c r="O45" s="141"/>
      <c r="P45" s="141"/>
      <c r="Q45" s="141"/>
      <c r="R45" s="141"/>
      <c r="T45" s="156" t="s">
        <v>252</v>
      </c>
      <c r="AD45" s="141"/>
      <c r="AE45" s="141"/>
      <c r="AF45" s="141"/>
      <c r="AG45" s="141"/>
    </row>
    <row r="46">
      <c r="A46" s="141"/>
      <c r="B46" s="141"/>
      <c r="C46" s="141"/>
      <c r="D46" s="141"/>
      <c r="E46" s="141"/>
      <c r="K46" s="141"/>
      <c r="L46" s="4">
        <v>1.0</v>
      </c>
      <c r="M46" s="4">
        <v>1.0</v>
      </c>
      <c r="N46" s="169"/>
      <c r="O46" s="141"/>
      <c r="P46" s="141"/>
      <c r="Q46" s="141"/>
      <c r="R46" s="141"/>
      <c r="AD46" s="141"/>
      <c r="AE46" s="141"/>
      <c r="AF46" s="141"/>
      <c r="AG46" s="141"/>
    </row>
    <row r="47">
      <c r="A47" s="141"/>
      <c r="B47" s="141"/>
      <c r="C47" s="141"/>
      <c r="D47" s="141"/>
      <c r="E47" s="141"/>
      <c r="K47" s="141"/>
      <c r="L47" s="4">
        <v>1.0</v>
      </c>
      <c r="M47" s="4">
        <v>1.0</v>
      </c>
      <c r="N47" s="169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</row>
    <row r="48">
      <c r="A48" s="141"/>
      <c r="B48" s="141"/>
      <c r="C48" s="141"/>
      <c r="D48" s="141"/>
      <c r="E48" s="141"/>
      <c r="K48" s="141"/>
      <c r="L48" s="4">
        <v>2.0</v>
      </c>
      <c r="M48" s="4">
        <v>2.0</v>
      </c>
      <c r="N48" s="169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</row>
    <row r="49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4">
        <v>1.0</v>
      </c>
      <c r="M49" s="4">
        <v>0.0</v>
      </c>
      <c r="N49" s="169"/>
      <c r="O49" s="141"/>
      <c r="P49" s="141"/>
      <c r="Q49" s="141"/>
      <c r="R49" s="141"/>
      <c r="S49" s="141" t="s">
        <v>0</v>
      </c>
      <c r="T49" s="141" t="s">
        <v>1</v>
      </c>
      <c r="U49" s="4" t="s">
        <v>2</v>
      </c>
      <c r="V49" s="4" t="s">
        <v>3</v>
      </c>
      <c r="W49" s="4" t="s">
        <v>4</v>
      </c>
      <c r="X49" s="4" t="s">
        <v>82</v>
      </c>
      <c r="Y49" s="4" t="s">
        <v>63</v>
      </c>
      <c r="Z49" s="4" t="s">
        <v>67</v>
      </c>
      <c r="AA49" s="4" t="s">
        <v>68</v>
      </c>
      <c r="AB49" s="4" t="s">
        <v>69</v>
      </c>
      <c r="AC49" s="4" t="s">
        <v>70</v>
      </c>
      <c r="AD49" s="4" t="s">
        <v>65</v>
      </c>
      <c r="AE49" s="64" t="s">
        <v>84</v>
      </c>
      <c r="AF49" s="64" t="s">
        <v>64</v>
      </c>
      <c r="AG49" s="64" t="s">
        <v>253</v>
      </c>
    </row>
    <row r="50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4">
        <v>2.0</v>
      </c>
      <c r="M50" s="4">
        <v>2.0</v>
      </c>
      <c r="N50" s="169"/>
      <c r="O50" s="141"/>
      <c r="P50" s="141"/>
      <c r="Q50" s="141"/>
      <c r="R50" s="141"/>
      <c r="S50" s="171">
        <v>6.0</v>
      </c>
      <c r="T50" s="141" t="s">
        <v>12</v>
      </c>
      <c r="U50" s="172">
        <v>45685.0</v>
      </c>
      <c r="V50" s="4">
        <v>616.0</v>
      </c>
      <c r="W50" s="4" t="s">
        <v>13</v>
      </c>
      <c r="X50" s="64">
        <v>584.10821479406</v>
      </c>
      <c r="Y50" s="64"/>
      <c r="Z50" s="4">
        <v>70.0</v>
      </c>
      <c r="AA50" s="4">
        <v>45.0</v>
      </c>
      <c r="AB50" s="4">
        <v>10.0</v>
      </c>
      <c r="AC50" s="141"/>
      <c r="AD50" s="141"/>
      <c r="AE50" s="64">
        <v>31833.0939389723</v>
      </c>
      <c r="AF50" s="64">
        <v>54.49862394110609</v>
      </c>
      <c r="AG50" s="64"/>
    </row>
    <row r="5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4">
        <v>0.0</v>
      </c>
      <c r="M51" s="4">
        <v>2.0</v>
      </c>
      <c r="N51" s="169"/>
      <c r="O51" s="141"/>
      <c r="P51" s="141"/>
      <c r="Q51" s="141"/>
      <c r="R51" s="141"/>
      <c r="S51" s="4">
        <v>167.0</v>
      </c>
      <c r="T51" s="4" t="s">
        <v>14</v>
      </c>
      <c r="U51" s="172"/>
      <c r="V51" s="172"/>
      <c r="W51" s="172"/>
      <c r="X51" s="141"/>
      <c r="Y51" s="141"/>
      <c r="Z51" s="141"/>
      <c r="AA51" s="141"/>
      <c r="AB51" s="141"/>
      <c r="AC51" s="141"/>
      <c r="AD51" s="4"/>
      <c r="AE51" s="173"/>
      <c r="AF51" s="173"/>
      <c r="AG51" s="173"/>
    </row>
    <row r="52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4">
        <v>2.0</v>
      </c>
      <c r="M52" s="4">
        <v>2.0</v>
      </c>
      <c r="N52" s="169"/>
      <c r="O52" s="141"/>
      <c r="P52" s="141"/>
      <c r="Q52" s="141"/>
      <c r="R52" s="141"/>
      <c r="S52" s="171">
        <v>48.0</v>
      </c>
      <c r="T52" s="141" t="s">
        <v>15</v>
      </c>
      <c r="U52" s="172">
        <v>45719.0</v>
      </c>
      <c r="V52" s="4">
        <v>5193.0</v>
      </c>
      <c r="W52" s="4" t="s">
        <v>13</v>
      </c>
      <c r="X52" s="174">
        <v>1.41003293517905</v>
      </c>
      <c r="Y52" s="64">
        <v>80.0</v>
      </c>
      <c r="Z52" s="4"/>
      <c r="AA52" s="4"/>
      <c r="AB52" s="4"/>
      <c r="AC52" s="64"/>
      <c r="AD52" s="173">
        <v>12.0</v>
      </c>
      <c r="AE52" s="64">
        <v>18.3811167659873</v>
      </c>
      <c r="AF52" s="175">
        <v>13.03594852814783</v>
      </c>
      <c r="AG52" s="64" t="s">
        <v>254</v>
      </c>
    </row>
    <row r="53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4">
        <v>1.0</v>
      </c>
      <c r="M53" s="4">
        <v>2.0</v>
      </c>
      <c r="N53" s="169"/>
      <c r="O53" s="141"/>
      <c r="P53" s="141"/>
      <c r="Q53" s="141"/>
      <c r="R53" s="141"/>
      <c r="S53" s="4">
        <v>55.0</v>
      </c>
      <c r="T53" s="141" t="s">
        <v>17</v>
      </c>
      <c r="U53" s="172">
        <v>45719.0</v>
      </c>
      <c r="V53" s="4">
        <v>4863.0</v>
      </c>
      <c r="W53" s="4" t="s">
        <v>13</v>
      </c>
      <c r="X53" s="174">
        <v>1.63203401219684</v>
      </c>
      <c r="Y53" s="64">
        <v>65.0</v>
      </c>
      <c r="Z53" s="64"/>
      <c r="AA53" s="64"/>
      <c r="AB53" s="64"/>
      <c r="AC53" s="64"/>
      <c r="AD53" s="173">
        <v>9.75</v>
      </c>
      <c r="AE53" s="64">
        <v>10.2684969590418</v>
      </c>
      <c r="AF53" s="175">
        <v>6.291840048860032</v>
      </c>
      <c r="AG53" s="64" t="s">
        <v>254</v>
      </c>
    </row>
    <row r="54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4">
        <v>2.0</v>
      </c>
      <c r="M54" s="4">
        <v>2.0</v>
      </c>
      <c r="N54" s="169"/>
      <c r="O54" s="141"/>
      <c r="P54" s="141"/>
      <c r="Q54" s="141"/>
      <c r="R54" s="141"/>
      <c r="S54" s="4">
        <v>59.0</v>
      </c>
      <c r="T54" s="4" t="s">
        <v>19</v>
      </c>
      <c r="U54" s="172">
        <v>45720.0</v>
      </c>
      <c r="V54" s="4">
        <v>3032.0</v>
      </c>
      <c r="W54" s="4" t="s">
        <v>13</v>
      </c>
      <c r="X54" s="174">
        <v>1.06853835846173</v>
      </c>
      <c r="Y54" s="64">
        <v>110.0</v>
      </c>
      <c r="Z54" s="64"/>
      <c r="AA54" s="64"/>
      <c r="AB54" s="64"/>
      <c r="AC54" s="64"/>
      <c r="AD54" s="173">
        <v>16.5</v>
      </c>
      <c r="AE54" s="64">
        <v>2.911074683344</v>
      </c>
      <c r="AF54" s="175">
        <v>2.7243520649411117</v>
      </c>
      <c r="AG54" s="64" t="s">
        <v>254</v>
      </c>
    </row>
    <row r="55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4">
        <v>2.0</v>
      </c>
      <c r="M55" s="4">
        <v>2.0</v>
      </c>
      <c r="N55" s="169"/>
      <c r="O55" s="141"/>
      <c r="P55" s="141"/>
      <c r="Q55" s="141"/>
      <c r="R55" s="141"/>
      <c r="S55" s="4">
        <v>77.0</v>
      </c>
      <c r="T55" s="4" t="s">
        <v>20</v>
      </c>
      <c r="U55" s="172">
        <v>45720.0</v>
      </c>
      <c r="V55" s="4">
        <v>2114.0</v>
      </c>
      <c r="W55" s="4" t="s">
        <v>13</v>
      </c>
      <c r="X55" s="174">
        <v>1.09822611282299</v>
      </c>
      <c r="Y55" s="64">
        <v>40.0</v>
      </c>
      <c r="Z55" s="4"/>
      <c r="AA55" s="4"/>
      <c r="AB55" s="4"/>
      <c r="AC55" s="64"/>
      <c r="AD55" s="173">
        <v>6.0</v>
      </c>
      <c r="AE55" s="64">
        <v>2.35349633471392</v>
      </c>
      <c r="AF55" s="175">
        <v>2.1429979739456915</v>
      </c>
      <c r="AG55" s="64" t="s">
        <v>254</v>
      </c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4">
        <v>1.0</v>
      </c>
      <c r="M56" s="4">
        <v>1.0</v>
      </c>
      <c r="N56" s="169"/>
      <c r="O56" s="141"/>
      <c r="P56" s="141"/>
      <c r="Q56" s="141"/>
      <c r="R56" s="141"/>
      <c r="S56" s="4">
        <v>148.0</v>
      </c>
      <c r="T56" s="4" t="s">
        <v>21</v>
      </c>
      <c r="U56" s="172">
        <v>45720.0</v>
      </c>
      <c r="V56" s="4">
        <v>240.0</v>
      </c>
      <c r="W56" s="4" t="s">
        <v>13</v>
      </c>
      <c r="X56" s="174">
        <v>1.06829550473903</v>
      </c>
      <c r="Y56" s="64">
        <v>110.0</v>
      </c>
      <c r="Z56" s="4"/>
      <c r="AA56" s="4"/>
      <c r="AB56" s="4"/>
      <c r="AC56" s="64"/>
      <c r="AD56" s="173">
        <v>16.5</v>
      </c>
      <c r="AE56" s="64">
        <v>4.25215839444752</v>
      </c>
      <c r="AF56" s="175">
        <v>3.98032040346951</v>
      </c>
      <c r="AG56" s="64" t="s">
        <v>254</v>
      </c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4">
        <v>2.0</v>
      </c>
      <c r="M57" s="4">
        <v>1.0</v>
      </c>
      <c r="N57" s="169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</row>
    <row r="5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4">
        <v>1.0</v>
      </c>
      <c r="M58" s="4">
        <v>1.0</v>
      </c>
      <c r="N58" s="169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</row>
    <row r="59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4">
        <v>0.0</v>
      </c>
      <c r="M59" s="4">
        <v>1.0</v>
      </c>
      <c r="N59" s="169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</row>
    <row r="60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4">
        <v>2.0</v>
      </c>
      <c r="M60" s="4">
        <v>0.0</v>
      </c>
      <c r="N60" s="169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</row>
    <row r="6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4">
        <v>0.0</v>
      </c>
      <c r="M61" s="4">
        <v>1.0</v>
      </c>
      <c r="N61" s="169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</row>
    <row r="62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4">
        <v>2.0</v>
      </c>
      <c r="M62" s="4">
        <v>0.0</v>
      </c>
      <c r="N62" s="169"/>
      <c r="O62" s="141"/>
      <c r="P62" s="141"/>
      <c r="Q62" s="141"/>
      <c r="R62" s="141"/>
      <c r="S62" s="141"/>
      <c r="U62" s="28" t="s">
        <v>255</v>
      </c>
      <c r="V62" s="28" t="s">
        <v>256</v>
      </c>
      <c r="AC62" s="141"/>
      <c r="AD62" s="141"/>
      <c r="AE62" s="141"/>
      <c r="AF62" s="141"/>
      <c r="AG62" s="141"/>
    </row>
    <row r="6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4">
        <v>0.0</v>
      </c>
      <c r="M63" s="4">
        <v>1.0</v>
      </c>
      <c r="N63" s="169"/>
      <c r="O63" s="141"/>
      <c r="P63" s="141"/>
      <c r="Q63" s="141"/>
      <c r="R63" s="141"/>
      <c r="S63" s="141"/>
      <c r="T63" s="19" t="s">
        <v>15</v>
      </c>
      <c r="U63" s="28">
        <v>2434.0</v>
      </c>
      <c r="V63" s="28">
        <v>2165.0</v>
      </c>
      <c r="W63" s="28" t="s">
        <v>257</v>
      </c>
      <c r="AC63" s="141"/>
      <c r="AD63" s="141"/>
      <c r="AE63" s="141"/>
      <c r="AF63" s="141"/>
      <c r="AG63" s="141"/>
    </row>
    <row r="64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4">
        <v>0.0</v>
      </c>
      <c r="M64" s="4">
        <v>1.0</v>
      </c>
      <c r="N64" s="169"/>
      <c r="O64" s="141"/>
      <c r="P64" s="141"/>
      <c r="Q64" s="141"/>
      <c r="R64" s="141"/>
      <c r="S64" s="141"/>
      <c r="T64" s="19" t="s">
        <v>17</v>
      </c>
      <c r="U64" s="28">
        <v>4863.0</v>
      </c>
      <c r="V64" s="28">
        <v>4522.0</v>
      </c>
      <c r="AC64" s="141"/>
      <c r="AD64" s="141"/>
      <c r="AE64" s="141"/>
      <c r="AF64" s="141"/>
      <c r="AG64" s="141"/>
    </row>
    <row r="6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4">
        <v>0.0</v>
      </c>
      <c r="M65" s="4">
        <v>1.0</v>
      </c>
      <c r="N65" s="169"/>
      <c r="O65" s="141"/>
      <c r="P65" s="141"/>
      <c r="Q65" s="141"/>
      <c r="R65" s="141"/>
      <c r="S65" s="141"/>
      <c r="T65" s="16" t="s">
        <v>19</v>
      </c>
      <c r="U65" s="28">
        <v>4954.0</v>
      </c>
      <c r="V65" s="28">
        <v>4486.0</v>
      </c>
      <c r="AC65" s="141"/>
      <c r="AD65" s="141"/>
      <c r="AE65" s="141"/>
      <c r="AF65" s="141"/>
      <c r="AG65" s="141"/>
    </row>
    <row r="66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4">
        <v>0.0</v>
      </c>
      <c r="M66" s="4">
        <v>2.0</v>
      </c>
      <c r="N66" s="169"/>
      <c r="O66" s="141"/>
      <c r="P66" s="141"/>
      <c r="Q66" s="141"/>
      <c r="R66" s="141"/>
      <c r="S66" s="141"/>
      <c r="T66" s="16" t="s">
        <v>20</v>
      </c>
      <c r="U66" s="28">
        <v>5132.0</v>
      </c>
      <c r="V66" s="28">
        <v>4605.0</v>
      </c>
      <c r="AC66" s="141"/>
      <c r="AD66" s="141"/>
      <c r="AE66" s="141"/>
      <c r="AF66" s="141"/>
      <c r="AG66" s="141"/>
    </row>
    <row r="67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4">
        <v>1.0</v>
      </c>
      <c r="M67" s="4">
        <v>2.0</v>
      </c>
      <c r="N67" s="169"/>
      <c r="O67" s="141"/>
      <c r="P67" s="141"/>
      <c r="Q67" s="141"/>
      <c r="R67" s="141"/>
      <c r="S67" s="141"/>
      <c r="T67" s="16" t="s">
        <v>21</v>
      </c>
      <c r="U67" s="28">
        <v>3490.0</v>
      </c>
      <c r="V67" s="28">
        <v>5142.0</v>
      </c>
      <c r="AC67" s="141"/>
      <c r="AD67" s="141"/>
      <c r="AE67" s="141"/>
      <c r="AF67" s="141"/>
      <c r="AG67" s="141"/>
    </row>
    <row r="68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4">
        <v>2.0</v>
      </c>
      <c r="M68" s="4">
        <v>2.0</v>
      </c>
      <c r="N68" s="169"/>
      <c r="O68" s="141"/>
      <c r="P68" s="141"/>
      <c r="Q68" s="141"/>
      <c r="R68" s="141"/>
      <c r="S68" s="141"/>
      <c r="AC68" s="141"/>
      <c r="AD68" s="141"/>
      <c r="AE68" s="141"/>
      <c r="AF68" s="141"/>
      <c r="AG68" s="141"/>
    </row>
    <row r="69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4">
        <v>1.0</v>
      </c>
      <c r="M69" s="4">
        <v>2.0</v>
      </c>
      <c r="N69" s="169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</row>
    <row r="70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4">
        <v>2.0</v>
      </c>
      <c r="M70" s="4">
        <v>2.0</v>
      </c>
      <c r="N70" s="169"/>
      <c r="O70" s="141"/>
      <c r="P70" s="141"/>
      <c r="Q70" s="141"/>
      <c r="R70" s="141"/>
      <c r="S70" s="141"/>
      <c r="T70" s="141"/>
      <c r="U70" s="19" t="s">
        <v>15</v>
      </c>
      <c r="V70" s="103">
        <v>3526.0</v>
      </c>
      <c r="W70" s="103">
        <v>3574.0</v>
      </c>
      <c r="X70" s="27">
        <v>4764.0</v>
      </c>
      <c r="Y70" s="141"/>
      <c r="Z70" s="141"/>
      <c r="AA70" s="141"/>
      <c r="AB70" s="141"/>
      <c r="AC70" s="141"/>
      <c r="AD70" s="141"/>
      <c r="AE70" s="141"/>
      <c r="AF70" s="141"/>
      <c r="AG70" s="141"/>
    </row>
    <row r="7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4">
        <v>1.0</v>
      </c>
      <c r="M71" s="4">
        <v>1.0</v>
      </c>
      <c r="N71" s="169"/>
      <c r="O71" s="141"/>
      <c r="P71" s="141"/>
      <c r="Q71" s="141"/>
      <c r="R71" s="141"/>
      <c r="S71" s="141"/>
      <c r="T71" s="141"/>
      <c r="U71" s="19" t="s">
        <v>17</v>
      </c>
      <c r="V71" s="27">
        <v>4522.0</v>
      </c>
      <c r="Y71" s="141"/>
      <c r="Z71" s="141"/>
      <c r="AA71" s="141"/>
      <c r="AB71" s="141"/>
      <c r="AC71" s="141"/>
      <c r="AD71" s="141"/>
      <c r="AE71" s="141"/>
      <c r="AF71" s="141"/>
      <c r="AG71" s="141"/>
    </row>
    <row r="72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4">
        <v>2.0</v>
      </c>
      <c r="M72" s="4">
        <v>2.0</v>
      </c>
      <c r="N72" s="169"/>
      <c r="O72" s="141"/>
      <c r="P72" s="141"/>
      <c r="Q72" s="141"/>
      <c r="R72" s="141"/>
      <c r="S72" s="141"/>
      <c r="T72" s="141"/>
      <c r="U72" s="16" t="s">
        <v>19</v>
      </c>
      <c r="V72" s="46">
        <v>5130.0</v>
      </c>
      <c r="W72" s="27">
        <v>4486.0</v>
      </c>
      <c r="Y72" s="141"/>
      <c r="Z72" s="141"/>
      <c r="AA72" s="141"/>
      <c r="AB72" s="141"/>
      <c r="AC72" s="141"/>
      <c r="AD72" s="141"/>
      <c r="AE72" s="141"/>
      <c r="AF72" s="141"/>
      <c r="AG72" s="141"/>
    </row>
    <row r="7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4">
        <v>1.0</v>
      </c>
      <c r="M73" s="4">
        <v>2.0</v>
      </c>
      <c r="N73" s="141"/>
      <c r="O73" s="141"/>
      <c r="P73" s="141"/>
      <c r="Q73" s="141"/>
      <c r="R73" s="141"/>
      <c r="S73" s="141"/>
      <c r="T73" s="141"/>
      <c r="U73" s="16" t="s">
        <v>20</v>
      </c>
      <c r="V73" s="27">
        <v>2516.0</v>
      </c>
      <c r="W73" s="28">
        <v>2114.0</v>
      </c>
      <c r="Y73" s="141"/>
      <c r="Z73" s="141"/>
      <c r="AA73" s="141"/>
      <c r="AB73" s="141"/>
      <c r="AC73" s="141"/>
      <c r="AD73" s="141"/>
      <c r="AE73" s="141"/>
      <c r="AF73" s="141"/>
      <c r="AG73" s="141"/>
    </row>
    <row r="74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4">
        <v>2.0</v>
      </c>
      <c r="M74" s="4">
        <v>1.0</v>
      </c>
      <c r="N74" s="141"/>
      <c r="O74" s="141"/>
      <c r="P74" s="141"/>
      <c r="Q74" s="141"/>
      <c r="R74" s="141"/>
      <c r="S74" s="141"/>
      <c r="T74" s="141"/>
      <c r="U74" s="16" t="s">
        <v>21</v>
      </c>
      <c r="V74" s="103">
        <v>5142.0</v>
      </c>
      <c r="W74" s="27">
        <v>5132.0</v>
      </c>
      <c r="Y74" s="141"/>
      <c r="Z74" s="141"/>
      <c r="AA74" s="141"/>
      <c r="AB74" s="141"/>
      <c r="AC74" s="141"/>
      <c r="AD74" s="141"/>
      <c r="AE74" s="141"/>
      <c r="AF74" s="141"/>
      <c r="AG74" s="141"/>
    </row>
    <row r="7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4">
        <v>1.0</v>
      </c>
      <c r="M75" s="4">
        <v>0.0</v>
      </c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</row>
    <row r="76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4">
        <v>1.0</v>
      </c>
      <c r="M76" s="4">
        <v>1.0</v>
      </c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</row>
    <row r="77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4">
        <v>1.0</v>
      </c>
      <c r="M77" s="4">
        <v>1.0</v>
      </c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</row>
    <row r="7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4">
        <v>0.0</v>
      </c>
      <c r="M78" s="4">
        <v>0.0</v>
      </c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</row>
    <row r="79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4">
        <v>1.0</v>
      </c>
      <c r="M79" s="4">
        <v>1.0</v>
      </c>
      <c r="N79" s="141"/>
      <c r="O79" s="141"/>
      <c r="P79" s="141"/>
      <c r="Q79" s="141"/>
      <c r="R79" s="141"/>
      <c r="S79" s="141"/>
      <c r="T79" s="105" t="s">
        <v>258</v>
      </c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4">
        <v>2.0</v>
      </c>
      <c r="M80" s="4">
        <v>2.0</v>
      </c>
      <c r="N80" s="141"/>
      <c r="O80" s="141"/>
      <c r="P80" s="141"/>
      <c r="Q80" s="141"/>
      <c r="R80" s="141"/>
      <c r="S80" s="141"/>
      <c r="T80" s="28" t="s">
        <v>259</v>
      </c>
      <c r="U80" s="17"/>
      <c r="V80" s="17"/>
      <c r="W80" s="17"/>
      <c r="X80" s="17"/>
      <c r="Y80" s="17"/>
      <c r="AA80" s="69"/>
      <c r="AB80" s="141"/>
      <c r="AC80" s="141"/>
      <c r="AD80" s="141"/>
      <c r="AE80" s="141"/>
      <c r="AF80" s="141"/>
      <c r="AG80" s="141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4">
        <v>1.0</v>
      </c>
      <c r="M81" s="4">
        <v>1.0</v>
      </c>
      <c r="N81" s="141"/>
      <c r="O81" s="141"/>
      <c r="P81" s="141"/>
      <c r="Q81" s="141"/>
      <c r="R81" s="141"/>
      <c r="S81" s="141"/>
      <c r="T81" s="46">
        <v>3836.0</v>
      </c>
      <c r="V81" s="19" t="s">
        <v>15</v>
      </c>
      <c r="W81" s="28">
        <v>100.0</v>
      </c>
      <c r="X81" s="28">
        <v>80.0</v>
      </c>
      <c r="Y81" s="20">
        <v>100.0</v>
      </c>
      <c r="Z81" s="69">
        <f t="shared" ref="Z81:Z85" si="9">AVERAGE(W81:Y81)</f>
        <v>93.33333333</v>
      </c>
      <c r="AA81" s="109">
        <f>Z81*'Data preparation'!$C$2</f>
        <v>9.333333333</v>
      </c>
      <c r="AB81" s="141"/>
      <c r="AC81" s="141"/>
      <c r="AD81" s="141"/>
      <c r="AE81" s="141"/>
      <c r="AF81" s="141"/>
      <c r="AG81" s="141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4">
        <v>2.0</v>
      </c>
      <c r="M82" s="4">
        <v>2.0</v>
      </c>
      <c r="N82" s="141"/>
      <c r="O82" s="141"/>
      <c r="P82" s="141"/>
      <c r="Q82" s="141"/>
      <c r="R82" s="141"/>
      <c r="S82" s="141"/>
      <c r="T82" s="46">
        <v>3960.0</v>
      </c>
      <c r="V82" s="19" t="s">
        <v>17</v>
      </c>
      <c r="W82" s="28">
        <v>80.0</v>
      </c>
      <c r="X82" s="28">
        <v>120.0</v>
      </c>
      <c r="Y82" s="20">
        <v>120.0</v>
      </c>
      <c r="Z82" s="69">
        <f t="shared" si="9"/>
        <v>106.6666667</v>
      </c>
      <c r="AA82" s="109">
        <f>Z82*'Data preparation'!$C$2</f>
        <v>10.66666667</v>
      </c>
      <c r="AB82" s="141"/>
      <c r="AC82" s="141"/>
      <c r="AD82" s="141"/>
      <c r="AE82" s="141"/>
      <c r="AF82" s="141"/>
      <c r="AG82" s="141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4">
        <v>1.0</v>
      </c>
      <c r="M83" s="4">
        <v>1.0</v>
      </c>
      <c r="N83" s="141"/>
      <c r="O83" s="141"/>
      <c r="P83" s="141"/>
      <c r="Q83" s="141"/>
      <c r="R83" s="141"/>
      <c r="S83" s="141"/>
      <c r="T83" s="27">
        <v>3032.0</v>
      </c>
      <c r="V83" s="16" t="s">
        <v>19</v>
      </c>
      <c r="W83" s="28">
        <v>80.0</v>
      </c>
      <c r="X83" s="28">
        <v>120.0</v>
      </c>
      <c r="Y83" s="20">
        <v>120.0</v>
      </c>
      <c r="Z83" s="69">
        <f t="shared" si="9"/>
        <v>106.6666667</v>
      </c>
      <c r="AA83" s="109">
        <f>Z83*'Data preparation'!$C$2</f>
        <v>10.66666667</v>
      </c>
      <c r="AB83" s="141"/>
      <c r="AC83" s="141"/>
      <c r="AD83" s="141"/>
      <c r="AE83" s="141"/>
      <c r="AF83" s="141"/>
      <c r="AG83" s="141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4">
        <v>1.0</v>
      </c>
      <c r="M84" s="4">
        <v>1.0</v>
      </c>
      <c r="N84" s="141"/>
      <c r="O84" s="141"/>
      <c r="P84" s="141"/>
      <c r="Q84" s="141"/>
      <c r="R84" s="141"/>
      <c r="S84" s="141"/>
      <c r="T84" s="27">
        <v>2114.0</v>
      </c>
      <c r="V84" s="16" t="s">
        <v>20</v>
      </c>
      <c r="W84" s="28">
        <v>120.0</v>
      </c>
      <c r="X84" s="28">
        <v>80.0</v>
      </c>
      <c r="Y84" s="20">
        <v>80.0</v>
      </c>
      <c r="Z84" s="69">
        <f t="shared" si="9"/>
        <v>93.33333333</v>
      </c>
      <c r="AA84" s="109">
        <f>Z84*'Data preparation'!$C$2</f>
        <v>9.333333333</v>
      </c>
      <c r="AB84" s="141"/>
      <c r="AC84" s="141"/>
      <c r="AD84" s="141"/>
      <c r="AE84" s="141"/>
      <c r="AF84" s="141"/>
      <c r="AG84" s="141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4">
        <v>2.0</v>
      </c>
      <c r="M85" s="4">
        <v>2.0</v>
      </c>
      <c r="N85" s="141"/>
      <c r="O85" s="141"/>
      <c r="P85" s="141"/>
      <c r="Q85" s="141"/>
      <c r="R85" s="141"/>
      <c r="S85" s="141"/>
      <c r="T85" s="27">
        <v>870.0</v>
      </c>
      <c r="V85" s="16" t="s">
        <v>21</v>
      </c>
      <c r="W85" s="28">
        <v>130.0</v>
      </c>
      <c r="X85" s="28">
        <v>130.0</v>
      </c>
      <c r="Y85" s="20">
        <v>70.0</v>
      </c>
      <c r="Z85" s="69">
        <f t="shared" si="9"/>
        <v>110</v>
      </c>
      <c r="AA85" s="109">
        <f>Z85*'Data preparation'!$C$2</f>
        <v>11</v>
      </c>
      <c r="AB85" s="141"/>
      <c r="AC85" s="141"/>
      <c r="AD85" s="141"/>
      <c r="AE85" s="141"/>
      <c r="AF85" s="141"/>
      <c r="AG85" s="141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4">
        <v>2.0</v>
      </c>
      <c r="M86" s="4">
        <v>2.0</v>
      </c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4">
        <v>1.0</v>
      </c>
      <c r="M87" s="4">
        <v>1.0</v>
      </c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4">
        <v>1.0</v>
      </c>
      <c r="M88" s="4">
        <v>2.0</v>
      </c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4">
        <v>2.0</v>
      </c>
      <c r="M89" s="4">
        <v>2.0</v>
      </c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4">
        <v>1.0</v>
      </c>
      <c r="M90" s="4">
        <v>2.0</v>
      </c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4">
        <v>0.0</v>
      </c>
      <c r="M91" s="4">
        <v>2.0</v>
      </c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4">
        <v>0.0</v>
      </c>
      <c r="M92" s="4">
        <v>0.0</v>
      </c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4">
        <v>1.0</v>
      </c>
      <c r="M93" s="4">
        <v>0.0</v>
      </c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4">
        <v>1.0</v>
      </c>
      <c r="M94" s="4">
        <v>1.0</v>
      </c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4">
        <v>2.0</v>
      </c>
      <c r="M95" s="4">
        <v>2.0</v>
      </c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4">
        <v>1.0</v>
      </c>
      <c r="M96" s="4">
        <v>0.0</v>
      </c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4">
        <v>2.0</v>
      </c>
      <c r="M97" s="4">
        <v>1.0</v>
      </c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4">
        <v>0.0</v>
      </c>
      <c r="M98" s="4">
        <v>1.0</v>
      </c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4">
        <v>0.0</v>
      </c>
      <c r="M99" s="4">
        <v>2.0</v>
      </c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4">
        <v>0.0</v>
      </c>
      <c r="M100" s="4">
        <v>1.0</v>
      </c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4">
        <v>2.0</v>
      </c>
      <c r="M101" s="4">
        <v>2.0</v>
      </c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4">
        <v>0.0</v>
      </c>
      <c r="M102" s="4">
        <v>2.0</v>
      </c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4">
        <v>1.0</v>
      </c>
      <c r="M103" s="4">
        <v>1.0</v>
      </c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4">
        <v>1.0</v>
      </c>
      <c r="M104" s="4">
        <v>0.0</v>
      </c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4">
        <v>0.0</v>
      </c>
      <c r="M105" s="4">
        <v>0.0</v>
      </c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4">
        <v>1.0</v>
      </c>
      <c r="M106" s="4">
        <v>2.0</v>
      </c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4">
        <v>0.0</v>
      </c>
      <c r="M107" s="4">
        <v>2.0</v>
      </c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4">
        <v>2.0</v>
      </c>
      <c r="M108" s="4">
        <v>2.0</v>
      </c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4">
        <v>2.0</v>
      </c>
      <c r="M109" s="4">
        <v>2.0</v>
      </c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4">
        <v>0.0</v>
      </c>
      <c r="M110" s="4">
        <v>2.0</v>
      </c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4">
        <v>2.0</v>
      </c>
      <c r="M111" s="4">
        <v>2.0</v>
      </c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4">
        <v>1.0</v>
      </c>
      <c r="M112" s="4">
        <v>2.0</v>
      </c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4">
        <v>0.0</v>
      </c>
      <c r="M113" s="4">
        <v>2.0</v>
      </c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4">
        <v>0.0</v>
      </c>
      <c r="M114" s="4">
        <v>1.0</v>
      </c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4">
        <v>0.0</v>
      </c>
      <c r="M115" s="4">
        <v>2.0</v>
      </c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  <c r="AF115" s="141"/>
      <c r="AG115" s="141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4">
        <v>1.0</v>
      </c>
      <c r="M116" s="4">
        <v>0.0</v>
      </c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4">
        <v>2.0</v>
      </c>
      <c r="M117" s="4">
        <v>2.0</v>
      </c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4">
        <v>1.0</v>
      </c>
      <c r="M118" s="4">
        <v>2.0</v>
      </c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4">
        <v>2.0</v>
      </c>
      <c r="M119" s="4">
        <v>2.0</v>
      </c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4">
        <v>1.0</v>
      </c>
      <c r="M120" s="4">
        <v>1.0</v>
      </c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4">
        <v>1.0</v>
      </c>
      <c r="M121" s="4">
        <v>1.0</v>
      </c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4">
        <v>0.0</v>
      </c>
      <c r="M122" s="4">
        <v>2.0</v>
      </c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4">
        <v>1.0</v>
      </c>
      <c r="M123" s="4">
        <v>1.0</v>
      </c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4">
        <v>1.0</v>
      </c>
      <c r="M124" s="4">
        <v>1.0</v>
      </c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4">
        <v>1.0</v>
      </c>
      <c r="M125" s="4">
        <v>2.0</v>
      </c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141"/>
      <c r="AG125" s="141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4">
        <v>2.0</v>
      </c>
      <c r="M126" s="4">
        <v>1.0</v>
      </c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4">
        <v>1.0</v>
      </c>
      <c r="M127" s="4">
        <v>2.0</v>
      </c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4">
        <v>1.0</v>
      </c>
      <c r="M128" s="4">
        <v>1.0</v>
      </c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4">
        <v>2.0</v>
      </c>
      <c r="M129" s="4">
        <v>1.0</v>
      </c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4">
        <v>2.0</v>
      </c>
      <c r="M130" s="4">
        <v>1.0</v>
      </c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4">
        <v>2.0</v>
      </c>
      <c r="M131" s="4">
        <v>2.0</v>
      </c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4">
        <v>1.0</v>
      </c>
      <c r="M132" s="4">
        <v>1.0</v>
      </c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  <c r="AE132" s="141"/>
      <c r="AF132" s="141"/>
      <c r="AG132" s="141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4">
        <v>0.0</v>
      </c>
      <c r="M133" s="4">
        <v>0.0</v>
      </c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4">
        <v>1.0</v>
      </c>
      <c r="M134" s="4">
        <v>0.0</v>
      </c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4">
        <v>1.0</v>
      </c>
      <c r="M135" s="4">
        <v>2.0</v>
      </c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4">
        <v>0.0</v>
      </c>
      <c r="M136" s="4">
        <v>2.0</v>
      </c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4">
        <v>1.0</v>
      </c>
      <c r="M137" s="4">
        <v>1.0</v>
      </c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4">
        <v>2.0</v>
      </c>
      <c r="M138" s="4">
        <v>2.0</v>
      </c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4">
        <v>2.0</v>
      </c>
      <c r="M139" s="4">
        <v>2.0</v>
      </c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4">
        <v>1.0</v>
      </c>
      <c r="M140" s="4">
        <v>1.0</v>
      </c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  <c r="AF140" s="141"/>
      <c r="AG140" s="141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4">
        <v>0.0</v>
      </c>
      <c r="M141" s="4">
        <v>1.0</v>
      </c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  <c r="AF141" s="141"/>
      <c r="AG141" s="141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4">
        <v>2.0</v>
      </c>
      <c r="M142" s="4">
        <v>2.0</v>
      </c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4">
        <v>1.0</v>
      </c>
      <c r="M143" s="4">
        <v>0.0</v>
      </c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4">
        <v>2.0</v>
      </c>
      <c r="M144" s="4">
        <v>2.0</v>
      </c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4">
        <v>0.0</v>
      </c>
      <c r="M145" s="4">
        <v>0.0</v>
      </c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4">
        <v>2.0</v>
      </c>
      <c r="M146" s="4">
        <v>1.0</v>
      </c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4">
        <v>1.0</v>
      </c>
      <c r="M147" s="4">
        <v>0.0</v>
      </c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4">
        <v>1.0</v>
      </c>
      <c r="M148" s="4">
        <v>1.0</v>
      </c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4">
        <v>1.0</v>
      </c>
      <c r="M149" s="4">
        <v>1.0</v>
      </c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4">
        <v>2.0</v>
      </c>
      <c r="M150" s="4">
        <v>2.0</v>
      </c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4">
        <v>1.0</v>
      </c>
      <c r="M151" s="4">
        <v>1.0</v>
      </c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4">
        <v>0.0</v>
      </c>
      <c r="M152" s="4">
        <v>1.0</v>
      </c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141"/>
      <c r="AF152" s="141"/>
      <c r="AG152" s="141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4">
        <v>2.0</v>
      </c>
      <c r="M153" s="4">
        <v>2.0</v>
      </c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4">
        <v>2.0</v>
      </c>
      <c r="M154" s="4">
        <v>2.0</v>
      </c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4">
        <v>2.0</v>
      </c>
      <c r="M155" s="4">
        <v>2.0</v>
      </c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4">
        <v>1.0</v>
      </c>
      <c r="M156" s="4">
        <v>1.0</v>
      </c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4">
        <v>2.0</v>
      </c>
      <c r="M157" s="4">
        <v>2.0</v>
      </c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4">
        <v>2.0</v>
      </c>
      <c r="M158" s="4">
        <v>1.0</v>
      </c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4">
        <v>0.0</v>
      </c>
      <c r="M159" s="4">
        <v>1.0</v>
      </c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4">
        <v>2.0</v>
      </c>
      <c r="M160" s="4">
        <v>0.0</v>
      </c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4">
        <v>1.0</v>
      </c>
      <c r="M161" s="4">
        <v>1.0</v>
      </c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4">
        <v>2.0</v>
      </c>
      <c r="M162" s="4">
        <v>2.0</v>
      </c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4">
        <v>1.0</v>
      </c>
      <c r="M163" s="4">
        <v>0.0</v>
      </c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  <c r="AF163" s="141"/>
      <c r="AG163" s="141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4">
        <v>1.0</v>
      </c>
      <c r="M164" s="4">
        <v>1.0</v>
      </c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4">
        <v>1.0</v>
      </c>
      <c r="M165" s="4">
        <v>0.0</v>
      </c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4">
        <v>0.0</v>
      </c>
      <c r="M166" s="4">
        <v>2.0</v>
      </c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4">
        <v>1.0</v>
      </c>
      <c r="M167" s="4">
        <v>1.0</v>
      </c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4">
        <v>0.0</v>
      </c>
      <c r="M168" s="4">
        <v>2.0</v>
      </c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4">
        <v>1.0</v>
      </c>
      <c r="M169" s="4">
        <v>1.0</v>
      </c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4">
        <v>2.0</v>
      </c>
      <c r="M170" s="4">
        <v>2.0</v>
      </c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4">
        <v>2.0</v>
      </c>
      <c r="M171" s="4">
        <v>1.0</v>
      </c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4">
        <v>1.0</v>
      </c>
      <c r="M172" s="4">
        <v>0.0</v>
      </c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4">
        <v>0.0</v>
      </c>
      <c r="M173" s="4">
        <v>2.0</v>
      </c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4">
        <v>2.0</v>
      </c>
      <c r="M174" s="4">
        <v>2.0</v>
      </c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4">
        <v>2.0</v>
      </c>
      <c r="M175" s="4">
        <v>2.0</v>
      </c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1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</row>
    <row r="220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</row>
    <row r="227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  <c r="AE228" s="141"/>
      <c r="AF228" s="141"/>
      <c r="AG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141"/>
      <c r="AG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</row>
    <row r="28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</row>
    <row r="282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</row>
    <row r="28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  <c r="AF985" s="141"/>
      <c r="AG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  <c r="AF986" s="141"/>
      <c r="AG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  <c r="AE987" s="141"/>
      <c r="AF987" s="141"/>
      <c r="AG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  <c r="AE988" s="141"/>
      <c r="AF988" s="141"/>
      <c r="AG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  <c r="AE989" s="141"/>
      <c r="AF989" s="141"/>
      <c r="AG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  <c r="AE990" s="141"/>
      <c r="AF990" s="141"/>
      <c r="AG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  <c r="AE991" s="141"/>
      <c r="AF991" s="141"/>
      <c r="AG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  <c r="AE992" s="141"/>
      <c r="AF992" s="141"/>
      <c r="AG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  <c r="AD993" s="141"/>
      <c r="AE993" s="141"/>
      <c r="AF993" s="141"/>
      <c r="AG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  <c r="AD994" s="141"/>
      <c r="AE994" s="141"/>
      <c r="AF994" s="141"/>
      <c r="AG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  <c r="AD995" s="141"/>
      <c r="AE995" s="141"/>
      <c r="AF995" s="141"/>
      <c r="AG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  <c r="AD996" s="141"/>
      <c r="AE996" s="141"/>
      <c r="AF996" s="141"/>
      <c r="AG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  <c r="AD997" s="141"/>
      <c r="AE997" s="141"/>
      <c r="AF997" s="141"/>
      <c r="AG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  <c r="AD998" s="141"/>
      <c r="AE998" s="141"/>
      <c r="AF998" s="141"/>
      <c r="AG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  <c r="AD999" s="141"/>
      <c r="AE999" s="141"/>
      <c r="AF999" s="141"/>
      <c r="AG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  <c r="AD1000" s="141"/>
      <c r="AE1000" s="141"/>
      <c r="AF1000" s="141"/>
      <c r="AG1000" s="141"/>
    </row>
    <row r="100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  <c r="AB1001" s="141"/>
      <c r="AC1001" s="141"/>
      <c r="AD1001" s="141"/>
      <c r="AE1001" s="141"/>
      <c r="AF1001" s="141"/>
      <c r="AG1001" s="141"/>
    </row>
  </sheetData>
  <autoFilter ref="$A$2:$P$22"/>
  <mergeCells count="2">
    <mergeCell ref="B1:F1"/>
    <mergeCell ref="G1:M1"/>
  </mergeCells>
  <conditionalFormatting sqref="G38:I3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3:F22">
    <cfRule type="colorScale" priority="2">
      <colorScale>
        <cfvo type="percentile" val="10"/>
        <cfvo type="percentile" val="90"/>
        <color rgb="FFFFFFFF"/>
        <color rgb="FF57BB8A"/>
      </colorScale>
    </cfRule>
  </conditionalFormatting>
  <dataValidations>
    <dataValidation type="list" allowBlank="1" showErrorMessage="1" sqref="N3:N22">
      <formula1>'Data preparation'!$AE$8:$AE$17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19.38"/>
    <col customWidth="1" min="4" max="4" width="23.0"/>
    <col customWidth="1" min="6" max="6" width="14.38"/>
    <col customWidth="1" min="7" max="7" width="25.25"/>
    <col customWidth="1" min="8" max="8" width="20.13"/>
  </cols>
  <sheetData>
    <row r="1">
      <c r="A1" s="28" t="s">
        <v>260</v>
      </c>
    </row>
    <row r="2">
      <c r="B2" s="141"/>
      <c r="C2" s="176" t="s">
        <v>261</v>
      </c>
      <c r="E2" s="177"/>
      <c r="F2" s="105" t="s">
        <v>262</v>
      </c>
      <c r="H2" s="177"/>
    </row>
    <row r="3">
      <c r="B3" s="125" t="s">
        <v>263</v>
      </c>
      <c r="C3" s="178" t="s">
        <v>264</v>
      </c>
      <c r="D3" s="125" t="s">
        <v>265</v>
      </c>
      <c r="E3" s="179" t="s">
        <v>125</v>
      </c>
      <c r="F3" s="125" t="s">
        <v>266</v>
      </c>
      <c r="G3" s="125" t="s">
        <v>267</v>
      </c>
      <c r="H3" s="125" t="s">
        <v>268</v>
      </c>
    </row>
    <row r="4">
      <c r="B4" s="180" t="s">
        <v>269</v>
      </c>
      <c r="C4" s="181" t="s">
        <v>270</v>
      </c>
      <c r="D4" s="126" t="s">
        <v>271</v>
      </c>
      <c r="E4" s="182" t="s">
        <v>272</v>
      </c>
      <c r="F4" s="183" t="s">
        <v>273</v>
      </c>
      <c r="G4" s="183" t="s">
        <v>274</v>
      </c>
      <c r="H4" s="126"/>
    </row>
    <row r="5">
      <c r="B5" s="180" t="s">
        <v>18</v>
      </c>
      <c r="C5" s="184" t="s">
        <v>275</v>
      </c>
      <c r="D5" s="136"/>
      <c r="E5" s="182" t="s">
        <v>272</v>
      </c>
      <c r="F5" s="185" t="s">
        <v>276</v>
      </c>
      <c r="G5" s="186" t="s">
        <v>277</v>
      </c>
      <c r="H5" s="126"/>
    </row>
    <row r="6">
      <c r="B6" s="180" t="s">
        <v>278</v>
      </c>
      <c r="C6" s="181" t="s">
        <v>270</v>
      </c>
      <c r="D6" s="126" t="s">
        <v>279</v>
      </c>
      <c r="E6" s="182" t="s">
        <v>272</v>
      </c>
      <c r="F6" s="126" t="s">
        <v>257</v>
      </c>
      <c r="G6" s="126"/>
      <c r="H6" s="126"/>
    </row>
    <row r="7">
      <c r="B7" s="126" t="s">
        <v>280</v>
      </c>
      <c r="C7" s="187" t="s">
        <v>281</v>
      </c>
      <c r="D7" s="126"/>
      <c r="E7" s="188" t="s">
        <v>282</v>
      </c>
      <c r="F7" s="181" t="s">
        <v>283</v>
      </c>
      <c r="G7" s="126"/>
      <c r="H7" s="126" t="s">
        <v>284</v>
      </c>
    </row>
    <row r="8">
      <c r="B8" s="189" t="s">
        <v>285</v>
      </c>
      <c r="C8" s="190" t="s">
        <v>286</v>
      </c>
      <c r="D8" s="191"/>
      <c r="E8" s="189" t="s">
        <v>287</v>
      </c>
      <c r="F8" s="192" t="s">
        <v>288</v>
      </c>
      <c r="G8" s="193" t="s">
        <v>289</v>
      </c>
      <c r="H8" s="191"/>
    </row>
    <row r="9">
      <c r="B9" s="16" t="s">
        <v>290</v>
      </c>
      <c r="C9" s="194" t="s">
        <v>286</v>
      </c>
      <c r="D9" s="78"/>
      <c r="E9" s="78"/>
      <c r="F9" s="157"/>
      <c r="G9" s="78"/>
      <c r="H9" s="78"/>
    </row>
    <row r="10">
      <c r="B10" s="16" t="s">
        <v>16</v>
      </c>
      <c r="C10" s="157"/>
      <c r="D10" s="78"/>
      <c r="E10" s="78"/>
      <c r="F10" s="157"/>
      <c r="G10" s="183" t="s">
        <v>274</v>
      </c>
      <c r="H10" s="78"/>
    </row>
    <row r="11">
      <c r="B11" s="16" t="s">
        <v>291</v>
      </c>
      <c r="C11" s="157"/>
      <c r="D11" s="78"/>
      <c r="E11" s="78"/>
      <c r="F11" s="157"/>
      <c r="G11" s="195" t="s">
        <v>292</v>
      </c>
      <c r="H11" s="16"/>
    </row>
  </sheetData>
  <mergeCells count="2">
    <mergeCell ref="C2:E2"/>
    <mergeCell ref="F2:H2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5" max="6" width="20.0"/>
    <col customWidth="1" min="24" max="25" width="18.63"/>
    <col customWidth="1" min="27" max="28" width="24.5"/>
    <col customWidth="1" min="40" max="40" width="26.63"/>
    <col customWidth="1" min="56" max="56" width="13.13"/>
    <col customWidth="1" min="74" max="74" width="22.5"/>
  </cols>
  <sheetData>
    <row r="1">
      <c r="A1" s="196"/>
      <c r="B1" s="106" t="s">
        <v>58</v>
      </c>
      <c r="C1" s="197"/>
      <c r="D1" s="196"/>
      <c r="E1" s="196"/>
      <c r="F1" s="196"/>
      <c r="G1" s="197"/>
      <c r="H1" s="197"/>
      <c r="I1" s="197"/>
      <c r="J1" s="197"/>
      <c r="K1" s="197"/>
      <c r="L1" s="197"/>
      <c r="M1" s="197"/>
      <c r="N1" s="197"/>
      <c r="O1" s="197"/>
      <c r="P1" s="106" t="s">
        <v>57</v>
      </c>
      <c r="Q1" s="197"/>
      <c r="R1" s="197"/>
      <c r="S1" s="106"/>
      <c r="T1" s="106"/>
      <c r="U1" s="106"/>
      <c r="V1" s="106"/>
      <c r="W1" s="106"/>
      <c r="X1" s="198"/>
      <c r="Y1" s="198" t="s">
        <v>293</v>
      </c>
      <c r="Z1" s="106"/>
      <c r="AA1" s="106"/>
      <c r="AB1" s="106"/>
      <c r="AC1" s="106"/>
      <c r="AD1" s="106"/>
      <c r="AE1" s="106" t="s">
        <v>48</v>
      </c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06" t="s">
        <v>49</v>
      </c>
      <c r="AU1" s="197"/>
      <c r="AV1" s="197"/>
      <c r="AW1" s="197"/>
      <c r="AX1" s="199"/>
      <c r="AY1" s="199"/>
      <c r="AZ1" s="199"/>
      <c r="BA1" s="199"/>
      <c r="BB1" s="197"/>
      <c r="BC1" s="197"/>
      <c r="BD1" s="197"/>
      <c r="BE1" s="197"/>
      <c r="BF1" s="197"/>
      <c r="BG1" s="197"/>
      <c r="BH1" s="197"/>
      <c r="BI1" s="197"/>
      <c r="BJ1" s="106" t="s">
        <v>45</v>
      </c>
      <c r="BK1" s="197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200" t="s">
        <v>294</v>
      </c>
      <c r="CF1" s="201" t="s">
        <v>295</v>
      </c>
      <c r="CG1" s="201" t="s">
        <v>72</v>
      </c>
      <c r="CH1" s="201" t="s">
        <v>51</v>
      </c>
      <c r="CI1" s="201" t="s">
        <v>199</v>
      </c>
      <c r="CJ1" s="202"/>
      <c r="CK1" s="202"/>
      <c r="CL1" s="202"/>
      <c r="CM1" s="202"/>
      <c r="CN1" s="202"/>
    </row>
    <row r="2">
      <c r="A2" s="173"/>
      <c r="B2" s="203" t="s">
        <v>296</v>
      </c>
      <c r="E2" s="203"/>
      <c r="F2" s="204" t="s">
        <v>297</v>
      </c>
      <c r="G2" s="204" t="s">
        <v>297</v>
      </c>
      <c r="H2" s="204"/>
      <c r="I2" s="204" t="s">
        <v>297</v>
      </c>
      <c r="J2" s="205" t="s">
        <v>298</v>
      </c>
      <c r="N2" s="86" t="s">
        <v>299</v>
      </c>
      <c r="O2" s="87"/>
      <c r="P2" s="203" t="s">
        <v>296</v>
      </c>
      <c r="S2" s="205" t="s">
        <v>298</v>
      </c>
      <c r="W2" s="206" t="s">
        <v>299</v>
      </c>
      <c r="X2" s="203"/>
      <c r="Y2" s="203" t="s">
        <v>300</v>
      </c>
      <c r="Z2" s="86" t="s">
        <v>299</v>
      </c>
      <c r="AA2" s="204" t="s">
        <v>297</v>
      </c>
      <c r="AB2" s="204"/>
      <c r="AC2" s="204"/>
      <c r="AD2" s="204"/>
      <c r="AE2" s="203" t="s">
        <v>296</v>
      </c>
      <c r="AH2" s="205" t="s">
        <v>298</v>
      </c>
      <c r="AL2" s="86" t="s">
        <v>299</v>
      </c>
      <c r="AM2" s="87"/>
      <c r="AN2" s="203"/>
      <c r="AO2" s="86" t="s">
        <v>299</v>
      </c>
      <c r="AP2" s="204" t="s">
        <v>297</v>
      </c>
      <c r="AQ2" s="87"/>
      <c r="AR2" s="87"/>
      <c r="AS2" s="87"/>
      <c r="AT2" s="203" t="s">
        <v>296</v>
      </c>
      <c r="AW2" s="205" t="s">
        <v>298</v>
      </c>
      <c r="BB2" s="86" t="s">
        <v>299</v>
      </c>
      <c r="BC2" s="86"/>
      <c r="BD2" s="203"/>
      <c r="BE2" s="86" t="s">
        <v>299</v>
      </c>
      <c r="BF2" s="87"/>
      <c r="BG2" s="87"/>
      <c r="BH2" s="87"/>
      <c r="BI2" s="87"/>
      <c r="BJ2" s="203" t="s">
        <v>296</v>
      </c>
      <c r="BN2" s="205" t="s">
        <v>298</v>
      </c>
      <c r="BS2" s="207"/>
      <c r="BT2" s="86" t="s">
        <v>299</v>
      </c>
      <c r="BU2" s="86"/>
      <c r="BV2" s="203"/>
      <c r="BW2" s="86" t="s">
        <v>299</v>
      </c>
      <c r="BX2" s="204" t="s">
        <v>297</v>
      </c>
      <c r="BY2" s="207"/>
      <c r="BZ2" s="207"/>
      <c r="CA2" s="207"/>
      <c r="CB2" s="207"/>
      <c r="CC2" s="207"/>
      <c r="CD2" s="207"/>
      <c r="CE2" s="208" t="s">
        <v>44</v>
      </c>
      <c r="CF2" s="209">
        <v>-0.72106</v>
      </c>
      <c r="CG2" s="209">
        <v>-0.55562</v>
      </c>
      <c r="CH2" s="209">
        <v>-0.27038</v>
      </c>
      <c r="CI2" s="209">
        <v>-0.63511</v>
      </c>
      <c r="CJ2" s="210"/>
      <c r="CK2" s="210"/>
      <c r="CL2" s="210"/>
      <c r="CM2" s="210"/>
      <c r="CN2" s="210"/>
    </row>
    <row r="3">
      <c r="A3" s="173"/>
      <c r="B3" s="204" t="s">
        <v>301</v>
      </c>
      <c r="C3" s="204" t="s">
        <v>302</v>
      </c>
      <c r="D3" s="207" t="s">
        <v>303</v>
      </c>
      <c r="E3" s="211" t="s">
        <v>304</v>
      </c>
      <c r="F3" s="211" t="s">
        <v>305</v>
      </c>
      <c r="G3" s="211" t="s">
        <v>306</v>
      </c>
      <c r="H3" s="212" t="s">
        <v>307</v>
      </c>
      <c r="I3" s="213" t="s">
        <v>308</v>
      </c>
      <c r="J3" s="86" t="s">
        <v>309</v>
      </c>
      <c r="K3" s="86" t="s">
        <v>309</v>
      </c>
      <c r="L3" s="206" t="s">
        <v>310</v>
      </c>
      <c r="M3" s="214" t="s">
        <v>311</v>
      </c>
      <c r="N3" s="204" t="s">
        <v>312</v>
      </c>
      <c r="O3" s="87"/>
      <c r="P3" s="204" t="s">
        <v>301</v>
      </c>
      <c r="Q3" s="204" t="s">
        <v>302</v>
      </c>
      <c r="R3" s="207" t="s">
        <v>303</v>
      </c>
      <c r="S3" s="86" t="s">
        <v>309</v>
      </c>
      <c r="T3" s="86" t="s">
        <v>309</v>
      </c>
      <c r="U3" s="86" t="s">
        <v>310</v>
      </c>
      <c r="V3" s="215" t="s">
        <v>311</v>
      </c>
      <c r="W3" s="216" t="s">
        <v>312</v>
      </c>
      <c r="X3" s="217"/>
      <c r="Y3" s="211" t="s">
        <v>304</v>
      </c>
      <c r="Z3" s="204" t="s">
        <v>312</v>
      </c>
      <c r="AA3" s="211" t="s">
        <v>305</v>
      </c>
      <c r="AB3" s="213" t="s">
        <v>308</v>
      </c>
      <c r="AC3" s="86" t="s">
        <v>313</v>
      </c>
      <c r="AD3" s="204"/>
      <c r="AE3" s="204" t="s">
        <v>301</v>
      </c>
      <c r="AF3" s="204" t="s">
        <v>302</v>
      </c>
      <c r="AG3" s="207" t="s">
        <v>303</v>
      </c>
      <c r="AH3" s="206" t="s">
        <v>309</v>
      </c>
      <c r="AI3" s="86" t="s">
        <v>309</v>
      </c>
      <c r="AJ3" s="86" t="s">
        <v>310</v>
      </c>
      <c r="AK3" s="214" t="s">
        <v>311</v>
      </c>
      <c r="AL3" s="204" t="s">
        <v>312</v>
      </c>
      <c r="AM3" s="87"/>
      <c r="AN3" s="211" t="s">
        <v>304</v>
      </c>
      <c r="AO3" s="204" t="s">
        <v>312</v>
      </c>
      <c r="AP3" s="211" t="s">
        <v>305</v>
      </c>
      <c r="AQ3" s="213" t="s">
        <v>308</v>
      </c>
      <c r="AR3" s="86" t="s">
        <v>313</v>
      </c>
      <c r="AS3" s="87"/>
      <c r="AT3" s="204" t="s">
        <v>301</v>
      </c>
      <c r="AU3" s="204" t="s">
        <v>302</v>
      </c>
      <c r="AV3" s="207" t="s">
        <v>303</v>
      </c>
      <c r="AW3" s="206" t="s">
        <v>309</v>
      </c>
      <c r="AX3" s="206" t="s">
        <v>309</v>
      </c>
      <c r="AY3" s="86"/>
      <c r="AZ3" s="86" t="s">
        <v>310</v>
      </c>
      <c r="BA3" s="215" t="s">
        <v>311</v>
      </c>
      <c r="BB3" s="204" t="s">
        <v>312</v>
      </c>
      <c r="BC3" s="204"/>
      <c r="BD3" s="211" t="s">
        <v>304</v>
      </c>
      <c r="BE3" s="204" t="s">
        <v>312</v>
      </c>
      <c r="BF3" s="213" t="s">
        <v>308</v>
      </c>
      <c r="BG3" s="86" t="s">
        <v>313</v>
      </c>
      <c r="BH3" s="87"/>
      <c r="BI3" s="87"/>
      <c r="BJ3" s="204" t="s">
        <v>301</v>
      </c>
      <c r="BK3" s="204" t="s">
        <v>302</v>
      </c>
      <c r="BL3" s="218" t="s">
        <v>314</v>
      </c>
      <c r="BM3" s="207" t="s">
        <v>303</v>
      </c>
      <c r="BN3" s="86" t="s">
        <v>309</v>
      </c>
      <c r="BO3" s="86" t="s">
        <v>309</v>
      </c>
      <c r="BP3" s="86"/>
      <c r="BQ3" s="86" t="s">
        <v>310</v>
      </c>
      <c r="BR3" s="215" t="s">
        <v>311</v>
      </c>
      <c r="BS3" s="207" t="s">
        <v>315</v>
      </c>
      <c r="BT3" s="204" t="s">
        <v>312</v>
      </c>
      <c r="BU3" s="204"/>
      <c r="BV3" s="211" t="s">
        <v>304</v>
      </c>
      <c r="BW3" s="204" t="s">
        <v>312</v>
      </c>
      <c r="BX3" s="211" t="s">
        <v>305</v>
      </c>
      <c r="BY3" s="213" t="s">
        <v>308</v>
      </c>
      <c r="BZ3" s="86" t="s">
        <v>313</v>
      </c>
      <c r="CA3" s="207"/>
      <c r="CB3" s="207"/>
      <c r="CC3" s="207"/>
      <c r="CD3" s="207"/>
      <c r="CE3" s="208" t="s">
        <v>316</v>
      </c>
      <c r="CF3" s="219">
        <v>-0.2884</v>
      </c>
      <c r="CG3" s="219">
        <v>-0.16526</v>
      </c>
      <c r="CH3" s="219">
        <v>0.022587</v>
      </c>
      <c r="CI3" s="219">
        <v>-0.20427</v>
      </c>
      <c r="CJ3" s="207"/>
      <c r="CK3" s="207"/>
      <c r="CL3" s="207"/>
      <c r="CM3" s="207"/>
      <c r="CN3" s="207"/>
    </row>
    <row r="4">
      <c r="A4" s="173"/>
      <c r="B4" s="86" t="s">
        <v>317</v>
      </c>
      <c r="C4" s="86" t="s">
        <v>318</v>
      </c>
      <c r="D4" s="64" t="s">
        <v>319</v>
      </c>
      <c r="E4" s="220" t="s">
        <v>320</v>
      </c>
      <c r="F4" s="86" t="s">
        <v>321</v>
      </c>
      <c r="G4" s="86" t="s">
        <v>322</v>
      </c>
      <c r="H4" s="86" t="s">
        <v>323</v>
      </c>
      <c r="I4" s="64" t="s">
        <v>324</v>
      </c>
      <c r="J4" s="221" t="s">
        <v>325</v>
      </c>
      <c r="K4" s="221" t="s">
        <v>326</v>
      </c>
      <c r="L4" s="222" t="s">
        <v>327</v>
      </c>
      <c r="M4" s="223" t="s">
        <v>328</v>
      </c>
      <c r="N4" s="86" t="s">
        <v>329</v>
      </c>
      <c r="O4" s="87"/>
      <c r="P4" s="86" t="s">
        <v>330</v>
      </c>
      <c r="Q4" s="86" t="s">
        <v>331</v>
      </c>
      <c r="R4" s="86" t="s">
        <v>332</v>
      </c>
      <c r="S4" s="221" t="s">
        <v>325</v>
      </c>
      <c r="T4" s="221" t="s">
        <v>326</v>
      </c>
      <c r="U4" s="222" t="s">
        <v>327</v>
      </c>
      <c r="V4" s="223" t="s">
        <v>333</v>
      </c>
      <c r="W4" s="206" t="s">
        <v>329</v>
      </c>
      <c r="X4" s="86"/>
      <c r="Y4" s="213" t="s">
        <v>334</v>
      </c>
      <c r="Z4" s="86" t="s">
        <v>329</v>
      </c>
      <c r="AA4" s="86" t="s">
        <v>321</v>
      </c>
      <c r="AB4" s="64" t="s">
        <v>324</v>
      </c>
      <c r="AC4" s="64" t="s">
        <v>323</v>
      </c>
      <c r="AD4" s="86"/>
      <c r="AE4" s="86" t="s">
        <v>335</v>
      </c>
      <c r="AF4" s="86" t="s">
        <v>335</v>
      </c>
      <c r="AG4" s="86" t="s">
        <v>336</v>
      </c>
      <c r="AH4" s="221" t="s">
        <v>325</v>
      </c>
      <c r="AI4" s="221" t="s">
        <v>326</v>
      </c>
      <c r="AJ4" s="222" t="s">
        <v>337</v>
      </c>
      <c r="AK4" s="223" t="s">
        <v>338</v>
      </c>
      <c r="AL4" s="86" t="s">
        <v>329</v>
      </c>
      <c r="AM4" s="87"/>
      <c r="AN4" s="213" t="s">
        <v>339</v>
      </c>
      <c r="AO4" s="86" t="s">
        <v>329</v>
      </c>
      <c r="AP4" s="86" t="s">
        <v>321</v>
      </c>
      <c r="AQ4" s="64" t="s">
        <v>324</v>
      </c>
      <c r="AR4" s="64" t="s">
        <v>323</v>
      </c>
      <c r="AS4" s="87"/>
      <c r="AT4" s="86" t="s">
        <v>340</v>
      </c>
      <c r="AU4" s="86" t="s">
        <v>331</v>
      </c>
      <c r="AV4" s="86" t="s">
        <v>341</v>
      </c>
      <c r="AW4" s="224" t="s">
        <v>325</v>
      </c>
      <c r="AX4" s="224" t="s">
        <v>326</v>
      </c>
      <c r="AY4" s="64" t="s">
        <v>342</v>
      </c>
      <c r="AZ4" s="222" t="s">
        <v>343</v>
      </c>
      <c r="BA4" s="223" t="s">
        <v>344</v>
      </c>
      <c r="BB4" s="86" t="s">
        <v>329</v>
      </c>
      <c r="BC4" s="86"/>
      <c r="BD4" s="213" t="s">
        <v>345</v>
      </c>
      <c r="BE4" s="86" t="s">
        <v>329</v>
      </c>
      <c r="BF4" s="64" t="s">
        <v>324</v>
      </c>
      <c r="BG4" s="64" t="s">
        <v>323</v>
      </c>
      <c r="BH4" s="87"/>
      <c r="BI4" s="87"/>
      <c r="BJ4" s="204" t="s">
        <v>346</v>
      </c>
      <c r="BK4" s="204" t="s">
        <v>347</v>
      </c>
      <c r="BL4" s="218" t="s">
        <v>348</v>
      </c>
      <c r="BM4" s="207" t="s">
        <v>349</v>
      </c>
      <c r="BN4" s="221" t="s">
        <v>325</v>
      </c>
      <c r="BO4" s="221" t="s">
        <v>326</v>
      </c>
      <c r="BP4" s="64" t="s">
        <v>350</v>
      </c>
      <c r="BQ4" s="222" t="s">
        <v>351</v>
      </c>
      <c r="BR4" s="225" t="s">
        <v>352</v>
      </c>
      <c r="BS4" s="225" t="s">
        <v>353</v>
      </c>
      <c r="BT4" s="86" t="s">
        <v>329</v>
      </c>
      <c r="BU4" s="86"/>
      <c r="BV4" s="215" t="s">
        <v>354</v>
      </c>
      <c r="BW4" s="86" t="s">
        <v>329</v>
      </c>
      <c r="BX4" s="86" t="s">
        <v>321</v>
      </c>
      <c r="BY4" s="64" t="s">
        <v>324</v>
      </c>
      <c r="BZ4" s="64" t="s">
        <v>323</v>
      </c>
      <c r="CA4" s="64"/>
      <c r="CB4" s="64"/>
      <c r="CC4" s="64"/>
      <c r="CD4" s="64"/>
      <c r="CE4" s="200" t="s">
        <v>355</v>
      </c>
      <c r="CF4" s="226">
        <v>-0.456028563</v>
      </c>
      <c r="CG4" s="226">
        <v>-0.28873597</v>
      </c>
      <c r="CH4" s="226">
        <v>-0.160923078</v>
      </c>
      <c r="CI4" s="226">
        <v>-0.22411403</v>
      </c>
      <c r="CJ4" s="64"/>
      <c r="CK4" s="64"/>
      <c r="CL4" s="64"/>
      <c r="CM4" s="64"/>
      <c r="CN4" s="64"/>
    </row>
    <row r="5">
      <c r="A5" s="227" t="s">
        <v>356</v>
      </c>
      <c r="B5" s="228">
        <f t="shared" ref="B5:N5" si="1">AVERAGE(B7:B26)</f>
        <v>3.398</v>
      </c>
      <c r="C5" s="228">
        <f t="shared" si="1"/>
        <v>1.9915</v>
      </c>
      <c r="D5" s="228">
        <f t="shared" si="1"/>
        <v>2.7805</v>
      </c>
      <c r="E5" s="228">
        <f t="shared" si="1"/>
        <v>4.428</v>
      </c>
      <c r="F5" s="229">
        <f t="shared" si="1"/>
        <v>3.961</v>
      </c>
      <c r="G5" s="229">
        <f t="shared" si="1"/>
        <v>3.271111111</v>
      </c>
      <c r="H5" s="229">
        <f t="shared" si="1"/>
        <v>4.0455</v>
      </c>
      <c r="I5" s="229">
        <f t="shared" si="1"/>
        <v>3.589</v>
      </c>
      <c r="J5" s="228">
        <f t="shared" si="1"/>
        <v>4.753</v>
      </c>
      <c r="K5" s="228">
        <f t="shared" si="1"/>
        <v>4.794</v>
      </c>
      <c r="L5" s="230">
        <f t="shared" si="1"/>
        <v>5.1425</v>
      </c>
      <c r="M5" s="230">
        <f t="shared" si="1"/>
        <v>5.148</v>
      </c>
      <c r="N5" s="228">
        <f t="shared" si="1"/>
        <v>2.212</v>
      </c>
      <c r="P5" s="228">
        <f t="shared" ref="P5:W5" si="2">AVERAGE(P7:P26)</f>
        <v>-8.158</v>
      </c>
      <c r="Q5" s="228">
        <f t="shared" si="2"/>
        <v>-10.9185</v>
      </c>
      <c r="R5" s="228">
        <f t="shared" si="2"/>
        <v>-8.707</v>
      </c>
      <c r="S5" s="228">
        <f t="shared" si="2"/>
        <v>-8.829</v>
      </c>
      <c r="T5" s="228">
        <f t="shared" si="2"/>
        <v>-9.1645</v>
      </c>
      <c r="U5" s="228">
        <f t="shared" si="2"/>
        <v>-8.655</v>
      </c>
      <c r="V5" s="228">
        <f t="shared" si="2"/>
        <v>-8.7705</v>
      </c>
      <c r="W5" s="230">
        <f t="shared" si="2"/>
        <v>-6.315</v>
      </c>
      <c r="X5" s="228"/>
      <c r="Y5" s="228">
        <f t="shared" ref="Y5:AC5" si="3">AVERAGE(Y7:Y26)</f>
        <v>-15.732</v>
      </c>
      <c r="Z5" s="230">
        <f t="shared" si="3"/>
        <v>-10.197</v>
      </c>
      <c r="AA5" s="228">
        <f t="shared" si="3"/>
        <v>-14.672</v>
      </c>
      <c r="AB5" s="228">
        <f t="shared" si="3"/>
        <v>-12.72</v>
      </c>
      <c r="AC5" s="228">
        <f t="shared" si="3"/>
        <v>-10.339</v>
      </c>
      <c r="AD5" s="228"/>
      <c r="AE5" s="228">
        <f t="shared" ref="AE5:AL5" si="4">AVERAGE(AE7:AE26)</f>
        <v>4.8415</v>
      </c>
      <c r="AF5" s="228">
        <f t="shared" si="4"/>
        <v>4.8415</v>
      </c>
      <c r="AG5" s="228">
        <f t="shared" si="4"/>
        <v>9.382</v>
      </c>
      <c r="AH5" s="230">
        <f t="shared" si="4"/>
        <v>13.462</v>
      </c>
      <c r="AI5" s="228">
        <f t="shared" si="4"/>
        <v>9.2985</v>
      </c>
      <c r="AJ5" s="228">
        <f t="shared" si="4"/>
        <v>12.4525</v>
      </c>
      <c r="AK5" s="230">
        <f t="shared" si="4"/>
        <v>13.307</v>
      </c>
      <c r="AL5" s="228">
        <f t="shared" si="4"/>
        <v>11.1705</v>
      </c>
      <c r="AN5" s="228">
        <f t="shared" ref="AN5:AR5" si="5">AVERAGE(AN7:AN26)</f>
        <v>-9.6785</v>
      </c>
      <c r="AO5" s="228">
        <f t="shared" si="5"/>
        <v>-2.638</v>
      </c>
      <c r="AP5" s="228">
        <f t="shared" si="5"/>
        <v>-4.056</v>
      </c>
      <c r="AQ5" s="228">
        <f t="shared" si="5"/>
        <v>-4.157</v>
      </c>
      <c r="AR5" s="230">
        <f t="shared" si="5"/>
        <v>4.276</v>
      </c>
      <c r="AT5" s="228">
        <f t="shared" ref="AT5:BB5" si="6">AVERAGE(AT7:AT26)</f>
        <v>5.3195</v>
      </c>
      <c r="AU5" s="228">
        <f t="shared" si="6"/>
        <v>4.796</v>
      </c>
      <c r="AV5" s="228">
        <f t="shared" si="6"/>
        <v>6.309</v>
      </c>
      <c r="AW5" s="231">
        <f t="shared" si="6"/>
        <v>7.104</v>
      </c>
      <c r="AX5" s="231">
        <f t="shared" si="6"/>
        <v>7.126</v>
      </c>
      <c r="AY5" s="228">
        <f t="shared" si="6"/>
        <v>4.5005</v>
      </c>
      <c r="AZ5" s="230">
        <f t="shared" si="6"/>
        <v>6.8285</v>
      </c>
      <c r="BA5" s="228">
        <f t="shared" si="6"/>
        <v>6.0595</v>
      </c>
      <c r="BB5" s="228">
        <f t="shared" si="6"/>
        <v>4.9205</v>
      </c>
      <c r="BC5" s="228"/>
      <c r="BD5" s="228">
        <f t="shared" ref="BD5:BH5" si="7">AVERAGE(BD7:BD26)</f>
        <v>12.331</v>
      </c>
      <c r="BE5" s="228">
        <f t="shared" si="7"/>
        <v>11.9455</v>
      </c>
      <c r="BF5" s="228">
        <f t="shared" si="7"/>
        <v>11.9335</v>
      </c>
      <c r="BG5" s="228">
        <f t="shared" si="7"/>
        <v>9.6705</v>
      </c>
      <c r="BH5" s="228">
        <f t="shared" si="7"/>
        <v>11.4995</v>
      </c>
      <c r="BJ5" s="228">
        <f t="shared" ref="BJ5:BT5" si="8">AVERAGE(BJ7:BJ26)</f>
        <v>11.582</v>
      </c>
      <c r="BK5" s="228">
        <f t="shared" si="8"/>
        <v>13.931</v>
      </c>
      <c r="BL5" s="231">
        <f t="shared" si="8"/>
        <v>19.261</v>
      </c>
      <c r="BM5" s="228">
        <f t="shared" si="8"/>
        <v>17.1135</v>
      </c>
      <c r="BN5" s="228">
        <f t="shared" si="8"/>
        <v>12.7565</v>
      </c>
      <c r="BO5" s="228">
        <f t="shared" si="8"/>
        <v>11.1805</v>
      </c>
      <c r="BP5" s="228">
        <f t="shared" si="8"/>
        <v>6.218</v>
      </c>
      <c r="BQ5" s="228">
        <f t="shared" si="8"/>
        <v>10.122</v>
      </c>
      <c r="BR5" s="228">
        <f t="shared" si="8"/>
        <v>9.324</v>
      </c>
      <c r="BS5" s="228">
        <f t="shared" si="8"/>
        <v>10.772</v>
      </c>
      <c r="BT5" s="230">
        <f t="shared" si="8"/>
        <v>15.445</v>
      </c>
      <c r="BU5" s="228"/>
      <c r="BV5" s="228">
        <f t="shared" ref="BV5:BW5" si="9">AVERAGE(BV7:BV26)</f>
        <v>17.4875</v>
      </c>
      <c r="BW5" s="230">
        <f t="shared" si="9"/>
        <v>8.906</v>
      </c>
      <c r="BX5" s="230"/>
      <c r="BY5" s="228">
        <f t="shared" ref="BY5:CA5" si="10">AVERAGE(BY7:BY26)</f>
        <v>8.0635</v>
      </c>
      <c r="BZ5" s="228">
        <f t="shared" si="10"/>
        <v>8.121</v>
      </c>
      <c r="CA5" s="228">
        <f t="shared" si="10"/>
        <v>5.778823529</v>
      </c>
      <c r="CB5" s="228"/>
      <c r="CC5" s="228"/>
      <c r="CD5" s="228"/>
      <c r="CE5" s="232" t="s">
        <v>357</v>
      </c>
      <c r="CF5" s="233">
        <v>-0.57020319</v>
      </c>
      <c r="CG5" s="233">
        <v>-0.51799341</v>
      </c>
      <c r="CH5" s="233">
        <v>-0.257172646</v>
      </c>
      <c r="CI5" s="233">
        <v>-0.496837681</v>
      </c>
      <c r="CJ5" s="228"/>
      <c r="CK5" s="228"/>
      <c r="CL5" s="228"/>
      <c r="CM5" s="228"/>
      <c r="CN5" s="228"/>
    </row>
    <row r="6">
      <c r="A6" s="227" t="s">
        <v>358</v>
      </c>
      <c r="B6" s="228">
        <f t="shared" ref="B6:N6" si="11">STDEV(B7:B26)</f>
        <v>8.348570379</v>
      </c>
      <c r="C6" s="228">
        <f t="shared" si="11"/>
        <v>3.293637047</v>
      </c>
      <c r="D6" s="228">
        <f t="shared" si="11"/>
        <v>3.286939826</v>
      </c>
      <c r="E6" s="228">
        <f t="shared" si="11"/>
        <v>8.675786389</v>
      </c>
      <c r="F6" s="234">
        <f t="shared" si="11"/>
        <v>7.696992509</v>
      </c>
      <c r="G6" s="234">
        <f t="shared" si="11"/>
        <v>5.907693776</v>
      </c>
      <c r="H6" s="234">
        <f t="shared" si="11"/>
        <v>8.330772047</v>
      </c>
      <c r="I6" s="234">
        <f t="shared" si="11"/>
        <v>7.752735952</v>
      </c>
      <c r="J6" s="228">
        <f t="shared" si="11"/>
        <v>7.431140098</v>
      </c>
      <c r="K6" s="228">
        <f t="shared" si="11"/>
        <v>8.101062568</v>
      </c>
      <c r="L6" s="228">
        <f t="shared" si="11"/>
        <v>7.963398425</v>
      </c>
      <c r="M6" s="228">
        <f t="shared" si="11"/>
        <v>7.984826795</v>
      </c>
      <c r="N6" s="228">
        <f t="shared" si="11"/>
        <v>3.249546689</v>
      </c>
      <c r="P6" s="228">
        <f t="shared" ref="P6:W6" si="12">STDEV(P7:P26)</f>
        <v>5.450201928</v>
      </c>
      <c r="Q6" s="228">
        <f t="shared" si="12"/>
        <v>4.446619384</v>
      </c>
      <c r="R6" s="228">
        <f t="shared" si="12"/>
        <v>4.087328429</v>
      </c>
      <c r="S6" s="228">
        <f t="shared" si="12"/>
        <v>4.551707488</v>
      </c>
      <c r="T6" s="228">
        <f t="shared" si="12"/>
        <v>2.927534395</v>
      </c>
      <c r="U6" s="228">
        <f t="shared" si="12"/>
        <v>4.360286688</v>
      </c>
      <c r="V6" s="228">
        <f t="shared" si="12"/>
        <v>6.629887254</v>
      </c>
      <c r="W6" s="228">
        <f t="shared" si="12"/>
        <v>5.4861294</v>
      </c>
      <c r="X6" s="228"/>
      <c r="Y6" s="228">
        <f t="shared" ref="Y6:AC6" si="13">STDEV(Y7:Y26)</f>
        <v>4.28276792</v>
      </c>
      <c r="Z6" s="228">
        <f t="shared" si="13"/>
        <v>8.449440405</v>
      </c>
      <c r="AA6" s="228">
        <f t="shared" si="13"/>
        <v>5.923020744</v>
      </c>
      <c r="AB6" s="228">
        <f t="shared" si="13"/>
        <v>5.817309923</v>
      </c>
      <c r="AC6" s="228">
        <f t="shared" si="13"/>
        <v>9.303112043</v>
      </c>
      <c r="AD6" s="228"/>
      <c r="AE6" s="228">
        <f t="shared" ref="AE6:AL6" si="14">STDEV(AE7:AE26)</f>
        <v>14.00958554</v>
      </c>
      <c r="AF6" s="228">
        <f t="shared" si="14"/>
        <v>14.00958554</v>
      </c>
      <c r="AG6" s="228">
        <f t="shared" si="14"/>
        <v>11.10474939</v>
      </c>
      <c r="AH6" s="228">
        <f t="shared" si="14"/>
        <v>12.33857605</v>
      </c>
      <c r="AI6" s="228">
        <f t="shared" si="14"/>
        <v>12.37909072</v>
      </c>
      <c r="AJ6" s="228">
        <f t="shared" si="14"/>
        <v>12.89900399</v>
      </c>
      <c r="AK6" s="228">
        <f t="shared" si="14"/>
        <v>18.45972147</v>
      </c>
      <c r="AL6" s="228">
        <f t="shared" si="14"/>
        <v>14.24647268</v>
      </c>
      <c r="AN6" s="228">
        <f t="shared" ref="AN6:AR6" si="15">STDEV(AN7:AN26)</f>
        <v>8.918618181</v>
      </c>
      <c r="AO6" s="228">
        <f t="shared" si="15"/>
        <v>10.84585907</v>
      </c>
      <c r="AP6" s="228">
        <f t="shared" si="15"/>
        <v>11.24808681</v>
      </c>
      <c r="AQ6" s="228">
        <f t="shared" si="15"/>
        <v>11.23053783</v>
      </c>
      <c r="AR6" s="228">
        <f t="shared" si="15"/>
        <v>11.4587399</v>
      </c>
      <c r="AT6" s="228">
        <f t="shared" ref="AT6:BB6" si="16">STDEV(AT7:AT26)</f>
        <v>7.068022485</v>
      </c>
      <c r="AU6" s="228">
        <f t="shared" si="16"/>
        <v>7.217143625</v>
      </c>
      <c r="AV6" s="228">
        <f t="shared" si="16"/>
        <v>5.955498919</v>
      </c>
      <c r="AW6" s="228">
        <f t="shared" si="16"/>
        <v>5.162436593</v>
      </c>
      <c r="AX6" s="228">
        <f t="shared" si="16"/>
        <v>2.929234497</v>
      </c>
      <c r="AY6" s="228">
        <f t="shared" si="16"/>
        <v>5.845869865</v>
      </c>
      <c r="AZ6" s="228">
        <f t="shared" si="16"/>
        <v>3.957236243</v>
      </c>
      <c r="BA6" s="228">
        <f t="shared" si="16"/>
        <v>6.748946487</v>
      </c>
      <c r="BB6" s="228">
        <f t="shared" si="16"/>
        <v>7.310474443</v>
      </c>
      <c r="BC6" s="228"/>
      <c r="BD6" s="228">
        <f t="shared" ref="BD6:BH6" si="17">STDEV(BD7:BD26)</f>
        <v>7.473357521</v>
      </c>
      <c r="BE6" s="228">
        <f t="shared" si="17"/>
        <v>7.650189867</v>
      </c>
      <c r="BF6" s="228">
        <f t="shared" si="17"/>
        <v>8.269325865</v>
      </c>
      <c r="BG6" s="228">
        <f t="shared" si="17"/>
        <v>8.155915177</v>
      </c>
      <c r="BH6" s="228">
        <f t="shared" si="17"/>
        <v>7.739683439</v>
      </c>
      <c r="BJ6" s="228">
        <f t="shared" ref="BJ6:BT6" si="18">STDEV(BJ7:BJ26)</f>
        <v>10.41549483</v>
      </c>
      <c r="BK6" s="228">
        <f t="shared" si="18"/>
        <v>12.96820927</v>
      </c>
      <c r="BL6" s="228">
        <f t="shared" si="18"/>
        <v>14.25319019</v>
      </c>
      <c r="BM6" s="228">
        <f t="shared" si="18"/>
        <v>16.03501572</v>
      </c>
      <c r="BN6" s="228">
        <f t="shared" si="18"/>
        <v>13.62926043</v>
      </c>
      <c r="BO6" s="228">
        <f t="shared" si="18"/>
        <v>10.34896205</v>
      </c>
      <c r="BP6" s="228">
        <f t="shared" si="18"/>
        <v>8.405775333</v>
      </c>
      <c r="BQ6" s="228">
        <f t="shared" si="18"/>
        <v>11.20796925</v>
      </c>
      <c r="BR6" s="228">
        <f t="shared" si="18"/>
        <v>11.43661221</v>
      </c>
      <c r="BS6" s="228">
        <f t="shared" si="18"/>
        <v>10.28812632</v>
      </c>
      <c r="BT6" s="228">
        <f t="shared" si="18"/>
        <v>14.97311679</v>
      </c>
      <c r="BU6" s="228"/>
      <c r="BV6" s="228">
        <f t="shared" ref="BV6:BW6" si="19">STDEV(BV7:BV26)</f>
        <v>14.13301058</v>
      </c>
      <c r="BW6" s="228">
        <f t="shared" si="19"/>
        <v>16.16411177</v>
      </c>
      <c r="BX6" s="228"/>
      <c r="BY6" s="228">
        <f t="shared" ref="BY6:CA6" si="20">STDEV(BY7:BY26)</f>
        <v>17.92534938</v>
      </c>
      <c r="BZ6" s="228">
        <f t="shared" si="20"/>
        <v>15.86651552</v>
      </c>
      <c r="CA6" s="228">
        <f t="shared" si="20"/>
        <v>16.65517483</v>
      </c>
      <c r="CB6" s="228"/>
      <c r="CC6" s="228"/>
      <c r="CD6" s="228"/>
      <c r="CE6" s="232" t="s">
        <v>359</v>
      </c>
      <c r="CF6" s="233">
        <v>-0.221394985</v>
      </c>
      <c r="CG6" s="233">
        <v>-0.24963855</v>
      </c>
      <c r="CH6" s="233">
        <v>-0.127997414</v>
      </c>
      <c r="CI6" s="233">
        <v>-0.208036147</v>
      </c>
      <c r="CJ6" s="228"/>
      <c r="CK6" s="228"/>
      <c r="CL6" s="228"/>
      <c r="CM6" s="228"/>
      <c r="CN6" s="228"/>
    </row>
    <row r="7">
      <c r="A7" s="13"/>
      <c r="B7" s="28">
        <v>4.43</v>
      </c>
      <c r="C7" s="28">
        <v>1.1</v>
      </c>
      <c r="D7" s="235">
        <v>5.52</v>
      </c>
      <c r="E7" s="235">
        <v>33.5</v>
      </c>
      <c r="F7" s="235">
        <v>-3.72</v>
      </c>
      <c r="G7" s="28">
        <v>1.1</v>
      </c>
      <c r="H7" s="28">
        <v>4.12</v>
      </c>
      <c r="I7" s="28">
        <v>1.1</v>
      </c>
      <c r="J7" s="28">
        <v>4.43</v>
      </c>
      <c r="K7" s="28">
        <v>33.5</v>
      </c>
      <c r="L7" s="28">
        <v>33.5</v>
      </c>
      <c r="M7" s="28">
        <v>33.5</v>
      </c>
      <c r="N7" s="28">
        <v>4.43</v>
      </c>
      <c r="P7" s="28">
        <v>-6.53</v>
      </c>
      <c r="Q7" s="28">
        <v>-15.02</v>
      </c>
      <c r="R7" s="27">
        <v>-6.53</v>
      </c>
      <c r="S7" s="28">
        <v>-15.09</v>
      </c>
      <c r="T7" s="28">
        <v>-9.17</v>
      </c>
      <c r="U7" s="28">
        <v>-9.17</v>
      </c>
      <c r="V7" s="28">
        <v>-7.67</v>
      </c>
      <c r="W7" s="28">
        <v>-6.38</v>
      </c>
      <c r="X7" s="28"/>
      <c r="Y7" s="27">
        <v>-19.22</v>
      </c>
      <c r="Z7" s="28">
        <v>-13.08</v>
      </c>
      <c r="AA7" s="28">
        <v>-23.67</v>
      </c>
      <c r="AB7" s="28">
        <v>-19.11</v>
      </c>
      <c r="AC7" s="28">
        <v>-19.16</v>
      </c>
      <c r="AD7" s="28"/>
      <c r="AE7" s="28">
        <v>13.2</v>
      </c>
      <c r="AF7" s="28">
        <v>13.2</v>
      </c>
      <c r="AG7" s="28">
        <v>13.2</v>
      </c>
      <c r="AH7" s="28">
        <v>22.68</v>
      </c>
      <c r="AI7" s="28">
        <v>22.39</v>
      </c>
      <c r="AJ7" s="28">
        <v>11.73</v>
      </c>
      <c r="AK7" s="28">
        <v>-4.36</v>
      </c>
      <c r="AL7" s="28">
        <v>-4.36</v>
      </c>
      <c r="AN7" s="28">
        <v>-6.72</v>
      </c>
      <c r="AO7" s="28">
        <v>-3.06</v>
      </c>
      <c r="AP7" s="28">
        <v>-12.89</v>
      </c>
      <c r="AQ7" s="28">
        <v>-6.72</v>
      </c>
      <c r="AR7" s="28">
        <v>12.39</v>
      </c>
      <c r="AT7" s="28">
        <v>5.89</v>
      </c>
      <c r="AU7" s="28">
        <v>16.19</v>
      </c>
      <c r="AV7" s="28">
        <v>5.89</v>
      </c>
      <c r="AW7" s="28">
        <v>5.75</v>
      </c>
      <c r="AX7" s="28">
        <v>5.75</v>
      </c>
      <c r="AY7" s="28">
        <v>16.24</v>
      </c>
      <c r="AZ7" s="28">
        <v>5.75</v>
      </c>
      <c r="BA7" s="28">
        <v>5.89</v>
      </c>
      <c r="BB7" s="28">
        <v>7.53</v>
      </c>
      <c r="BC7" s="28"/>
      <c r="BD7" s="28">
        <v>12.07</v>
      </c>
      <c r="BE7" s="28">
        <v>14.51</v>
      </c>
      <c r="BF7" s="28">
        <v>16.44</v>
      </c>
      <c r="BG7" s="28">
        <v>14.51</v>
      </c>
      <c r="BH7" s="236">
        <v>14.08</v>
      </c>
      <c r="BJ7" s="20">
        <v>9.62</v>
      </c>
      <c r="BK7" s="28">
        <v>39.03</v>
      </c>
      <c r="BL7" s="13">
        <v>9.17</v>
      </c>
      <c r="BM7" s="13">
        <v>-2.79</v>
      </c>
      <c r="BN7" s="13">
        <v>13.3</v>
      </c>
      <c r="BO7" s="13">
        <v>14.98</v>
      </c>
      <c r="BP7" s="13">
        <v>9.62</v>
      </c>
      <c r="BQ7" s="13">
        <v>7.38</v>
      </c>
      <c r="BR7" s="13">
        <v>0.02</v>
      </c>
      <c r="BS7" s="13">
        <v>7.38</v>
      </c>
      <c r="BT7" s="13">
        <v>1.03</v>
      </c>
      <c r="BU7" s="13"/>
      <c r="BV7" s="13">
        <v>3.78</v>
      </c>
      <c r="BW7" s="13">
        <v>-5.33</v>
      </c>
      <c r="BX7" s="13"/>
      <c r="BY7" s="13">
        <v>2.69</v>
      </c>
      <c r="BZ7" s="13">
        <v>1.33</v>
      </c>
      <c r="CA7" s="13">
        <v>1.33</v>
      </c>
      <c r="CB7" s="13"/>
      <c r="CC7" s="13"/>
      <c r="CD7" s="13"/>
      <c r="CE7" s="237" t="s">
        <v>356</v>
      </c>
      <c r="CF7" s="238">
        <f t="shared" ref="CF7:CI7" si="21">AVERAGE(CF2:CF6)</f>
        <v>-0.4514173476</v>
      </c>
      <c r="CG7" s="238">
        <f t="shared" si="21"/>
        <v>-0.355449586</v>
      </c>
      <c r="CH7" s="238">
        <f t="shared" si="21"/>
        <v>-0.1587772276</v>
      </c>
      <c r="CI7" s="238">
        <f t="shared" si="21"/>
        <v>-0.3536735716</v>
      </c>
      <c r="CJ7" s="13"/>
      <c r="CK7" s="13"/>
      <c r="CL7" s="13"/>
      <c r="CM7" s="13"/>
      <c r="CN7" s="13"/>
    </row>
    <row r="8">
      <c r="A8" s="69"/>
      <c r="B8" s="28">
        <v>5.52</v>
      </c>
      <c r="C8" s="28">
        <v>3.7</v>
      </c>
      <c r="D8" s="235">
        <v>4.43</v>
      </c>
      <c r="E8" s="235">
        <v>6.4</v>
      </c>
      <c r="F8" s="235">
        <v>1.1</v>
      </c>
      <c r="G8" s="28">
        <v>-1.13</v>
      </c>
      <c r="H8" s="28">
        <v>4.43</v>
      </c>
      <c r="I8" s="28">
        <v>4.43</v>
      </c>
      <c r="J8" s="28">
        <v>33.5</v>
      </c>
      <c r="K8" s="28">
        <v>4.43</v>
      </c>
      <c r="L8" s="28">
        <v>6.4</v>
      </c>
      <c r="M8" s="28">
        <v>4.43</v>
      </c>
      <c r="N8" s="28">
        <v>-2.98</v>
      </c>
      <c r="P8" s="28">
        <v>3.72</v>
      </c>
      <c r="Q8" s="28">
        <v>-7.67</v>
      </c>
      <c r="R8" s="28">
        <v>-6.84</v>
      </c>
      <c r="S8" s="28">
        <v>0.71</v>
      </c>
      <c r="T8" s="103">
        <v>-16.36</v>
      </c>
      <c r="U8" s="28">
        <v>-0.65</v>
      </c>
      <c r="V8" s="28">
        <v>-15.02</v>
      </c>
      <c r="W8" s="103">
        <v>-15.49</v>
      </c>
      <c r="X8" s="28"/>
      <c r="Y8" s="28">
        <v>-11.93</v>
      </c>
      <c r="Z8" s="103">
        <v>-18.75</v>
      </c>
      <c r="AA8" s="28">
        <v>-18.06</v>
      </c>
      <c r="AB8" s="28">
        <v>-14.47</v>
      </c>
      <c r="AC8" s="28">
        <v>2.69</v>
      </c>
      <c r="AD8" s="28"/>
      <c r="AE8" s="28">
        <v>2.38</v>
      </c>
      <c r="AF8" s="28">
        <v>2.38</v>
      </c>
      <c r="AG8" s="28">
        <v>2.68</v>
      </c>
      <c r="AH8" s="28">
        <v>-4.36</v>
      </c>
      <c r="AI8" s="28">
        <v>37.15</v>
      </c>
      <c r="AJ8" s="28">
        <v>5.9</v>
      </c>
      <c r="AK8" s="28">
        <v>21.97</v>
      </c>
      <c r="AL8" s="28">
        <v>13.2</v>
      </c>
      <c r="AN8" s="28">
        <v>-9.78</v>
      </c>
      <c r="AO8" s="28">
        <v>-6.72</v>
      </c>
      <c r="AP8" s="28">
        <v>-6.72</v>
      </c>
      <c r="AQ8" s="28">
        <v>1.62</v>
      </c>
      <c r="AR8" s="28">
        <v>12.11</v>
      </c>
      <c r="AT8" s="28">
        <v>16.19</v>
      </c>
      <c r="AU8" s="28">
        <v>8.74</v>
      </c>
      <c r="AV8" s="28">
        <v>8.74</v>
      </c>
      <c r="AW8" s="28">
        <v>5.89</v>
      </c>
      <c r="AX8" s="28">
        <v>3.56</v>
      </c>
      <c r="AY8" s="28">
        <v>7.53</v>
      </c>
      <c r="AZ8" s="28">
        <v>16.24</v>
      </c>
      <c r="BA8" s="28">
        <v>5.75</v>
      </c>
      <c r="BB8" s="28">
        <v>5.89</v>
      </c>
      <c r="BC8" s="28"/>
      <c r="BD8" s="28">
        <v>24.97</v>
      </c>
      <c r="BE8" s="28">
        <v>12.07</v>
      </c>
      <c r="BF8" s="28">
        <v>15.4</v>
      </c>
      <c r="BG8" s="28">
        <v>23.85</v>
      </c>
      <c r="BH8" s="236">
        <v>16.44</v>
      </c>
      <c r="BJ8" s="239">
        <v>-8.78</v>
      </c>
      <c r="BK8" s="28">
        <v>21.48</v>
      </c>
      <c r="BL8" s="13">
        <v>23.14</v>
      </c>
      <c r="BM8" s="13">
        <v>9.62</v>
      </c>
      <c r="BN8" s="13">
        <v>14.98</v>
      </c>
      <c r="BO8" s="13">
        <v>13.3</v>
      </c>
      <c r="BP8" s="13">
        <v>7.38</v>
      </c>
      <c r="BQ8" s="13">
        <v>14.98</v>
      </c>
      <c r="BR8" s="13">
        <v>-2.13</v>
      </c>
      <c r="BS8" s="13">
        <v>9.62</v>
      </c>
      <c r="BT8" s="13">
        <v>8.01</v>
      </c>
      <c r="BU8" s="13"/>
      <c r="BV8" s="13">
        <v>55.86</v>
      </c>
      <c r="BW8" s="13">
        <v>1.33</v>
      </c>
      <c r="BX8" s="13"/>
      <c r="BY8" s="13">
        <v>-0.85</v>
      </c>
      <c r="BZ8" s="13">
        <v>2.69</v>
      </c>
      <c r="CA8" s="13">
        <v>15.84</v>
      </c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</row>
    <row r="9">
      <c r="A9" s="69"/>
      <c r="B9" s="28">
        <v>4.4</v>
      </c>
      <c r="C9" s="28">
        <v>2.88</v>
      </c>
      <c r="D9" s="235">
        <v>4.12</v>
      </c>
      <c r="E9" s="235">
        <v>4.43</v>
      </c>
      <c r="F9" s="235">
        <v>4.43</v>
      </c>
      <c r="G9" s="28">
        <v>3.7</v>
      </c>
      <c r="H9" s="28">
        <v>-2.59</v>
      </c>
      <c r="I9" s="28">
        <v>-2.98</v>
      </c>
      <c r="J9" s="28">
        <v>5.52</v>
      </c>
      <c r="K9" s="28">
        <v>-2.98</v>
      </c>
      <c r="L9" s="28">
        <v>4.43</v>
      </c>
      <c r="M9" s="28">
        <v>5.52</v>
      </c>
      <c r="N9" s="28">
        <v>5.52</v>
      </c>
      <c r="P9" s="28">
        <v>-15.33</v>
      </c>
      <c r="Q9" s="103">
        <v>-17.74</v>
      </c>
      <c r="R9" s="28">
        <v>-8.92</v>
      </c>
      <c r="S9" s="28">
        <v>-9.09</v>
      </c>
      <c r="T9" s="28">
        <v>-8.91</v>
      </c>
      <c r="U9" s="28">
        <v>-9.01</v>
      </c>
      <c r="V9" s="28">
        <v>-7.38</v>
      </c>
      <c r="W9" s="28">
        <v>-6.91</v>
      </c>
      <c r="X9" s="28"/>
      <c r="Y9" s="28">
        <v>-11.4</v>
      </c>
      <c r="Z9" s="28">
        <v>-19.16</v>
      </c>
      <c r="AA9" s="28">
        <v>-3.79</v>
      </c>
      <c r="AB9" s="28">
        <v>-13.66</v>
      </c>
      <c r="AC9" s="28">
        <v>-13.08</v>
      </c>
      <c r="AD9" s="28"/>
      <c r="AE9" s="28">
        <v>23.91</v>
      </c>
      <c r="AF9" s="28">
        <v>23.91</v>
      </c>
      <c r="AG9" s="28">
        <v>23.91</v>
      </c>
      <c r="AH9" s="28">
        <v>22.39</v>
      </c>
      <c r="AI9" s="28">
        <v>11.31</v>
      </c>
      <c r="AJ9" s="28">
        <v>15.16</v>
      </c>
      <c r="AK9" s="28">
        <v>2.38</v>
      </c>
      <c r="AL9" s="28">
        <v>4.57</v>
      </c>
      <c r="AN9" s="28">
        <v>-20.18</v>
      </c>
      <c r="AO9" s="28">
        <v>-16.12</v>
      </c>
      <c r="AP9" s="28">
        <v>-10.61</v>
      </c>
      <c r="AQ9" s="28">
        <v>-3.06</v>
      </c>
      <c r="AR9" s="28">
        <v>-3.06</v>
      </c>
      <c r="AT9" s="28">
        <v>8.15</v>
      </c>
      <c r="AU9" s="28">
        <v>5.89</v>
      </c>
      <c r="AV9" s="28">
        <v>6.85</v>
      </c>
      <c r="AW9" s="28">
        <v>8.87</v>
      </c>
      <c r="AX9" s="28">
        <v>4.24</v>
      </c>
      <c r="AY9" s="28">
        <v>4.24</v>
      </c>
      <c r="AZ9" s="28">
        <v>9.83</v>
      </c>
      <c r="BA9" s="28">
        <v>8.42</v>
      </c>
      <c r="BB9" s="28">
        <v>8.15</v>
      </c>
      <c r="BC9" s="28"/>
      <c r="BD9" s="28">
        <v>16.44</v>
      </c>
      <c r="BE9" s="28">
        <v>14.08</v>
      </c>
      <c r="BF9" s="28">
        <v>14.08</v>
      </c>
      <c r="BG9" s="28">
        <v>12.07</v>
      </c>
      <c r="BH9" s="28">
        <v>15.4</v>
      </c>
      <c r="BJ9" s="20">
        <v>-2.79</v>
      </c>
      <c r="BK9" s="28">
        <v>24.77</v>
      </c>
      <c r="BL9" s="13">
        <v>44.25</v>
      </c>
      <c r="BM9" s="13">
        <v>44.25</v>
      </c>
      <c r="BN9" s="13">
        <v>7.38</v>
      </c>
      <c r="BO9" s="13">
        <v>7.38</v>
      </c>
      <c r="BP9" s="13">
        <v>-0.2</v>
      </c>
      <c r="BQ9" s="13">
        <v>10.47</v>
      </c>
      <c r="BR9" s="13">
        <v>13.3</v>
      </c>
      <c r="BS9" s="13">
        <v>21.73</v>
      </c>
      <c r="BT9" s="13">
        <v>8.9</v>
      </c>
      <c r="BU9" s="13"/>
      <c r="BV9" s="13">
        <v>5.17</v>
      </c>
      <c r="BW9" s="13">
        <v>2.69</v>
      </c>
      <c r="BX9" s="13"/>
      <c r="BY9" s="13">
        <v>-4.16</v>
      </c>
      <c r="BZ9" s="13">
        <v>0.0</v>
      </c>
      <c r="CA9" s="13">
        <v>-6.62</v>
      </c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</row>
    <row r="10">
      <c r="A10" s="69"/>
      <c r="B10" s="28">
        <v>-2.98</v>
      </c>
      <c r="C10" s="28">
        <v>4.43</v>
      </c>
      <c r="D10" s="235">
        <v>4.4</v>
      </c>
      <c r="E10" s="235">
        <v>5.2</v>
      </c>
      <c r="F10" s="235">
        <v>5.52</v>
      </c>
      <c r="G10" s="28">
        <v>5.38</v>
      </c>
      <c r="H10" s="28">
        <v>3.97</v>
      </c>
      <c r="I10" s="103">
        <v>-3.72</v>
      </c>
      <c r="J10" s="28">
        <v>-2.98</v>
      </c>
      <c r="K10" s="28">
        <v>5.52</v>
      </c>
      <c r="L10" s="28">
        <v>5.2</v>
      </c>
      <c r="M10" s="28">
        <v>-2.98</v>
      </c>
      <c r="N10" s="28">
        <v>4.4</v>
      </c>
      <c r="P10" s="28">
        <v>-4.7</v>
      </c>
      <c r="Q10" s="28">
        <v>-9.45</v>
      </c>
      <c r="R10" s="28">
        <v>-6.38</v>
      </c>
      <c r="S10" s="28">
        <v>-8.84</v>
      </c>
      <c r="T10" s="28">
        <v>-0.65</v>
      </c>
      <c r="U10" s="28">
        <v>-9.45</v>
      </c>
      <c r="V10" s="28">
        <v>-10.22</v>
      </c>
      <c r="W10" s="28">
        <v>-8.31</v>
      </c>
      <c r="X10" s="28"/>
      <c r="Y10" s="28">
        <v>-12.32</v>
      </c>
      <c r="Z10" s="28">
        <v>-12.75</v>
      </c>
      <c r="AA10" s="28">
        <v>-12.75</v>
      </c>
      <c r="AB10" s="28">
        <v>-12.75</v>
      </c>
      <c r="AC10" s="28">
        <v>-19.2</v>
      </c>
      <c r="AD10" s="28"/>
      <c r="AE10" s="28">
        <v>-4.36</v>
      </c>
      <c r="AF10" s="28">
        <v>-4.36</v>
      </c>
      <c r="AG10" s="28">
        <v>4.57</v>
      </c>
      <c r="AH10" s="28">
        <v>37.15</v>
      </c>
      <c r="AI10" s="28">
        <v>22.68</v>
      </c>
      <c r="AJ10" s="28">
        <v>15.61</v>
      </c>
      <c r="AK10" s="28">
        <v>25.94</v>
      </c>
      <c r="AL10" s="28">
        <v>23.91</v>
      </c>
      <c r="AN10" s="28">
        <v>-8.93</v>
      </c>
      <c r="AO10" s="28">
        <v>1.62</v>
      </c>
      <c r="AP10" s="28">
        <v>-21.97</v>
      </c>
      <c r="AQ10" s="28">
        <v>-14.73</v>
      </c>
      <c r="AR10" s="28">
        <v>-8.59</v>
      </c>
      <c r="AT10" s="28">
        <v>8.74</v>
      </c>
      <c r="AU10" s="28">
        <v>6.85</v>
      </c>
      <c r="AV10" s="28">
        <v>8.15</v>
      </c>
      <c r="AW10" s="28">
        <v>8.42</v>
      </c>
      <c r="AX10" s="28">
        <v>16.24</v>
      </c>
      <c r="AY10" s="28">
        <v>8.88</v>
      </c>
      <c r="AZ10" s="28">
        <v>5.89</v>
      </c>
      <c r="BA10" s="28">
        <v>8.87</v>
      </c>
      <c r="BB10" s="28">
        <v>8.74</v>
      </c>
      <c r="BC10" s="28"/>
      <c r="BD10" s="28">
        <v>15.71</v>
      </c>
      <c r="BE10" s="28">
        <v>16.44</v>
      </c>
      <c r="BF10" s="28">
        <v>10.88</v>
      </c>
      <c r="BG10" s="28">
        <v>0.83</v>
      </c>
      <c r="BH10" s="28">
        <v>12.07</v>
      </c>
      <c r="BJ10" s="20">
        <v>17.91</v>
      </c>
      <c r="BK10" s="28">
        <v>9.62</v>
      </c>
      <c r="BL10" s="13">
        <v>20.17</v>
      </c>
      <c r="BM10" s="13">
        <v>7.38</v>
      </c>
      <c r="BN10" s="13">
        <v>5.35</v>
      </c>
      <c r="BO10" s="13">
        <v>13.27</v>
      </c>
      <c r="BP10" s="13">
        <v>-2.79</v>
      </c>
      <c r="BQ10" s="13">
        <v>13.27</v>
      </c>
      <c r="BR10" s="240">
        <v>26.47</v>
      </c>
      <c r="BS10" s="13">
        <v>5.35</v>
      </c>
      <c r="BT10" s="13">
        <v>-1.41</v>
      </c>
      <c r="BU10" s="13"/>
      <c r="BV10" s="13">
        <v>16.26</v>
      </c>
      <c r="BW10" s="13">
        <v>-8.01</v>
      </c>
      <c r="BX10" s="13"/>
      <c r="BY10" s="13">
        <v>1.33</v>
      </c>
      <c r="BZ10" s="13">
        <v>6.23</v>
      </c>
      <c r="CA10" s="13">
        <v>-5.33</v>
      </c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</row>
    <row r="11">
      <c r="A11" s="69"/>
      <c r="B11" s="28">
        <v>4.24</v>
      </c>
      <c r="C11" s="28">
        <v>4.4</v>
      </c>
      <c r="D11" s="235">
        <v>5.82</v>
      </c>
      <c r="E11" s="235">
        <v>5.57</v>
      </c>
      <c r="F11" s="235">
        <v>4.4</v>
      </c>
      <c r="G11" s="28">
        <v>-3.73</v>
      </c>
      <c r="H11" s="28">
        <v>5.2</v>
      </c>
      <c r="I11" s="28">
        <v>4.56</v>
      </c>
      <c r="J11" s="28">
        <v>4.4</v>
      </c>
      <c r="K11" s="103">
        <v>-3.72</v>
      </c>
      <c r="L11" s="28">
        <v>5.57</v>
      </c>
      <c r="M11" s="103">
        <v>-3.72</v>
      </c>
      <c r="N11" s="28">
        <v>-2.59</v>
      </c>
      <c r="P11" s="28">
        <v>-6.84</v>
      </c>
      <c r="Q11" s="28">
        <v>-7.38</v>
      </c>
      <c r="R11" s="28">
        <v>-6.21</v>
      </c>
      <c r="S11" s="28">
        <v>0.67</v>
      </c>
      <c r="T11" s="28">
        <v>-9.01</v>
      </c>
      <c r="U11" s="28">
        <v>-8.62</v>
      </c>
      <c r="V11" s="28">
        <v>-8.08</v>
      </c>
      <c r="W11" s="28">
        <v>-8.92</v>
      </c>
      <c r="X11" s="28"/>
      <c r="Y11" s="28">
        <v>-13.1</v>
      </c>
      <c r="Z11" s="28">
        <v>-12.32</v>
      </c>
      <c r="AA11" s="28">
        <v>-12.23</v>
      </c>
      <c r="AB11" s="28">
        <v>-3.79</v>
      </c>
      <c r="AC11" s="28">
        <v>-8.12</v>
      </c>
      <c r="AD11" s="28"/>
      <c r="AE11" s="28">
        <v>2.68</v>
      </c>
      <c r="AF11" s="28">
        <v>2.68</v>
      </c>
      <c r="AG11" s="28">
        <v>12.33</v>
      </c>
      <c r="AH11" s="28">
        <v>20.87</v>
      </c>
      <c r="AI11" s="28">
        <v>-6.48</v>
      </c>
      <c r="AJ11" s="28">
        <v>-10.82</v>
      </c>
      <c r="AK11" s="103">
        <v>-12.65</v>
      </c>
      <c r="AL11" s="28">
        <v>2.38</v>
      </c>
      <c r="AN11" s="28">
        <v>-31.35</v>
      </c>
      <c r="AO11" s="28">
        <v>-9.78</v>
      </c>
      <c r="AP11" s="28">
        <v>-7.75</v>
      </c>
      <c r="AQ11" s="28">
        <v>-9.11</v>
      </c>
      <c r="AR11" s="28">
        <v>1.62</v>
      </c>
      <c r="AT11" s="28">
        <v>8.81</v>
      </c>
      <c r="AU11" s="28">
        <v>8.87</v>
      </c>
      <c r="AV11" s="28">
        <v>8.87</v>
      </c>
      <c r="AW11" s="28">
        <v>16.24</v>
      </c>
      <c r="AX11" s="28">
        <v>7.81</v>
      </c>
      <c r="AY11" s="28">
        <v>5.89</v>
      </c>
      <c r="AZ11" s="28">
        <v>7.53</v>
      </c>
      <c r="BA11" s="28">
        <v>8.81</v>
      </c>
      <c r="BB11" s="28">
        <v>8.07</v>
      </c>
      <c r="BC11" s="28"/>
      <c r="BD11" s="28">
        <v>14.08</v>
      </c>
      <c r="BE11" s="28">
        <v>15.4</v>
      </c>
      <c r="BF11" s="28">
        <v>15.42</v>
      </c>
      <c r="BG11" s="28">
        <v>14.09</v>
      </c>
      <c r="BH11" s="28">
        <v>2.77</v>
      </c>
      <c r="BJ11" s="20">
        <v>7.38</v>
      </c>
      <c r="BK11" s="28">
        <v>21.53</v>
      </c>
      <c r="BL11" s="241">
        <v>-2.79</v>
      </c>
      <c r="BM11" s="13">
        <v>41.2</v>
      </c>
      <c r="BN11" s="13">
        <v>-2.13</v>
      </c>
      <c r="BO11" s="13">
        <v>5.35</v>
      </c>
      <c r="BP11" s="13">
        <v>5.35</v>
      </c>
      <c r="BQ11" s="13">
        <v>5.35</v>
      </c>
      <c r="BR11" s="13">
        <v>-10.7</v>
      </c>
      <c r="BS11" s="13">
        <v>10.47</v>
      </c>
      <c r="BT11" s="13">
        <v>-7.59</v>
      </c>
      <c r="BU11" s="13"/>
      <c r="BV11" s="13">
        <v>14.56</v>
      </c>
      <c r="BW11" s="13">
        <v>-13.38</v>
      </c>
      <c r="BX11" s="13"/>
      <c r="BY11" s="13">
        <v>-5.33</v>
      </c>
      <c r="BZ11" s="13">
        <v>-13.38</v>
      </c>
      <c r="CA11" s="13">
        <v>51.66</v>
      </c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</row>
    <row r="12">
      <c r="A12" s="69"/>
      <c r="B12" s="28">
        <v>4.12</v>
      </c>
      <c r="C12" s="28">
        <v>-2.98</v>
      </c>
      <c r="D12" s="235">
        <v>0.0</v>
      </c>
      <c r="E12" s="235">
        <v>4.39</v>
      </c>
      <c r="F12" s="235">
        <v>4.56</v>
      </c>
      <c r="G12" s="28">
        <v>2.88</v>
      </c>
      <c r="H12" s="28">
        <v>3.79</v>
      </c>
      <c r="I12" s="28">
        <v>-2.46</v>
      </c>
      <c r="J12" s="28">
        <v>4.12</v>
      </c>
      <c r="K12" s="28">
        <v>6.4</v>
      </c>
      <c r="L12" s="28">
        <v>4.39</v>
      </c>
      <c r="M12" s="28">
        <v>4.4</v>
      </c>
      <c r="N12" s="28">
        <v>-2.81</v>
      </c>
      <c r="P12" s="28">
        <v>-17.2</v>
      </c>
      <c r="Q12" s="28">
        <v>-8.13</v>
      </c>
      <c r="R12" s="28">
        <v>-7.38</v>
      </c>
      <c r="S12" s="28">
        <v>-8.31</v>
      </c>
      <c r="T12" s="28">
        <v>-15.09</v>
      </c>
      <c r="U12" s="28">
        <v>-9.4</v>
      </c>
      <c r="V12" s="28">
        <v>-15.49</v>
      </c>
      <c r="W12" s="28">
        <v>-4.81</v>
      </c>
      <c r="X12" s="28"/>
      <c r="Y12" s="28">
        <v>-20.58</v>
      </c>
      <c r="Z12" s="28">
        <v>-8.12</v>
      </c>
      <c r="AA12" s="28">
        <v>-11.59</v>
      </c>
      <c r="AB12" s="28">
        <v>-12.23</v>
      </c>
      <c r="AC12" s="28">
        <v>-11.93</v>
      </c>
      <c r="AD12" s="28"/>
      <c r="AE12" s="103">
        <v>-15.47</v>
      </c>
      <c r="AF12" s="103">
        <v>-15.47</v>
      </c>
      <c r="AG12" s="28">
        <v>14.15</v>
      </c>
      <c r="AH12" s="28">
        <v>24.27</v>
      </c>
      <c r="AI12" s="28">
        <v>4.93</v>
      </c>
      <c r="AJ12" s="28">
        <v>25.94</v>
      </c>
      <c r="AK12" s="28">
        <v>4.57</v>
      </c>
      <c r="AL12" s="28">
        <v>34.69</v>
      </c>
      <c r="AN12" s="28">
        <v>11.21</v>
      </c>
      <c r="AO12" s="28">
        <v>11.21</v>
      </c>
      <c r="AP12" s="28">
        <v>-10.24</v>
      </c>
      <c r="AQ12" s="28">
        <v>-10.28</v>
      </c>
      <c r="AR12" s="28">
        <v>18.14</v>
      </c>
      <c r="AT12" s="28">
        <v>8.87</v>
      </c>
      <c r="AU12" s="28">
        <v>8.15</v>
      </c>
      <c r="AV12" s="28">
        <v>8.07</v>
      </c>
      <c r="AW12" s="28">
        <v>7.6</v>
      </c>
      <c r="AX12" s="28">
        <v>8.88</v>
      </c>
      <c r="AY12" s="28">
        <v>-4.26</v>
      </c>
      <c r="AZ12" s="28">
        <v>8.88</v>
      </c>
      <c r="BA12" s="28">
        <v>7.6</v>
      </c>
      <c r="BB12" s="28">
        <v>8.28</v>
      </c>
      <c r="BC12" s="28"/>
      <c r="BD12" s="28">
        <v>15.12</v>
      </c>
      <c r="BE12" s="28">
        <v>16.59</v>
      </c>
      <c r="BF12" s="28">
        <v>24.97</v>
      </c>
      <c r="BG12" s="28">
        <v>11.43</v>
      </c>
      <c r="BH12" s="28">
        <v>14.63</v>
      </c>
      <c r="BJ12" s="20">
        <v>9.81</v>
      </c>
      <c r="BK12" s="28">
        <v>17.03</v>
      </c>
      <c r="BL12" s="13">
        <v>21.92</v>
      </c>
      <c r="BM12" s="13">
        <v>5.35</v>
      </c>
      <c r="BN12" s="13">
        <v>13.27</v>
      </c>
      <c r="BO12" s="13">
        <v>-2.13</v>
      </c>
      <c r="BP12" s="13">
        <v>1.32</v>
      </c>
      <c r="BQ12" s="13">
        <v>13.3</v>
      </c>
      <c r="BR12" s="13">
        <v>-1.41</v>
      </c>
      <c r="BS12" s="13">
        <v>7.15</v>
      </c>
      <c r="BT12" s="13">
        <v>23.9</v>
      </c>
      <c r="BU12" s="13"/>
      <c r="BV12" s="13">
        <v>15.88</v>
      </c>
      <c r="BW12" s="13">
        <v>15.84</v>
      </c>
      <c r="BX12" s="13"/>
      <c r="BY12" s="13">
        <v>3.1</v>
      </c>
      <c r="BZ12" s="13">
        <v>-5.33</v>
      </c>
      <c r="CA12" s="13">
        <v>15.05</v>
      </c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</row>
    <row r="13">
      <c r="A13" s="69"/>
      <c r="B13" s="28">
        <v>33.5</v>
      </c>
      <c r="C13" s="28">
        <v>-1.13</v>
      </c>
      <c r="D13" s="242">
        <v>-3.72</v>
      </c>
      <c r="E13" s="235">
        <v>4.77</v>
      </c>
      <c r="F13" s="235">
        <v>5.38</v>
      </c>
      <c r="G13" s="27">
        <v>15.14</v>
      </c>
      <c r="H13" s="27">
        <v>4.28</v>
      </c>
      <c r="I13" s="28">
        <v>3.7</v>
      </c>
      <c r="J13" s="103">
        <v>-3.72</v>
      </c>
      <c r="K13" s="28">
        <v>5.57</v>
      </c>
      <c r="L13" s="28">
        <v>4.77</v>
      </c>
      <c r="M13" s="28">
        <v>4.12</v>
      </c>
      <c r="N13" s="28">
        <v>3.33</v>
      </c>
      <c r="P13" s="28">
        <v>-5.95</v>
      </c>
      <c r="Q13" s="28">
        <v>-6.84</v>
      </c>
      <c r="R13" s="28">
        <v>-6.91</v>
      </c>
      <c r="S13" s="28">
        <v>-8.99</v>
      </c>
      <c r="T13" s="28">
        <v>-8.84</v>
      </c>
      <c r="U13" s="28">
        <v>-15.09</v>
      </c>
      <c r="V13" s="28">
        <v>-16.17</v>
      </c>
      <c r="W13" s="28">
        <v>-3.58</v>
      </c>
      <c r="X13" s="28"/>
      <c r="Y13" s="28">
        <v>-13.08</v>
      </c>
      <c r="Z13" s="28">
        <v>4.06</v>
      </c>
      <c r="AA13" s="28">
        <v>-9.25</v>
      </c>
      <c r="AB13" s="28">
        <v>-12.23</v>
      </c>
      <c r="AC13" s="28">
        <v>2.38</v>
      </c>
      <c r="AD13" s="28"/>
      <c r="AE13" s="28">
        <v>34.69</v>
      </c>
      <c r="AF13" s="28">
        <v>34.69</v>
      </c>
      <c r="AG13" s="28">
        <v>8.02</v>
      </c>
      <c r="AH13" s="28">
        <v>23.58</v>
      </c>
      <c r="AI13" s="28">
        <v>-3.11</v>
      </c>
      <c r="AJ13" s="28">
        <v>-0.09</v>
      </c>
      <c r="AK13" s="28">
        <v>-12.13</v>
      </c>
      <c r="AL13" s="28">
        <v>-0.09</v>
      </c>
      <c r="AN13" s="28">
        <v>-12.83</v>
      </c>
      <c r="AO13" s="28">
        <v>-10.28</v>
      </c>
      <c r="AP13" s="28">
        <v>-17.59</v>
      </c>
      <c r="AQ13" s="28">
        <v>11.21</v>
      </c>
      <c r="AR13" s="28">
        <v>11.84</v>
      </c>
      <c r="AT13" s="103">
        <v>-11.7</v>
      </c>
      <c r="AU13" s="103">
        <v>-11.45</v>
      </c>
      <c r="AV13" s="28">
        <v>16.19</v>
      </c>
      <c r="AW13" s="28">
        <v>3.56</v>
      </c>
      <c r="AX13" s="28">
        <v>8.87</v>
      </c>
      <c r="AY13" s="28">
        <v>8.41</v>
      </c>
      <c r="AZ13" s="103">
        <v>-4.26</v>
      </c>
      <c r="BA13" s="103">
        <v>-11.45</v>
      </c>
      <c r="BB13" s="28">
        <v>8.81</v>
      </c>
      <c r="BC13" s="28"/>
      <c r="BD13" s="28">
        <v>15.8</v>
      </c>
      <c r="BE13" s="28">
        <v>15.71</v>
      </c>
      <c r="BF13" s="28">
        <v>16.59</v>
      </c>
      <c r="BG13" s="28">
        <v>16.21</v>
      </c>
      <c r="BH13" s="28">
        <v>3.34</v>
      </c>
      <c r="BJ13" s="20">
        <v>9.48</v>
      </c>
      <c r="BK13" s="28">
        <v>6.73</v>
      </c>
      <c r="BL13" s="13">
        <v>17.28</v>
      </c>
      <c r="BM13" s="13">
        <v>-2.13</v>
      </c>
      <c r="BN13" s="13">
        <v>15.7</v>
      </c>
      <c r="BO13" s="13">
        <v>10.47</v>
      </c>
      <c r="BP13" s="13">
        <v>1.66</v>
      </c>
      <c r="BQ13" s="13">
        <v>26.47</v>
      </c>
      <c r="BR13" s="13">
        <v>7.38</v>
      </c>
      <c r="BS13" s="13">
        <v>5.76</v>
      </c>
      <c r="BT13" s="13">
        <v>10.16</v>
      </c>
      <c r="BU13" s="13"/>
      <c r="BV13" s="13">
        <v>51.66</v>
      </c>
      <c r="BW13" s="13">
        <v>3.1</v>
      </c>
      <c r="BX13" s="13"/>
      <c r="BY13" s="13">
        <v>3.21</v>
      </c>
      <c r="BZ13" s="13">
        <v>-9.08</v>
      </c>
      <c r="CA13" s="13">
        <v>-5.87</v>
      </c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</row>
    <row r="14">
      <c r="A14" s="69"/>
      <c r="B14" s="28">
        <v>7.8</v>
      </c>
      <c r="C14" s="28">
        <v>4.56</v>
      </c>
      <c r="D14" s="235">
        <v>-2.59</v>
      </c>
      <c r="E14" s="242">
        <v>-2.98</v>
      </c>
      <c r="F14" s="235">
        <v>2.97</v>
      </c>
      <c r="G14" s="28">
        <v>-0.59</v>
      </c>
      <c r="H14" s="28">
        <v>-10.24</v>
      </c>
      <c r="I14" s="28">
        <v>33.5</v>
      </c>
      <c r="J14" s="28">
        <v>5.57</v>
      </c>
      <c r="K14" s="28">
        <v>5.02</v>
      </c>
      <c r="L14" s="28">
        <v>-2.98</v>
      </c>
      <c r="M14" s="28">
        <v>5.57</v>
      </c>
      <c r="N14" s="103">
        <v>-3.72</v>
      </c>
      <c r="P14" s="28">
        <v>-4.81</v>
      </c>
      <c r="Q14" s="28">
        <v>-6.53</v>
      </c>
      <c r="R14" s="28">
        <v>-6.11</v>
      </c>
      <c r="S14" s="28">
        <v>-15.49</v>
      </c>
      <c r="T14" s="28">
        <v>-8.18</v>
      </c>
      <c r="U14" s="28">
        <v>-8.91</v>
      </c>
      <c r="V14" s="28">
        <v>-4.7</v>
      </c>
      <c r="W14" s="28">
        <v>-15.02</v>
      </c>
      <c r="X14" s="28"/>
      <c r="Y14" s="28">
        <v>-11.44</v>
      </c>
      <c r="Z14" s="28">
        <v>-19.11</v>
      </c>
      <c r="AA14" s="28">
        <v>-4.66</v>
      </c>
      <c r="AB14" s="28">
        <v>-12.48</v>
      </c>
      <c r="AC14" s="28">
        <v>-9.73</v>
      </c>
      <c r="AD14" s="28"/>
      <c r="AE14" s="28">
        <v>-11.63</v>
      </c>
      <c r="AF14" s="28">
        <v>-11.63</v>
      </c>
      <c r="AG14" s="28">
        <v>1.27</v>
      </c>
      <c r="AH14" s="28">
        <v>4.57</v>
      </c>
      <c r="AI14" s="28">
        <v>24.27</v>
      </c>
      <c r="AJ14" s="28">
        <v>34.69</v>
      </c>
      <c r="AK14" s="28">
        <v>22.68</v>
      </c>
      <c r="AL14" s="28">
        <v>25.94</v>
      </c>
      <c r="AN14" s="28">
        <v>-6.53</v>
      </c>
      <c r="AO14" s="28">
        <v>13.71</v>
      </c>
      <c r="AP14" s="28">
        <v>-10.79</v>
      </c>
      <c r="AQ14" s="28">
        <v>-17.59</v>
      </c>
      <c r="AR14" s="28">
        <v>0.85</v>
      </c>
      <c r="AT14" s="28">
        <v>-11.45</v>
      </c>
      <c r="AU14" s="28">
        <v>-11.7</v>
      </c>
      <c r="AV14" s="28">
        <v>8.52</v>
      </c>
      <c r="AW14" s="28">
        <v>8.88</v>
      </c>
      <c r="AX14" s="28">
        <v>8.27</v>
      </c>
      <c r="AY14" s="28">
        <v>9.04</v>
      </c>
      <c r="AZ14" s="28">
        <v>8.58</v>
      </c>
      <c r="BA14" s="27">
        <v>16.24</v>
      </c>
      <c r="BB14" s="28">
        <v>8.87</v>
      </c>
      <c r="BC14" s="28"/>
      <c r="BD14" s="28">
        <v>16.59</v>
      </c>
      <c r="BE14" s="28">
        <v>15.12</v>
      </c>
      <c r="BF14" s="28">
        <v>1.61</v>
      </c>
      <c r="BG14" s="28">
        <v>16.1</v>
      </c>
      <c r="BH14" s="28">
        <v>-9.35</v>
      </c>
      <c r="BJ14" s="20">
        <v>-0.2</v>
      </c>
      <c r="BK14" s="28">
        <v>-8.78</v>
      </c>
      <c r="BL14" s="13">
        <v>41.83</v>
      </c>
      <c r="BM14" s="13">
        <v>9.17</v>
      </c>
      <c r="BN14" s="13">
        <v>31.48</v>
      </c>
      <c r="BO14" s="13">
        <v>9.62</v>
      </c>
      <c r="BP14" s="13">
        <v>23.32</v>
      </c>
      <c r="BQ14" s="13">
        <v>0.02</v>
      </c>
      <c r="BR14" s="13">
        <v>6.21</v>
      </c>
      <c r="BS14" s="13">
        <v>-0.93</v>
      </c>
      <c r="BT14" s="13">
        <v>46.12</v>
      </c>
      <c r="BU14" s="13"/>
      <c r="BV14" s="13">
        <v>18.08</v>
      </c>
      <c r="BW14" s="13">
        <v>34.72</v>
      </c>
      <c r="BX14" s="13"/>
      <c r="BY14" s="13">
        <v>-3.0</v>
      </c>
      <c r="BZ14" s="13">
        <v>5.17</v>
      </c>
      <c r="CA14" s="13">
        <v>3.1</v>
      </c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</row>
    <row r="15">
      <c r="A15" s="69"/>
      <c r="B15" s="28">
        <v>1.1</v>
      </c>
      <c r="C15" s="28">
        <v>5.52</v>
      </c>
      <c r="D15" s="235">
        <v>4.63</v>
      </c>
      <c r="E15" s="235">
        <v>5.02</v>
      </c>
      <c r="F15" s="235">
        <v>3.7</v>
      </c>
      <c r="G15" s="28">
        <v>-3.72</v>
      </c>
      <c r="H15" s="28">
        <v>-2.89</v>
      </c>
      <c r="I15" s="28">
        <v>5.52</v>
      </c>
      <c r="J15" s="28">
        <v>5.51</v>
      </c>
      <c r="K15" s="28">
        <v>4.77</v>
      </c>
      <c r="L15" s="28">
        <v>5.02</v>
      </c>
      <c r="M15" s="28">
        <v>5.02</v>
      </c>
      <c r="N15" s="28">
        <v>4.87</v>
      </c>
      <c r="P15" s="28">
        <v>-6.38</v>
      </c>
      <c r="Q15" s="28">
        <v>-4.7</v>
      </c>
      <c r="R15" s="103">
        <v>-15.14</v>
      </c>
      <c r="S15" s="28">
        <v>-8.91</v>
      </c>
      <c r="T15" s="28">
        <v>-9.45</v>
      </c>
      <c r="U15" s="28">
        <v>-8.18</v>
      </c>
      <c r="V15" s="103">
        <v>-17.74</v>
      </c>
      <c r="W15" s="28">
        <v>-6.84</v>
      </c>
      <c r="X15" s="28"/>
      <c r="Y15" s="103">
        <v>-7.45</v>
      </c>
      <c r="Z15" s="28">
        <v>-11.93</v>
      </c>
      <c r="AA15" s="28">
        <v>-12.64</v>
      </c>
      <c r="AB15" s="28">
        <v>-18.75</v>
      </c>
      <c r="AC15" s="28">
        <v>-19.22</v>
      </c>
      <c r="AD15" s="28"/>
      <c r="AE15" s="28">
        <v>14.85</v>
      </c>
      <c r="AF15" s="28">
        <v>14.85</v>
      </c>
      <c r="AG15" s="103">
        <v>-4.36</v>
      </c>
      <c r="AH15" s="28">
        <v>25.94</v>
      </c>
      <c r="AI15" s="28">
        <v>-5.57</v>
      </c>
      <c r="AJ15" s="28">
        <v>15.27</v>
      </c>
      <c r="AK15" s="27">
        <v>41.1</v>
      </c>
      <c r="AL15" s="28">
        <v>2.68</v>
      </c>
      <c r="AN15" s="103">
        <v>-14.73</v>
      </c>
      <c r="AO15" s="28">
        <v>-9.11</v>
      </c>
      <c r="AP15" s="28">
        <v>-8.93</v>
      </c>
      <c r="AQ15" s="28">
        <v>25.19</v>
      </c>
      <c r="AR15" s="28">
        <v>11.5</v>
      </c>
      <c r="AT15" s="28">
        <v>8.07</v>
      </c>
      <c r="AU15" s="28">
        <v>8.07</v>
      </c>
      <c r="AV15" s="28">
        <v>7.19</v>
      </c>
      <c r="AW15" s="28">
        <v>4.24</v>
      </c>
      <c r="AX15" s="28">
        <v>7.6</v>
      </c>
      <c r="AY15" s="28">
        <v>5.87</v>
      </c>
      <c r="AZ15" s="28">
        <v>4.24</v>
      </c>
      <c r="BA15" s="28">
        <v>9.83</v>
      </c>
      <c r="BB15" s="28">
        <v>7.83</v>
      </c>
      <c r="BC15" s="28"/>
      <c r="BD15" s="28">
        <v>15.24</v>
      </c>
      <c r="BE15" s="28">
        <v>15.05</v>
      </c>
      <c r="BF15" s="28">
        <v>15.28</v>
      </c>
      <c r="BG15" s="28">
        <v>16.37</v>
      </c>
      <c r="BH15" s="28">
        <v>15.71</v>
      </c>
      <c r="BJ15" s="20">
        <v>21.53</v>
      </c>
      <c r="BK15" s="28">
        <v>31.96</v>
      </c>
      <c r="BL15" s="13">
        <v>5.22</v>
      </c>
      <c r="BM15" s="13">
        <v>22.99</v>
      </c>
      <c r="BN15" s="13">
        <v>9.62</v>
      </c>
      <c r="BO15" s="13">
        <v>12.5</v>
      </c>
      <c r="BP15" s="13">
        <v>-2.13</v>
      </c>
      <c r="BQ15" s="13">
        <v>-2.13</v>
      </c>
      <c r="BR15" s="13">
        <v>12.5</v>
      </c>
      <c r="BS15" s="13">
        <v>38.1</v>
      </c>
      <c r="BT15" s="13">
        <v>40.64</v>
      </c>
      <c r="BU15" s="13"/>
      <c r="BV15" s="13">
        <v>2.69</v>
      </c>
      <c r="BW15" s="13">
        <v>51.66</v>
      </c>
      <c r="BX15" s="13"/>
      <c r="BY15" s="13">
        <v>5.17</v>
      </c>
      <c r="BZ15" s="13">
        <v>4.33</v>
      </c>
      <c r="CA15" s="13">
        <v>34.72</v>
      </c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</row>
    <row r="16">
      <c r="A16" s="69"/>
      <c r="B16" s="28">
        <v>5.51</v>
      </c>
      <c r="C16" s="103">
        <v>-3.72</v>
      </c>
      <c r="D16" s="235">
        <v>5.38</v>
      </c>
      <c r="E16" s="235">
        <v>5.4</v>
      </c>
      <c r="F16" s="235">
        <v>4.78</v>
      </c>
      <c r="G16" s="27">
        <v>16.18</v>
      </c>
      <c r="H16" s="27">
        <v>4.3</v>
      </c>
      <c r="I16" s="28">
        <v>4.4</v>
      </c>
      <c r="J16" s="28">
        <v>4.81</v>
      </c>
      <c r="K16" s="28">
        <v>4.12</v>
      </c>
      <c r="L16" s="28">
        <v>5.4</v>
      </c>
      <c r="M16" s="28">
        <v>4.77</v>
      </c>
      <c r="N16" s="28">
        <v>5.38</v>
      </c>
      <c r="P16" s="28">
        <v>-6.21</v>
      </c>
      <c r="Q16" s="28">
        <v>-6.21</v>
      </c>
      <c r="R16" s="28">
        <v>-7.14</v>
      </c>
      <c r="S16" s="28">
        <v>-8.33</v>
      </c>
      <c r="T16" s="28">
        <v>-8.99</v>
      </c>
      <c r="U16" s="28">
        <v>-16.36</v>
      </c>
      <c r="V16" s="27">
        <v>8.73</v>
      </c>
      <c r="W16" s="28">
        <v>-8.67</v>
      </c>
      <c r="X16" s="28"/>
      <c r="Y16" s="28">
        <v>-19.11</v>
      </c>
      <c r="Z16" s="28">
        <v>-13.66</v>
      </c>
      <c r="AA16" s="28">
        <v>-13.29</v>
      </c>
      <c r="AB16" s="28">
        <v>-13.0</v>
      </c>
      <c r="AC16" s="28">
        <v>3.52</v>
      </c>
      <c r="AD16" s="28"/>
      <c r="AE16" s="28">
        <v>23.6</v>
      </c>
      <c r="AF16" s="28">
        <v>23.6</v>
      </c>
      <c r="AG16" s="28">
        <v>23.69</v>
      </c>
      <c r="AH16" s="28">
        <v>4.93</v>
      </c>
      <c r="AI16" s="28">
        <v>-5.66</v>
      </c>
      <c r="AJ16" s="28">
        <v>20.87</v>
      </c>
      <c r="AK16" s="28">
        <v>-3.61</v>
      </c>
      <c r="AL16" s="28">
        <v>41.1</v>
      </c>
      <c r="AN16" s="28">
        <v>-9.11</v>
      </c>
      <c r="AO16" s="28">
        <v>15.59</v>
      </c>
      <c r="AP16" s="28">
        <v>13.56</v>
      </c>
      <c r="AQ16" s="28">
        <v>-16.3</v>
      </c>
      <c r="AR16" s="28">
        <v>13.71</v>
      </c>
      <c r="AT16" s="28">
        <v>8.28</v>
      </c>
      <c r="AU16" s="28">
        <v>8.42</v>
      </c>
      <c r="AV16" s="28">
        <v>7.83</v>
      </c>
      <c r="AW16" s="28">
        <v>9.83</v>
      </c>
      <c r="AX16" s="28">
        <v>4.39</v>
      </c>
      <c r="AY16" s="28">
        <v>7.83</v>
      </c>
      <c r="AZ16" s="28">
        <v>8.87</v>
      </c>
      <c r="BA16" s="28">
        <v>5.42</v>
      </c>
      <c r="BB16" s="28">
        <v>8.33</v>
      </c>
      <c r="BC16" s="28"/>
      <c r="BD16" s="28">
        <v>15.4</v>
      </c>
      <c r="BE16" s="28">
        <v>15.42</v>
      </c>
      <c r="BF16" s="28">
        <v>16.04</v>
      </c>
      <c r="BG16" s="28">
        <v>11.99</v>
      </c>
      <c r="BH16" s="28">
        <v>24.97</v>
      </c>
      <c r="BJ16" s="20">
        <v>9.25</v>
      </c>
      <c r="BK16" s="28">
        <v>22.74</v>
      </c>
      <c r="BL16" s="13">
        <v>22.99</v>
      </c>
      <c r="BM16" s="241">
        <v>-8.78</v>
      </c>
      <c r="BN16" s="13">
        <v>41.2</v>
      </c>
      <c r="BO16" s="13">
        <v>26.47</v>
      </c>
      <c r="BP16" s="13">
        <v>8.1</v>
      </c>
      <c r="BQ16" s="13">
        <v>12.5</v>
      </c>
      <c r="BR16" s="13">
        <v>5.35</v>
      </c>
      <c r="BS16" s="13">
        <v>24.61</v>
      </c>
      <c r="BT16" s="13">
        <v>-0.01</v>
      </c>
      <c r="BU16" s="13"/>
      <c r="BV16" s="241">
        <v>11.9</v>
      </c>
      <c r="BW16" s="13">
        <v>-7.05</v>
      </c>
      <c r="BX16" s="13"/>
      <c r="BY16" s="13">
        <v>15.84</v>
      </c>
      <c r="BZ16" s="13">
        <v>6.33</v>
      </c>
      <c r="CA16" s="13">
        <v>-0.85</v>
      </c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</row>
    <row r="17">
      <c r="A17" s="69"/>
      <c r="B17" s="28">
        <v>-2.59</v>
      </c>
      <c r="C17" s="28">
        <v>-3.73</v>
      </c>
      <c r="D17" s="235">
        <v>-2.98</v>
      </c>
      <c r="E17" s="235">
        <v>-0.95</v>
      </c>
      <c r="F17" s="235">
        <v>5.49</v>
      </c>
      <c r="G17" s="27">
        <v>10.04</v>
      </c>
      <c r="H17" s="27">
        <v>7.8</v>
      </c>
      <c r="I17" s="28">
        <v>2.97</v>
      </c>
      <c r="J17" s="28">
        <v>4.77</v>
      </c>
      <c r="K17" s="28">
        <v>4.39</v>
      </c>
      <c r="L17" s="28">
        <v>5.52</v>
      </c>
      <c r="M17" s="28">
        <v>4.81</v>
      </c>
      <c r="N17" s="28">
        <v>2.22</v>
      </c>
      <c r="P17" s="28">
        <v>-4.01</v>
      </c>
      <c r="Q17" s="28">
        <v>-10.22</v>
      </c>
      <c r="R17" s="28">
        <v>-15.49</v>
      </c>
      <c r="S17" s="28">
        <v>-8.62</v>
      </c>
      <c r="T17" s="28">
        <v>-8.62</v>
      </c>
      <c r="U17" s="28">
        <v>-8.63</v>
      </c>
      <c r="V17" s="28">
        <v>3.72</v>
      </c>
      <c r="W17" s="28">
        <v>-2.68</v>
      </c>
      <c r="X17" s="28"/>
      <c r="Y17" s="28">
        <v>-13.45</v>
      </c>
      <c r="Z17" s="28">
        <v>5.02</v>
      </c>
      <c r="AA17" s="28">
        <v>-20.14</v>
      </c>
      <c r="AB17" s="28">
        <v>-11.7</v>
      </c>
      <c r="AC17" s="28">
        <v>-12.32</v>
      </c>
      <c r="AD17" s="28"/>
      <c r="AE17" s="28">
        <v>4.57</v>
      </c>
      <c r="AF17" s="28">
        <v>4.57</v>
      </c>
      <c r="AG17" s="28">
        <v>1.64</v>
      </c>
      <c r="AH17" s="28">
        <v>2.15</v>
      </c>
      <c r="AI17" s="28">
        <v>6.2</v>
      </c>
      <c r="AJ17" s="28">
        <v>4.57</v>
      </c>
      <c r="AK17" s="28">
        <v>20.87</v>
      </c>
      <c r="AL17" s="103">
        <v>-15.47</v>
      </c>
      <c r="AN17" s="28">
        <v>0.63</v>
      </c>
      <c r="AO17" s="103">
        <v>-14.73</v>
      </c>
      <c r="AP17" s="28">
        <v>-1.36</v>
      </c>
      <c r="AQ17" s="28">
        <v>-7.29</v>
      </c>
      <c r="AR17" s="28">
        <v>31.91</v>
      </c>
      <c r="AT17" s="28">
        <v>8.42</v>
      </c>
      <c r="AU17" s="28">
        <v>8.81</v>
      </c>
      <c r="AV17" s="28">
        <v>9.46</v>
      </c>
      <c r="AW17" s="28">
        <v>7.81</v>
      </c>
      <c r="AX17" s="28">
        <v>4.26</v>
      </c>
      <c r="AY17" s="28">
        <v>4.26</v>
      </c>
      <c r="AZ17" s="28">
        <v>6.66</v>
      </c>
      <c r="BA17" s="28">
        <v>-4.47</v>
      </c>
      <c r="BB17" s="28">
        <v>-4.34</v>
      </c>
      <c r="BC17" s="28"/>
      <c r="BD17" s="28">
        <v>15.05</v>
      </c>
      <c r="BE17" s="28">
        <v>1.61</v>
      </c>
      <c r="BF17" s="28">
        <v>14.51</v>
      </c>
      <c r="BG17" s="28">
        <v>1.26</v>
      </c>
      <c r="BH17" s="28">
        <v>15.28</v>
      </c>
      <c r="BJ17" s="20">
        <v>9.17</v>
      </c>
      <c r="BK17" s="28">
        <v>20.39</v>
      </c>
      <c r="BL17" s="13">
        <v>12.29</v>
      </c>
      <c r="BM17" s="13">
        <v>9.23</v>
      </c>
      <c r="BN17" s="13">
        <v>10.47</v>
      </c>
      <c r="BO17" s="13">
        <v>5.76</v>
      </c>
      <c r="BP17" s="13">
        <v>-8.78</v>
      </c>
      <c r="BQ17" s="13">
        <v>-10.7</v>
      </c>
      <c r="BR17" s="13">
        <v>14.98</v>
      </c>
      <c r="BS17" s="13">
        <v>8.97</v>
      </c>
      <c r="BT17" s="13">
        <v>9.63</v>
      </c>
      <c r="BU17" s="13"/>
      <c r="BV17" s="13">
        <v>25.24</v>
      </c>
      <c r="BW17" s="13">
        <v>1.72</v>
      </c>
      <c r="BX17" s="13"/>
      <c r="BY17" s="13">
        <v>51.66</v>
      </c>
      <c r="BZ17" s="13">
        <v>14.48</v>
      </c>
      <c r="CA17" s="13">
        <v>14.18</v>
      </c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</row>
    <row r="18">
      <c r="A18" s="69"/>
      <c r="B18" s="28">
        <v>4.56</v>
      </c>
      <c r="C18" s="28">
        <v>3.51</v>
      </c>
      <c r="D18" s="235">
        <v>0.47</v>
      </c>
      <c r="E18" s="235">
        <v>5.52</v>
      </c>
      <c r="F18" s="235">
        <v>-2.98</v>
      </c>
      <c r="G18" s="28">
        <v>-0.06</v>
      </c>
      <c r="H18" s="28">
        <v>33.5</v>
      </c>
      <c r="I18" s="28">
        <v>4.35</v>
      </c>
      <c r="J18" s="28">
        <v>3.33</v>
      </c>
      <c r="K18" s="28">
        <v>5.4</v>
      </c>
      <c r="L18" s="28">
        <v>-0.95</v>
      </c>
      <c r="M18" s="28">
        <v>6.4</v>
      </c>
      <c r="N18" s="28">
        <v>4.28</v>
      </c>
      <c r="P18" s="28">
        <v>-6.91</v>
      </c>
      <c r="Q18" s="28">
        <v>-15.68</v>
      </c>
      <c r="R18" s="28">
        <v>-15.02</v>
      </c>
      <c r="S18" s="28">
        <v>-8.74</v>
      </c>
      <c r="T18" s="28">
        <v>-8.62</v>
      </c>
      <c r="U18" s="28">
        <v>-9.01</v>
      </c>
      <c r="V18" s="28">
        <v>-6.53</v>
      </c>
      <c r="W18" s="28">
        <v>-4.7</v>
      </c>
      <c r="X18" s="28"/>
      <c r="Y18" s="28">
        <v>-18.75</v>
      </c>
      <c r="Z18" s="28">
        <v>-7.45</v>
      </c>
      <c r="AA18" s="28">
        <v>-19.11</v>
      </c>
      <c r="AB18" s="28">
        <v>-3.44</v>
      </c>
      <c r="AC18" s="28">
        <v>1.65</v>
      </c>
      <c r="AD18" s="28"/>
      <c r="AE18" s="28">
        <v>12.33</v>
      </c>
      <c r="AF18" s="28">
        <v>12.33</v>
      </c>
      <c r="AG18" s="28">
        <v>1.18</v>
      </c>
      <c r="AH18" s="28">
        <v>11.73</v>
      </c>
      <c r="AI18" s="28">
        <v>9.54</v>
      </c>
      <c r="AJ18" s="28">
        <v>22.45</v>
      </c>
      <c r="AK18" s="28">
        <v>11.73</v>
      </c>
      <c r="AL18" s="28">
        <v>-12.13</v>
      </c>
      <c r="AN18" s="28">
        <v>-17.59</v>
      </c>
      <c r="AO18" s="28">
        <v>-10.85</v>
      </c>
      <c r="AP18" s="28">
        <v>-9.11</v>
      </c>
      <c r="AQ18" s="28">
        <v>-8.49</v>
      </c>
      <c r="AR18" s="28">
        <v>-4.35</v>
      </c>
      <c r="AT18" s="28">
        <v>6.85</v>
      </c>
      <c r="AU18" s="28">
        <v>8.28</v>
      </c>
      <c r="AV18" s="28">
        <v>-4.34</v>
      </c>
      <c r="AW18" s="103">
        <v>-4.47</v>
      </c>
      <c r="AX18" s="28">
        <v>8.87</v>
      </c>
      <c r="AY18" s="28">
        <v>3.56</v>
      </c>
      <c r="AZ18" s="28">
        <v>7.46</v>
      </c>
      <c r="BA18" s="28">
        <v>8.28</v>
      </c>
      <c r="BB18" s="28">
        <v>3.91</v>
      </c>
      <c r="BC18" s="28"/>
      <c r="BD18" s="28">
        <v>14.18</v>
      </c>
      <c r="BE18" s="28">
        <v>10.88</v>
      </c>
      <c r="BF18" s="28">
        <v>15.12</v>
      </c>
      <c r="BG18" s="28">
        <v>15.05</v>
      </c>
      <c r="BH18" s="28">
        <v>16.59</v>
      </c>
      <c r="BJ18" s="20">
        <v>21.73</v>
      </c>
      <c r="BK18" s="28">
        <v>20.12</v>
      </c>
      <c r="BL18" s="13">
        <v>7.38</v>
      </c>
      <c r="BM18" s="13">
        <v>23.32</v>
      </c>
      <c r="BN18" s="13">
        <v>13.02</v>
      </c>
      <c r="BO18" s="13">
        <v>-1.88</v>
      </c>
      <c r="BP18" s="13">
        <v>21.73</v>
      </c>
      <c r="BQ18" s="13">
        <v>21.73</v>
      </c>
      <c r="BR18" s="13">
        <v>10.47</v>
      </c>
      <c r="BS18" s="13">
        <v>22.55</v>
      </c>
      <c r="BT18" s="13">
        <v>0.2</v>
      </c>
      <c r="BU18" s="13"/>
      <c r="BV18" s="13">
        <v>4.82</v>
      </c>
      <c r="BW18" s="13">
        <v>-6.62</v>
      </c>
      <c r="BX18" s="13"/>
      <c r="BY18" s="13">
        <v>17.47</v>
      </c>
      <c r="BZ18" s="13">
        <v>15.94</v>
      </c>
      <c r="CA18" s="13">
        <v>-13.38</v>
      </c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</row>
    <row r="19">
      <c r="A19" s="69"/>
      <c r="B19" s="28">
        <v>3.33</v>
      </c>
      <c r="C19" s="28">
        <v>4.24</v>
      </c>
      <c r="D19" s="235">
        <v>4.48</v>
      </c>
      <c r="E19" s="235">
        <v>16.07</v>
      </c>
      <c r="F19" s="235">
        <v>5.55</v>
      </c>
      <c r="G19" s="28">
        <v>4.43</v>
      </c>
      <c r="H19" s="28">
        <v>5.52</v>
      </c>
      <c r="I19" s="28">
        <v>2.88</v>
      </c>
      <c r="J19" s="28">
        <v>5.02</v>
      </c>
      <c r="K19" s="28">
        <v>4.4</v>
      </c>
      <c r="L19" s="28">
        <v>16.07</v>
      </c>
      <c r="M19" s="28">
        <v>5.4</v>
      </c>
      <c r="N19" s="28">
        <v>-2.89</v>
      </c>
      <c r="P19" s="28">
        <v>-6.11</v>
      </c>
      <c r="Q19" s="28">
        <v>-15.49</v>
      </c>
      <c r="R19" s="28">
        <v>-5.95</v>
      </c>
      <c r="S19" s="28">
        <v>-5.26</v>
      </c>
      <c r="T19" s="28">
        <v>-8.38</v>
      </c>
      <c r="U19" s="28">
        <v>-9.3</v>
      </c>
      <c r="V19" s="28">
        <v>-8.13</v>
      </c>
      <c r="W19" s="28">
        <v>-6.53</v>
      </c>
      <c r="X19" s="28"/>
      <c r="Y19" s="28">
        <v>-19.2</v>
      </c>
      <c r="Z19" s="28">
        <v>-19.22</v>
      </c>
      <c r="AA19" s="28">
        <v>-8.99</v>
      </c>
      <c r="AB19" s="28">
        <v>-20.56</v>
      </c>
      <c r="AC19" s="28">
        <v>0.02</v>
      </c>
      <c r="AD19" s="28"/>
      <c r="AE19" s="28">
        <v>13.7</v>
      </c>
      <c r="AF19" s="28">
        <v>13.7</v>
      </c>
      <c r="AG19" s="28">
        <v>4.84</v>
      </c>
      <c r="AH19" s="28">
        <v>8.62</v>
      </c>
      <c r="AI19" s="28">
        <v>3.54</v>
      </c>
      <c r="AJ19" s="28">
        <v>10.02</v>
      </c>
      <c r="AK19" s="28">
        <v>23.58</v>
      </c>
      <c r="AL19" s="28">
        <v>15.61</v>
      </c>
      <c r="AN19" s="28">
        <v>-8.49</v>
      </c>
      <c r="AO19" s="28">
        <v>4.42</v>
      </c>
      <c r="AP19" s="28">
        <v>9.29</v>
      </c>
      <c r="AQ19" s="28">
        <v>-16.12</v>
      </c>
      <c r="AR19" s="28">
        <v>-16.12</v>
      </c>
      <c r="AT19" s="28">
        <v>7.83</v>
      </c>
      <c r="AU19" s="28">
        <v>-4.34</v>
      </c>
      <c r="AV19" s="103">
        <v>-11.7</v>
      </c>
      <c r="AW19" s="28">
        <v>17.37</v>
      </c>
      <c r="AX19" s="28">
        <v>8.84</v>
      </c>
      <c r="AY19" s="28">
        <v>7.81</v>
      </c>
      <c r="AZ19" s="28">
        <v>7.6</v>
      </c>
      <c r="BA19" s="28">
        <v>7.53</v>
      </c>
      <c r="BB19" s="28">
        <v>-5.86</v>
      </c>
      <c r="BC19" s="28"/>
      <c r="BD19" s="103">
        <v>-4.53</v>
      </c>
      <c r="BE19" s="28">
        <v>0.35</v>
      </c>
      <c r="BF19" s="28">
        <v>16.42</v>
      </c>
      <c r="BG19" s="28">
        <v>2.21</v>
      </c>
      <c r="BH19" s="28">
        <v>14.51</v>
      </c>
      <c r="BJ19" s="20">
        <v>12.1</v>
      </c>
      <c r="BK19" s="103">
        <v>-10.88</v>
      </c>
      <c r="BL19" s="13">
        <v>-1.24</v>
      </c>
      <c r="BM19" s="13">
        <v>15.7</v>
      </c>
      <c r="BN19" s="13">
        <v>5.76</v>
      </c>
      <c r="BO19" s="13">
        <v>24.61</v>
      </c>
      <c r="BP19" s="13">
        <v>6.73</v>
      </c>
      <c r="BQ19" s="13">
        <v>9.62</v>
      </c>
      <c r="BR19" s="13">
        <v>13.27</v>
      </c>
      <c r="BS19" s="13">
        <v>-1.24</v>
      </c>
      <c r="BT19" s="13">
        <v>26.41</v>
      </c>
      <c r="BU19" s="13"/>
      <c r="BV19" s="13">
        <v>6.75</v>
      </c>
      <c r="BW19" s="13">
        <v>18.3</v>
      </c>
      <c r="BX19" s="13"/>
      <c r="BY19" s="13">
        <v>3.16</v>
      </c>
      <c r="BZ19" s="13">
        <v>2.45</v>
      </c>
      <c r="CA19" s="13">
        <v>6.14</v>
      </c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</row>
    <row r="20">
      <c r="A20" s="69"/>
      <c r="B20" s="103">
        <v>-10.29</v>
      </c>
      <c r="C20" s="28">
        <v>2.97</v>
      </c>
      <c r="D20" s="235">
        <v>5.57</v>
      </c>
      <c r="E20" s="235">
        <v>4.12</v>
      </c>
      <c r="F20" s="235">
        <v>-1.13</v>
      </c>
      <c r="G20" s="28">
        <v>3.51</v>
      </c>
      <c r="H20" s="28">
        <v>4.75</v>
      </c>
      <c r="I20" s="28">
        <v>5.38</v>
      </c>
      <c r="J20" s="28">
        <v>-1.79</v>
      </c>
      <c r="K20" s="28">
        <v>4.81</v>
      </c>
      <c r="L20" s="28">
        <v>4.12</v>
      </c>
      <c r="M20" s="28">
        <v>4.39</v>
      </c>
      <c r="N20" s="28">
        <v>2.95</v>
      </c>
      <c r="P20" s="28">
        <v>-5.6</v>
      </c>
      <c r="Q20" s="28">
        <v>-15.91</v>
      </c>
      <c r="R20" s="28">
        <v>-4.81</v>
      </c>
      <c r="S20" s="28">
        <v>-8.92</v>
      </c>
      <c r="T20" s="28">
        <v>-9.4</v>
      </c>
      <c r="U20" s="28">
        <v>-8.62</v>
      </c>
      <c r="V20" s="28">
        <v>-6.21</v>
      </c>
      <c r="W20" s="28">
        <v>-6.21</v>
      </c>
      <c r="X20" s="28"/>
      <c r="Y20" s="28">
        <v>-11.94</v>
      </c>
      <c r="Z20" s="28">
        <v>-11.4</v>
      </c>
      <c r="AA20" s="28">
        <v>-26.99</v>
      </c>
      <c r="AB20" s="28">
        <v>-11.69</v>
      </c>
      <c r="AC20" s="28">
        <v>-9.23</v>
      </c>
      <c r="AD20" s="28"/>
      <c r="AE20" s="28">
        <v>-0.01</v>
      </c>
      <c r="AF20" s="28">
        <v>-0.01</v>
      </c>
      <c r="AG20" s="28">
        <v>34.69</v>
      </c>
      <c r="AH20" s="28">
        <v>23.91</v>
      </c>
      <c r="AI20" s="28">
        <v>13.2</v>
      </c>
      <c r="AJ20" s="28">
        <v>-4.36</v>
      </c>
      <c r="AK20" s="28">
        <v>1.65</v>
      </c>
      <c r="AL20" s="28">
        <v>9.54</v>
      </c>
      <c r="AN20" s="28">
        <v>-7.75</v>
      </c>
      <c r="AO20" s="28">
        <v>-8.93</v>
      </c>
      <c r="AP20" s="28">
        <v>-0.35</v>
      </c>
      <c r="AQ20" s="28">
        <v>0.74</v>
      </c>
      <c r="AR20" s="28">
        <v>-4.99</v>
      </c>
      <c r="AT20" s="28">
        <v>7.6</v>
      </c>
      <c r="AU20" s="28">
        <v>-1.71</v>
      </c>
      <c r="AV20" s="28">
        <v>8.28</v>
      </c>
      <c r="AW20" s="28">
        <v>8.87</v>
      </c>
      <c r="AX20" s="28">
        <v>8.67</v>
      </c>
      <c r="AY20" s="28">
        <v>-4.01</v>
      </c>
      <c r="AZ20" s="28">
        <v>8.87</v>
      </c>
      <c r="BA20" s="28">
        <v>9.15</v>
      </c>
      <c r="BB20" s="28">
        <v>16.19</v>
      </c>
      <c r="BC20" s="28"/>
      <c r="BD20" s="28">
        <v>-4.7</v>
      </c>
      <c r="BE20" s="28">
        <v>24.97</v>
      </c>
      <c r="BF20" s="28">
        <v>15.05</v>
      </c>
      <c r="BG20" s="28">
        <v>1.28</v>
      </c>
      <c r="BH20" s="28">
        <v>0.35</v>
      </c>
      <c r="BJ20" s="20">
        <v>39.03</v>
      </c>
      <c r="BK20" s="28">
        <v>9.81</v>
      </c>
      <c r="BL20" s="13">
        <v>20.16</v>
      </c>
      <c r="BM20" s="13">
        <v>-1.24</v>
      </c>
      <c r="BN20" s="13">
        <v>-2.79</v>
      </c>
      <c r="BO20" s="13">
        <v>21.73</v>
      </c>
      <c r="BP20" s="13">
        <v>15.7</v>
      </c>
      <c r="BQ20" s="13">
        <v>-1.41</v>
      </c>
      <c r="BR20" s="13">
        <v>-0.46</v>
      </c>
      <c r="BS20" s="13">
        <v>-0.2</v>
      </c>
      <c r="BT20" s="13">
        <v>23.92</v>
      </c>
      <c r="BU20" s="13"/>
      <c r="BV20" s="13">
        <v>13.25</v>
      </c>
      <c r="BW20" s="13">
        <v>16.25</v>
      </c>
      <c r="BX20" s="13"/>
      <c r="BY20" s="13">
        <v>-5.87</v>
      </c>
      <c r="BZ20" s="13">
        <v>34.72</v>
      </c>
      <c r="CA20" s="13">
        <v>0.42</v>
      </c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</row>
    <row r="21">
      <c r="A21" s="69"/>
      <c r="B21" s="28">
        <v>-1.13</v>
      </c>
      <c r="C21" s="28">
        <v>-1.86</v>
      </c>
      <c r="D21" s="235">
        <v>4.56</v>
      </c>
      <c r="E21" s="235">
        <v>4.67</v>
      </c>
      <c r="F21" s="235">
        <v>-2.81</v>
      </c>
      <c r="G21" s="28">
        <v>4.35</v>
      </c>
      <c r="H21" s="28">
        <v>-2.98</v>
      </c>
      <c r="I21" s="28">
        <v>4.24</v>
      </c>
      <c r="J21" s="28">
        <v>4.24</v>
      </c>
      <c r="K21" s="28">
        <v>-1.5</v>
      </c>
      <c r="L21" s="28">
        <v>4.67</v>
      </c>
      <c r="M21" s="28">
        <v>5.51</v>
      </c>
      <c r="N21" s="28">
        <v>4.07</v>
      </c>
      <c r="P21" s="28">
        <v>-7.14</v>
      </c>
      <c r="Q21" s="28">
        <v>-8.92</v>
      </c>
      <c r="R21" s="28">
        <v>-4.7</v>
      </c>
      <c r="S21" s="28">
        <v>-15.15</v>
      </c>
      <c r="T21" s="28">
        <v>-9.09</v>
      </c>
      <c r="U21" s="28">
        <v>0.13</v>
      </c>
      <c r="V21" s="28">
        <v>-6.84</v>
      </c>
      <c r="W21" s="28">
        <v>-7.67</v>
      </c>
      <c r="X21" s="28"/>
      <c r="Y21" s="28">
        <v>-11.83</v>
      </c>
      <c r="Z21" s="28">
        <v>-20.58</v>
      </c>
      <c r="AA21" s="28">
        <v>-12.19</v>
      </c>
      <c r="AB21" s="28">
        <v>-2.68</v>
      </c>
      <c r="AC21" s="28">
        <v>-2.6</v>
      </c>
      <c r="AD21" s="28"/>
      <c r="AE21" s="28">
        <v>4.84</v>
      </c>
      <c r="AF21" s="28">
        <v>4.84</v>
      </c>
      <c r="AG21" s="28">
        <v>22.22</v>
      </c>
      <c r="AH21" s="28">
        <v>-4.45</v>
      </c>
      <c r="AI21" s="28">
        <v>21.24</v>
      </c>
      <c r="AJ21" s="28">
        <v>7.34</v>
      </c>
      <c r="AK21" s="28">
        <v>22.03</v>
      </c>
      <c r="AL21" s="28">
        <v>14.15</v>
      </c>
      <c r="AN21" s="28">
        <v>-3.06</v>
      </c>
      <c r="AO21" s="28">
        <v>-7.29</v>
      </c>
      <c r="AP21" s="28">
        <v>-16.12</v>
      </c>
      <c r="AQ21" s="28">
        <v>-10.24</v>
      </c>
      <c r="AR21" s="28">
        <v>-0.21</v>
      </c>
      <c r="AT21" s="28">
        <v>8.9</v>
      </c>
      <c r="AU21" s="28">
        <v>8.52</v>
      </c>
      <c r="AV21" s="28">
        <v>7.6</v>
      </c>
      <c r="AW21" s="28">
        <v>7.83</v>
      </c>
      <c r="AX21" s="28">
        <v>4.37</v>
      </c>
      <c r="AY21" s="103">
        <v>-5.63</v>
      </c>
      <c r="AZ21" s="28">
        <v>3.56</v>
      </c>
      <c r="BA21" s="28">
        <v>8.25</v>
      </c>
      <c r="BB21" s="28">
        <v>6.85</v>
      </c>
      <c r="BC21" s="28"/>
      <c r="BD21" s="28">
        <v>16.42</v>
      </c>
      <c r="BE21" s="28">
        <v>14.18</v>
      </c>
      <c r="BF21" s="28">
        <v>11.99</v>
      </c>
      <c r="BG21" s="28">
        <v>10.88</v>
      </c>
      <c r="BH21" s="28">
        <v>13.01</v>
      </c>
      <c r="BJ21" s="20">
        <v>20.39</v>
      </c>
      <c r="BK21" s="28">
        <v>-0.2</v>
      </c>
      <c r="BL21" s="13">
        <v>16.62</v>
      </c>
      <c r="BM21" s="13">
        <v>36.62</v>
      </c>
      <c r="BN21" s="241">
        <v>-8.78</v>
      </c>
      <c r="BO21" s="13">
        <v>0.02</v>
      </c>
      <c r="BP21" s="13">
        <v>-2.38</v>
      </c>
      <c r="BQ21" s="13">
        <v>22.55</v>
      </c>
      <c r="BR21" s="240">
        <v>22.55</v>
      </c>
      <c r="BS21" s="13">
        <v>-2.13</v>
      </c>
      <c r="BT21" s="13">
        <v>25.66</v>
      </c>
      <c r="BU21" s="13"/>
      <c r="BV21" s="13">
        <v>14.52</v>
      </c>
      <c r="BW21" s="13">
        <v>18.1</v>
      </c>
      <c r="BX21" s="13"/>
      <c r="BY21" s="13">
        <v>16.25</v>
      </c>
      <c r="BZ21" s="13">
        <v>15.53</v>
      </c>
      <c r="CA21" s="13">
        <v>-7.05</v>
      </c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</row>
    <row r="22">
      <c r="A22" s="69"/>
      <c r="B22" s="28">
        <v>4.24</v>
      </c>
      <c r="C22" s="28">
        <v>-2.46</v>
      </c>
      <c r="D22" s="235">
        <v>1.1</v>
      </c>
      <c r="E22" s="235">
        <v>-1.79</v>
      </c>
      <c r="F22" s="235">
        <v>-1.86</v>
      </c>
      <c r="G22" s="28">
        <v>-2.46</v>
      </c>
      <c r="H22" s="28">
        <v>3.7</v>
      </c>
      <c r="I22" s="28">
        <v>4.26</v>
      </c>
      <c r="J22" s="28">
        <v>5.4</v>
      </c>
      <c r="K22" s="28">
        <v>4.05</v>
      </c>
      <c r="L22" s="28">
        <v>-1.63</v>
      </c>
      <c r="M22" s="28">
        <v>-1.79</v>
      </c>
      <c r="N22" s="28">
        <v>4.36</v>
      </c>
      <c r="P22" s="28">
        <v>-15.49</v>
      </c>
      <c r="Q22" s="28">
        <v>-17.2</v>
      </c>
      <c r="R22" s="28">
        <v>-7.67</v>
      </c>
      <c r="S22" s="28">
        <v>-9.76</v>
      </c>
      <c r="T22" s="28">
        <v>-8.63</v>
      </c>
      <c r="U22" s="28">
        <v>-9.15</v>
      </c>
      <c r="V22" s="28">
        <v>-17.2</v>
      </c>
      <c r="W22" s="28">
        <v>-2.97</v>
      </c>
      <c r="X22" s="28"/>
      <c r="Y22" s="28">
        <v>-20.44</v>
      </c>
      <c r="Z22" s="28">
        <v>4.72</v>
      </c>
      <c r="AA22" s="28">
        <v>-13.0</v>
      </c>
      <c r="AB22" s="28">
        <v>-23.67</v>
      </c>
      <c r="AC22" s="28">
        <v>-30.85</v>
      </c>
      <c r="AD22" s="28"/>
      <c r="AE22" s="28">
        <v>14.15</v>
      </c>
      <c r="AF22" s="28">
        <v>14.15</v>
      </c>
      <c r="AG22" s="28">
        <v>12.07</v>
      </c>
      <c r="AH22" s="28">
        <v>11.31</v>
      </c>
      <c r="AI22" s="28">
        <v>-4.95</v>
      </c>
      <c r="AJ22" s="28">
        <v>16.39</v>
      </c>
      <c r="AK22" s="27">
        <v>46.33</v>
      </c>
      <c r="AL22" s="28">
        <v>4.84</v>
      </c>
      <c r="AN22" s="28">
        <v>-9.65</v>
      </c>
      <c r="AO22" s="28">
        <v>-6.53</v>
      </c>
      <c r="AP22" s="28">
        <v>10.92</v>
      </c>
      <c r="AQ22" s="28">
        <v>-17.33</v>
      </c>
      <c r="AR22" s="28">
        <v>-4.67</v>
      </c>
      <c r="AT22" s="28">
        <v>-4.34</v>
      </c>
      <c r="AU22" s="28">
        <v>6.89</v>
      </c>
      <c r="AV22" s="28">
        <v>8.09</v>
      </c>
      <c r="AW22" s="28">
        <v>-4.08</v>
      </c>
      <c r="AX22" s="28">
        <v>5.81</v>
      </c>
      <c r="AY22" s="28">
        <v>7.61</v>
      </c>
      <c r="AZ22" s="28">
        <v>7.59</v>
      </c>
      <c r="BA22" s="28">
        <v>-0.64</v>
      </c>
      <c r="BB22" s="28">
        <v>8.9</v>
      </c>
      <c r="BC22" s="28"/>
      <c r="BD22" s="28">
        <v>14.63</v>
      </c>
      <c r="BE22" s="28">
        <v>16.42</v>
      </c>
      <c r="BF22" s="28">
        <v>-10.61</v>
      </c>
      <c r="BG22" s="28">
        <v>-10.99</v>
      </c>
      <c r="BH22" s="28">
        <v>10.88</v>
      </c>
      <c r="BJ22" s="20">
        <v>8.97</v>
      </c>
      <c r="BK22" s="28">
        <v>9.17</v>
      </c>
      <c r="BL22" s="13">
        <v>9.62</v>
      </c>
      <c r="BM22" s="13">
        <v>41.83</v>
      </c>
      <c r="BN22" s="13">
        <v>-1.88</v>
      </c>
      <c r="BO22" s="13">
        <v>13.02</v>
      </c>
      <c r="BP22" s="13">
        <v>0.02</v>
      </c>
      <c r="BQ22" s="13">
        <v>7.15</v>
      </c>
      <c r="BR22" s="13">
        <v>6.43</v>
      </c>
      <c r="BS22" s="13">
        <v>12.5</v>
      </c>
      <c r="BT22" s="13">
        <v>21.73</v>
      </c>
      <c r="BU22" s="13"/>
      <c r="BV22" s="13">
        <v>15.17</v>
      </c>
      <c r="BW22" s="13">
        <v>13.94</v>
      </c>
      <c r="BX22" s="13"/>
      <c r="BY22" s="13">
        <v>55.86</v>
      </c>
      <c r="BZ22" s="13">
        <v>36.74</v>
      </c>
      <c r="CA22" s="13">
        <v>-7.79</v>
      </c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</row>
    <row r="23">
      <c r="A23" s="69"/>
      <c r="B23" s="28">
        <v>4.87</v>
      </c>
      <c r="C23" s="28">
        <v>5.38</v>
      </c>
      <c r="D23" s="235">
        <v>5.45</v>
      </c>
      <c r="E23" s="235">
        <v>-1.63</v>
      </c>
      <c r="F23" s="235">
        <v>4.26</v>
      </c>
      <c r="G23" s="28">
        <v>-2.98</v>
      </c>
      <c r="H23" s="28">
        <v>2.22</v>
      </c>
      <c r="I23" s="28">
        <v>-1.86</v>
      </c>
      <c r="J23" s="28">
        <v>4.39</v>
      </c>
      <c r="K23" s="28">
        <v>-1.79</v>
      </c>
      <c r="L23" s="28">
        <v>-1.79</v>
      </c>
      <c r="M23" s="28">
        <v>-1.5</v>
      </c>
      <c r="N23" s="28">
        <v>4.44</v>
      </c>
      <c r="P23" s="28">
        <v>-13.82</v>
      </c>
      <c r="Q23" s="28">
        <v>-8.08</v>
      </c>
      <c r="R23" s="28">
        <v>-4.01</v>
      </c>
      <c r="S23" s="103">
        <v>-16.36</v>
      </c>
      <c r="T23" s="28">
        <v>-8.92</v>
      </c>
      <c r="U23" s="28">
        <v>-15.74</v>
      </c>
      <c r="V23" s="28">
        <v>-14.87</v>
      </c>
      <c r="W23" s="28">
        <v>1.46</v>
      </c>
      <c r="X23" s="28"/>
      <c r="Y23" s="28">
        <v>-18.86</v>
      </c>
      <c r="Z23" s="28">
        <v>-2.22</v>
      </c>
      <c r="AA23" s="28">
        <v>-17.31</v>
      </c>
      <c r="AB23" s="28">
        <v>-12.37</v>
      </c>
      <c r="AC23" s="28">
        <v>-18.66</v>
      </c>
      <c r="AD23" s="28"/>
      <c r="AE23" s="28">
        <v>1.27</v>
      </c>
      <c r="AF23" s="28">
        <v>1.27</v>
      </c>
      <c r="AG23" s="28">
        <v>1.47</v>
      </c>
      <c r="AH23" s="28">
        <v>13.2</v>
      </c>
      <c r="AI23" s="28">
        <v>5.18</v>
      </c>
      <c r="AJ23" s="28">
        <v>-14.44</v>
      </c>
      <c r="AK23" s="27">
        <v>42.87</v>
      </c>
      <c r="AL23" s="28">
        <v>12.33</v>
      </c>
      <c r="AN23" s="28">
        <v>2.48</v>
      </c>
      <c r="AO23" s="28">
        <v>-10.24</v>
      </c>
      <c r="AP23" s="28">
        <v>21.66</v>
      </c>
      <c r="AQ23" s="28">
        <v>12.11</v>
      </c>
      <c r="AR23" s="28">
        <v>-7.29</v>
      </c>
      <c r="AT23" s="28">
        <v>8.52</v>
      </c>
      <c r="AU23" s="28">
        <v>7.83</v>
      </c>
      <c r="AV23" s="28">
        <v>8.42</v>
      </c>
      <c r="AW23" s="28">
        <v>7.46</v>
      </c>
      <c r="AX23" s="103">
        <v>3.28</v>
      </c>
      <c r="AY23" s="28">
        <v>8.67</v>
      </c>
      <c r="AZ23" s="28">
        <v>8.42</v>
      </c>
      <c r="BA23" s="27">
        <v>17.37</v>
      </c>
      <c r="BB23" s="28">
        <v>8.52</v>
      </c>
      <c r="BC23" s="28"/>
      <c r="BD23" s="28">
        <v>13.92</v>
      </c>
      <c r="BE23" s="28">
        <v>15.28</v>
      </c>
      <c r="BF23" s="28">
        <v>14.79</v>
      </c>
      <c r="BG23" s="28">
        <v>16.35</v>
      </c>
      <c r="BH23" s="28">
        <v>2.63</v>
      </c>
      <c r="BJ23" s="20">
        <v>4.82</v>
      </c>
      <c r="BK23" s="28">
        <v>7.38</v>
      </c>
      <c r="BL23" s="13">
        <v>31.06</v>
      </c>
      <c r="BM23" s="13">
        <v>21.73</v>
      </c>
      <c r="BN23" s="13">
        <v>41.64</v>
      </c>
      <c r="BO23" s="13">
        <v>-0.93</v>
      </c>
      <c r="BP23" s="13">
        <v>6.21</v>
      </c>
      <c r="BQ23" s="13">
        <v>38.1</v>
      </c>
      <c r="BR23" s="13">
        <v>5.22</v>
      </c>
      <c r="BS23" s="13">
        <v>12.1</v>
      </c>
      <c r="BT23" s="13">
        <v>33.24</v>
      </c>
      <c r="BU23" s="13"/>
      <c r="BV23" s="13">
        <v>17.48</v>
      </c>
      <c r="BW23" s="13">
        <v>23.61</v>
      </c>
      <c r="BX23" s="13"/>
      <c r="BY23" s="13">
        <v>-8.05</v>
      </c>
      <c r="BZ23" s="13">
        <v>-8.01</v>
      </c>
      <c r="CA23" s="13">
        <v>2.69</v>
      </c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</row>
    <row r="24">
      <c r="A24" s="69"/>
      <c r="B24" s="28">
        <v>4.09</v>
      </c>
      <c r="C24" s="28">
        <v>4.36</v>
      </c>
      <c r="D24" s="235">
        <v>-1.35</v>
      </c>
      <c r="E24" s="235">
        <v>4.81</v>
      </c>
      <c r="F24" s="235">
        <v>6.08</v>
      </c>
      <c r="G24" s="28">
        <v>6.84</v>
      </c>
      <c r="H24" s="28">
        <v>4.79</v>
      </c>
      <c r="I24" s="28">
        <v>-1.13</v>
      </c>
      <c r="J24" s="28">
        <v>3.64</v>
      </c>
      <c r="K24" s="28">
        <v>16.07</v>
      </c>
      <c r="L24" s="103">
        <v>-3.72</v>
      </c>
      <c r="M24" s="28">
        <v>4.67</v>
      </c>
      <c r="N24" s="28">
        <v>3.7</v>
      </c>
      <c r="P24" s="103">
        <v>-16.12</v>
      </c>
      <c r="Q24" s="28">
        <v>-6.38</v>
      </c>
      <c r="R24" s="28">
        <v>-16.12</v>
      </c>
      <c r="S24" s="28">
        <v>-4.67</v>
      </c>
      <c r="T24" s="28">
        <v>-9.25</v>
      </c>
      <c r="U24" s="28">
        <v>-8.43</v>
      </c>
      <c r="V24" s="28">
        <v>-9.45</v>
      </c>
      <c r="W24" s="28">
        <v>-14.65</v>
      </c>
      <c r="X24" s="28"/>
      <c r="Y24" s="28">
        <v>-19.16</v>
      </c>
      <c r="Z24" s="28">
        <v>-18.41</v>
      </c>
      <c r="AA24" s="28">
        <v>-20.56</v>
      </c>
      <c r="AB24" s="28">
        <v>-4.66</v>
      </c>
      <c r="AC24" s="28">
        <v>-17.55</v>
      </c>
      <c r="AD24" s="28"/>
      <c r="AE24" s="28">
        <v>-12.13</v>
      </c>
      <c r="AF24" s="28">
        <v>-12.13</v>
      </c>
      <c r="AG24" s="28">
        <v>13.7</v>
      </c>
      <c r="AH24" s="103">
        <v>-10.82</v>
      </c>
      <c r="AI24" s="28">
        <v>2.15</v>
      </c>
      <c r="AJ24" s="28">
        <v>22.22</v>
      </c>
      <c r="AK24" s="28">
        <v>-2.06</v>
      </c>
      <c r="AL24" s="28">
        <v>21.97</v>
      </c>
      <c r="AN24" s="28">
        <v>-13.62</v>
      </c>
      <c r="AO24" s="28">
        <v>22.46</v>
      </c>
      <c r="AP24" s="28">
        <v>-6.53</v>
      </c>
      <c r="AQ24" s="28">
        <v>0.01</v>
      </c>
      <c r="AR24" s="28">
        <v>-2.78</v>
      </c>
      <c r="AT24" s="28">
        <v>6.14</v>
      </c>
      <c r="AU24" s="28">
        <v>6.14</v>
      </c>
      <c r="AV24" s="28">
        <v>-2.62</v>
      </c>
      <c r="AW24" s="28">
        <v>4.26</v>
      </c>
      <c r="AX24" s="28">
        <v>7.46</v>
      </c>
      <c r="AY24" s="28">
        <v>5.75</v>
      </c>
      <c r="AZ24" s="28">
        <v>2.43</v>
      </c>
      <c r="BA24" s="28">
        <v>7.83</v>
      </c>
      <c r="BB24" s="28">
        <v>6.89</v>
      </c>
      <c r="BC24" s="28"/>
      <c r="BD24" s="28">
        <v>1.61</v>
      </c>
      <c r="BE24" s="28">
        <v>14.06</v>
      </c>
      <c r="BF24" s="28">
        <v>3.65</v>
      </c>
      <c r="BG24" s="28">
        <v>13.58</v>
      </c>
      <c r="BH24" s="28">
        <v>15.05</v>
      </c>
      <c r="BJ24" s="20">
        <v>15.7</v>
      </c>
      <c r="BK24" s="28">
        <v>17.59</v>
      </c>
      <c r="BL24" s="13">
        <v>39.03</v>
      </c>
      <c r="BM24" s="13">
        <v>12.1</v>
      </c>
      <c r="BN24" s="13">
        <v>18.11</v>
      </c>
      <c r="BO24" s="13">
        <v>4.82</v>
      </c>
      <c r="BP24" s="13">
        <v>13.3</v>
      </c>
      <c r="BQ24" s="13">
        <v>8.34</v>
      </c>
      <c r="BR24" s="13">
        <v>-1.24</v>
      </c>
      <c r="BS24" s="13">
        <v>21.32</v>
      </c>
      <c r="BT24" s="13">
        <v>0.48</v>
      </c>
      <c r="BU24" s="13"/>
      <c r="BV24" s="13">
        <v>11.36</v>
      </c>
      <c r="BW24" s="13">
        <v>-5.87</v>
      </c>
      <c r="BX24" s="13"/>
      <c r="BY24" s="13">
        <v>7.87</v>
      </c>
      <c r="BZ24" s="13">
        <v>3.21</v>
      </c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</row>
    <row r="25">
      <c r="A25" s="69"/>
      <c r="B25" s="28">
        <v>-3.72</v>
      </c>
      <c r="C25" s="28">
        <v>4.31</v>
      </c>
      <c r="D25" s="235">
        <v>4.24</v>
      </c>
      <c r="E25" s="235">
        <v>-10.24</v>
      </c>
      <c r="F25" s="235">
        <v>0.0</v>
      </c>
      <c r="G25" s="28"/>
      <c r="H25" s="28">
        <v>-2.81</v>
      </c>
      <c r="I25" s="28">
        <v>5.45</v>
      </c>
      <c r="J25" s="28">
        <v>-1.5</v>
      </c>
      <c r="K25" s="28">
        <v>-1.63</v>
      </c>
      <c r="L25" s="28">
        <v>4.81</v>
      </c>
      <c r="M25" s="28">
        <v>-1.63</v>
      </c>
      <c r="N25" s="28">
        <v>1.1</v>
      </c>
      <c r="P25" s="28">
        <v>-14.78</v>
      </c>
      <c r="Q25" s="28">
        <v>-14.65</v>
      </c>
      <c r="R25" s="28">
        <v>-14.91</v>
      </c>
      <c r="S25" s="28">
        <v>-9.25</v>
      </c>
      <c r="T25" s="28">
        <v>-9.3</v>
      </c>
      <c r="U25" s="28">
        <v>-8.99</v>
      </c>
      <c r="V25" s="28">
        <v>-9.78</v>
      </c>
      <c r="W25" s="28">
        <v>-6.15</v>
      </c>
      <c r="X25" s="28"/>
      <c r="Y25" s="28">
        <v>-18.85</v>
      </c>
      <c r="Z25" s="28">
        <v>-9.25</v>
      </c>
      <c r="AA25" s="28">
        <v>-18.75</v>
      </c>
      <c r="AB25" s="28">
        <v>-11.73</v>
      </c>
      <c r="AC25" s="28">
        <v>-13.45</v>
      </c>
      <c r="AD25" s="28"/>
      <c r="AE25" s="28">
        <v>-12.43</v>
      </c>
      <c r="AF25" s="28">
        <v>-12.43</v>
      </c>
      <c r="AG25" s="28">
        <v>9.68</v>
      </c>
      <c r="AH25" s="28">
        <v>9.54</v>
      </c>
      <c r="AI25" s="28">
        <v>4.63</v>
      </c>
      <c r="AJ25" s="28">
        <v>23.66</v>
      </c>
      <c r="AK25" s="28">
        <v>23.91</v>
      </c>
      <c r="AL25" s="28">
        <v>13.7</v>
      </c>
      <c r="AN25" s="28">
        <v>-17.33</v>
      </c>
      <c r="AO25" s="28">
        <v>0.63</v>
      </c>
      <c r="AP25" s="28">
        <v>2.02</v>
      </c>
      <c r="AQ25" s="28">
        <v>0.85</v>
      </c>
      <c r="AR25" s="28">
        <v>13.04</v>
      </c>
      <c r="AT25" s="28">
        <v>8.33</v>
      </c>
      <c r="AU25" s="28">
        <v>-1.99</v>
      </c>
      <c r="AV25" s="28">
        <v>8.33</v>
      </c>
      <c r="AW25" s="28">
        <v>9.08</v>
      </c>
      <c r="AX25" s="28">
        <v>7.74</v>
      </c>
      <c r="AY25" s="28">
        <v>-4.49</v>
      </c>
      <c r="AZ25" s="28">
        <v>3.28</v>
      </c>
      <c r="BA25" s="28">
        <v>6.85</v>
      </c>
      <c r="BB25" s="103">
        <v>-11.7</v>
      </c>
      <c r="BC25" s="103"/>
      <c r="BD25" s="28">
        <v>3.34</v>
      </c>
      <c r="BE25" s="103">
        <v>-4.7</v>
      </c>
      <c r="BF25" s="28">
        <v>15.74</v>
      </c>
      <c r="BG25" s="28">
        <v>3.23</v>
      </c>
      <c r="BH25" s="28">
        <v>16.21</v>
      </c>
      <c r="BJ25" s="20">
        <v>20.76</v>
      </c>
      <c r="BK25" s="28">
        <v>21.92</v>
      </c>
      <c r="BL25" s="13">
        <v>5.92</v>
      </c>
      <c r="BM25" s="13">
        <v>25.66</v>
      </c>
      <c r="BN25" s="13">
        <v>4.82</v>
      </c>
      <c r="BO25" s="13">
        <v>38.1</v>
      </c>
      <c r="BP25" s="13">
        <v>5.22</v>
      </c>
      <c r="BQ25" s="13">
        <v>6.43</v>
      </c>
      <c r="BR25" s="13">
        <v>20.17</v>
      </c>
      <c r="BS25" s="13">
        <v>4.82</v>
      </c>
      <c r="BT25" s="13">
        <v>13.56</v>
      </c>
      <c r="BU25" s="13"/>
      <c r="BV25" s="13">
        <v>15.84</v>
      </c>
      <c r="BW25" s="13">
        <v>6.14</v>
      </c>
      <c r="BX25" s="13"/>
      <c r="BY25" s="13">
        <v>-13.38</v>
      </c>
      <c r="BZ25" s="13">
        <v>48.35</v>
      </c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</row>
    <row r="26">
      <c r="A26" s="69"/>
      <c r="B26" s="28">
        <v>-3.04</v>
      </c>
      <c r="C26" s="28">
        <v>4.35</v>
      </c>
      <c r="D26" s="235">
        <v>6.08</v>
      </c>
      <c r="E26" s="235">
        <v>-3.72</v>
      </c>
      <c r="F26" s="243">
        <v>33.5</v>
      </c>
      <c r="H26" s="28">
        <v>10.05</v>
      </c>
      <c r="I26" s="28">
        <v>-2.81</v>
      </c>
      <c r="J26" s="28">
        <v>6.4</v>
      </c>
      <c r="K26" s="28">
        <v>-0.95</v>
      </c>
      <c r="L26" s="28">
        <v>4.05</v>
      </c>
      <c r="M26" s="28">
        <v>16.07</v>
      </c>
      <c r="N26" s="28">
        <v>4.18</v>
      </c>
      <c r="P26" s="28">
        <v>-2.95</v>
      </c>
      <c r="Q26" s="28">
        <v>-16.17</v>
      </c>
      <c r="R26" s="28">
        <v>-7.9</v>
      </c>
      <c r="S26" s="28">
        <v>-8.18</v>
      </c>
      <c r="T26" s="28">
        <v>-8.43</v>
      </c>
      <c r="U26" s="28">
        <v>-0.52</v>
      </c>
      <c r="V26" s="28">
        <v>-6.38</v>
      </c>
      <c r="W26" s="28">
        <v>8.73</v>
      </c>
      <c r="X26" s="28"/>
      <c r="Y26" s="28">
        <v>-22.53</v>
      </c>
      <c r="Z26" s="28">
        <v>-0.33</v>
      </c>
      <c r="AA26" s="28">
        <v>-14.47</v>
      </c>
      <c r="AB26" s="28">
        <v>-19.43</v>
      </c>
      <c r="AC26" s="28">
        <v>-11.94</v>
      </c>
      <c r="AD26" s="28"/>
      <c r="AE26" s="28">
        <v>-13.31</v>
      </c>
      <c r="AF26" s="28">
        <v>-13.31</v>
      </c>
      <c r="AG26" s="28">
        <v>-13.31</v>
      </c>
      <c r="AH26" s="28">
        <v>22.03</v>
      </c>
      <c r="AI26" s="28">
        <v>23.33</v>
      </c>
      <c r="AJ26" s="28">
        <v>26.94</v>
      </c>
      <c r="AK26" s="28">
        <v>-10.66</v>
      </c>
      <c r="AL26" s="28">
        <v>14.85</v>
      </c>
      <c r="AN26" s="28">
        <v>-10.24</v>
      </c>
      <c r="AO26" s="28">
        <v>-8.76</v>
      </c>
      <c r="AP26" s="28">
        <v>2.39</v>
      </c>
      <c r="AQ26" s="28">
        <v>2.39</v>
      </c>
      <c r="AR26" s="28">
        <v>10.47</v>
      </c>
      <c r="AT26" s="28">
        <v>-1.71</v>
      </c>
      <c r="AU26" s="28">
        <v>9.46</v>
      </c>
      <c r="AV26" s="28">
        <v>8.36</v>
      </c>
      <c r="AW26" s="28">
        <v>8.67</v>
      </c>
      <c r="AX26" s="28">
        <v>7.61</v>
      </c>
      <c r="AY26" s="28">
        <v>-3.19</v>
      </c>
      <c r="AZ26" s="28">
        <v>9.15</v>
      </c>
      <c r="BA26" s="28">
        <v>-4.34</v>
      </c>
      <c r="BB26" s="103">
        <v>-11.45</v>
      </c>
      <c r="BC26" s="103"/>
      <c r="BD26" s="28">
        <v>15.28</v>
      </c>
      <c r="BE26" s="103">
        <v>-4.53</v>
      </c>
      <c r="BF26" s="28">
        <v>-4.7</v>
      </c>
      <c r="BG26" s="28">
        <v>3.11</v>
      </c>
      <c r="BH26" s="28">
        <v>15.42</v>
      </c>
      <c r="BJ26" s="20">
        <v>5.76</v>
      </c>
      <c r="BK26" s="28">
        <v>-2.79</v>
      </c>
      <c r="BL26" s="13">
        <v>41.2</v>
      </c>
      <c r="BM26" s="13">
        <v>31.06</v>
      </c>
      <c r="BN26" s="13">
        <v>24.61</v>
      </c>
      <c r="BO26" s="13">
        <v>7.15</v>
      </c>
      <c r="BP26" s="13">
        <v>14.98</v>
      </c>
      <c r="BQ26" s="13">
        <v>-0.98</v>
      </c>
      <c r="BR26" s="13">
        <v>38.1</v>
      </c>
      <c r="BS26" s="13">
        <v>7.51</v>
      </c>
      <c r="BT26" s="13">
        <v>24.32</v>
      </c>
      <c r="BU26" s="13"/>
      <c r="BV26" s="13">
        <v>29.48</v>
      </c>
      <c r="BW26" s="13">
        <v>16.98</v>
      </c>
      <c r="BX26" s="13"/>
      <c r="BY26" s="13">
        <v>18.3</v>
      </c>
      <c r="BZ26" s="13">
        <v>0.72</v>
      </c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</row>
    <row r="27">
      <c r="A27" s="69"/>
      <c r="D27" s="69"/>
      <c r="E27" s="69"/>
      <c r="F27" s="69"/>
      <c r="AT27" s="17"/>
    </row>
    <row r="28">
      <c r="A28" s="69"/>
      <c r="B28" s="69"/>
      <c r="C28" s="69"/>
      <c r="D28" s="69"/>
      <c r="E28" s="69"/>
      <c r="F28" s="69"/>
    </row>
    <row r="29">
      <c r="A29" s="69"/>
      <c r="B29" s="13" t="s">
        <v>360</v>
      </c>
      <c r="C29" s="69"/>
      <c r="D29" s="69"/>
      <c r="E29" s="69"/>
      <c r="P29" s="13" t="s">
        <v>360</v>
      </c>
      <c r="U29" s="13"/>
      <c r="V29" s="13"/>
      <c r="W29" s="13"/>
      <c r="Z29" s="13"/>
      <c r="AA29" s="13"/>
      <c r="AB29" s="13"/>
      <c r="AC29" s="13"/>
      <c r="AD29" s="13"/>
      <c r="AE29" s="13" t="s">
        <v>360</v>
      </c>
      <c r="AT29" s="13" t="s">
        <v>360</v>
      </c>
      <c r="BJ29" s="13" t="s">
        <v>360</v>
      </c>
    </row>
    <row r="30">
      <c r="A30" s="69"/>
      <c r="B30" s="240">
        <v>342.0</v>
      </c>
      <c r="C30" s="13" t="s">
        <v>361</v>
      </c>
      <c r="D30" s="69"/>
      <c r="E30" s="69"/>
      <c r="F30" s="28" t="s">
        <v>362</v>
      </c>
      <c r="P30" s="28">
        <v>912.0</v>
      </c>
      <c r="AE30" s="28">
        <v>882.0</v>
      </c>
      <c r="AT30" s="28">
        <v>979.0</v>
      </c>
      <c r="AU30" s="28" t="s">
        <v>363</v>
      </c>
      <c r="BJ30" s="27">
        <v>1117.0</v>
      </c>
      <c r="BK30" s="28" t="s">
        <v>364</v>
      </c>
    </row>
    <row r="31">
      <c r="A31" s="69"/>
      <c r="B31" s="244">
        <v>1071.0</v>
      </c>
      <c r="C31" s="13" t="s">
        <v>365</v>
      </c>
      <c r="D31" s="69"/>
      <c r="E31" s="69"/>
      <c r="F31" s="28">
        <v>342.0</v>
      </c>
      <c r="P31" s="28">
        <v>834.0</v>
      </c>
      <c r="Q31" s="28" t="s">
        <v>366</v>
      </c>
      <c r="AE31" s="27">
        <v>899.0</v>
      </c>
      <c r="AF31" s="28" t="s">
        <v>367</v>
      </c>
      <c r="BJ31" s="28">
        <v>1093.0</v>
      </c>
      <c r="BK31" s="28" t="s">
        <v>368</v>
      </c>
    </row>
    <row r="32">
      <c r="A32" s="69"/>
      <c r="D32" s="69"/>
      <c r="E32" s="69"/>
      <c r="F32" s="28">
        <v>35.0</v>
      </c>
      <c r="P32" s="27">
        <v>1134.0</v>
      </c>
      <c r="Q32" s="28" t="s">
        <v>369</v>
      </c>
      <c r="AE32" s="28">
        <v>372.0</v>
      </c>
      <c r="AT32" s="28">
        <v>223.0</v>
      </c>
      <c r="AU32" s="28" t="s">
        <v>370</v>
      </c>
      <c r="BJ32" s="28">
        <v>261.0</v>
      </c>
      <c r="BK32" s="28" t="s">
        <v>368</v>
      </c>
    </row>
    <row r="33">
      <c r="A33" s="69"/>
      <c r="C33" s="69"/>
      <c r="D33" s="69"/>
      <c r="E33" s="69"/>
      <c r="F33" s="28">
        <v>1129.0</v>
      </c>
      <c r="P33" s="28">
        <v>1129.0</v>
      </c>
      <c r="Q33" s="28" t="s">
        <v>371</v>
      </c>
      <c r="AE33" s="28">
        <v>544.0</v>
      </c>
      <c r="AF33" s="28" t="s">
        <v>372</v>
      </c>
    </row>
    <row r="34">
      <c r="A34" s="69"/>
      <c r="B34" s="69"/>
      <c r="C34" s="69"/>
      <c r="D34" s="69"/>
      <c r="E34" s="69"/>
      <c r="F34" s="28">
        <v>282.0</v>
      </c>
    </row>
    <row r="35">
      <c r="A35" s="69"/>
      <c r="C35" s="35"/>
    </row>
    <row r="36">
      <c r="A36" s="69"/>
    </row>
    <row r="37">
      <c r="A37" s="69"/>
      <c r="C37" s="245" t="s">
        <v>373</v>
      </c>
    </row>
    <row r="38">
      <c r="A38" s="69"/>
      <c r="C38" s="246" t="s">
        <v>374</v>
      </c>
      <c r="BJ38" s="28"/>
    </row>
    <row r="39">
      <c r="A39" s="69"/>
    </row>
    <row r="40">
      <c r="A40" s="69"/>
    </row>
    <row r="41">
      <c r="A41" s="69"/>
    </row>
    <row r="42">
      <c r="A42" s="69"/>
      <c r="C42" s="54" t="s">
        <v>375</v>
      </c>
    </row>
    <row r="43">
      <c r="A43" s="69"/>
      <c r="B43" s="69"/>
      <c r="D43" s="69"/>
      <c r="E43" s="69"/>
      <c r="F43" s="69"/>
    </row>
    <row r="44">
      <c r="A44" s="69"/>
      <c r="B44" s="69"/>
      <c r="C44" s="247" t="s">
        <v>376</v>
      </c>
      <c r="D44" s="248"/>
      <c r="E44" s="248"/>
      <c r="F44" s="248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49"/>
      <c r="BE44" s="249"/>
      <c r="BF44" s="249"/>
      <c r="BG44" s="249"/>
      <c r="BH44" s="249"/>
      <c r="BI44" s="249"/>
      <c r="BJ44" s="249"/>
      <c r="BK44" s="249"/>
      <c r="BL44" s="249"/>
      <c r="BM44" s="249"/>
      <c r="BN44" s="249"/>
      <c r="BO44" s="249"/>
      <c r="BP44" s="249"/>
      <c r="BQ44" s="249"/>
      <c r="BR44" s="249"/>
      <c r="BS44" s="249"/>
      <c r="BT44" s="249"/>
      <c r="BU44" s="249"/>
      <c r="BV44" s="249"/>
      <c r="BW44" s="249"/>
      <c r="BX44" s="249"/>
      <c r="BY44" s="249"/>
      <c r="BZ44" s="249"/>
      <c r="CA44" s="249"/>
      <c r="CB44" s="249"/>
      <c r="CC44" s="249"/>
      <c r="CD44" s="249"/>
      <c r="CE44" s="249"/>
      <c r="CF44" s="249"/>
      <c r="CG44" s="249"/>
      <c r="CH44" s="249"/>
      <c r="CI44" s="249"/>
      <c r="CJ44" s="249"/>
      <c r="CK44" s="249"/>
      <c r="CL44" s="249"/>
      <c r="CM44" s="249"/>
      <c r="CN44" s="249"/>
    </row>
    <row r="45">
      <c r="A45" s="69"/>
      <c r="B45" s="69"/>
      <c r="C45" s="69"/>
      <c r="D45" s="13" t="s">
        <v>44</v>
      </c>
      <c r="E45" s="13">
        <v>342.0</v>
      </c>
      <c r="F45" s="13"/>
    </row>
    <row r="46">
      <c r="A46" s="69"/>
      <c r="B46" s="69"/>
      <c r="C46" s="69"/>
      <c r="D46" s="13" t="s">
        <v>316</v>
      </c>
      <c r="E46" s="69"/>
      <c r="F46" s="69"/>
    </row>
    <row r="47">
      <c r="A47" s="69"/>
      <c r="B47" s="69"/>
      <c r="C47" s="69"/>
      <c r="D47" s="13" t="s">
        <v>355</v>
      </c>
      <c r="E47" s="69"/>
      <c r="F47" s="69"/>
    </row>
    <row r="48">
      <c r="A48" s="69"/>
      <c r="B48" s="69"/>
      <c r="C48" s="69"/>
      <c r="D48" s="13" t="s">
        <v>357</v>
      </c>
      <c r="E48" s="69"/>
      <c r="F48" s="69"/>
    </row>
    <row r="49">
      <c r="A49" s="69"/>
      <c r="B49" s="69"/>
      <c r="C49" s="69"/>
      <c r="D49" s="13" t="s">
        <v>359</v>
      </c>
      <c r="E49" s="69"/>
      <c r="F49" s="69"/>
    </row>
    <row r="50">
      <c r="A50" s="69"/>
      <c r="B50" s="69"/>
      <c r="C50" s="69"/>
      <c r="D50" s="69"/>
      <c r="E50" s="69"/>
      <c r="F50" s="69"/>
    </row>
    <row r="51">
      <c r="A51" s="69"/>
      <c r="B51" s="69"/>
      <c r="C51" s="69"/>
      <c r="D51" s="69"/>
      <c r="E51" s="69"/>
      <c r="F51" s="69"/>
    </row>
    <row r="52">
      <c r="A52" s="69"/>
      <c r="B52" s="69"/>
      <c r="C52" s="69"/>
      <c r="D52" s="69"/>
      <c r="E52" s="69"/>
      <c r="F52" s="69"/>
    </row>
    <row r="53">
      <c r="A53" s="69"/>
      <c r="B53" s="69"/>
      <c r="C53" s="69"/>
      <c r="D53" s="69"/>
      <c r="E53" s="69"/>
      <c r="F53" s="69"/>
    </row>
  </sheetData>
  <mergeCells count="10">
    <mergeCell ref="AW2:BA2"/>
    <mergeCell ref="BJ2:BM2"/>
    <mergeCell ref="BN2:BR2"/>
    <mergeCell ref="B2:D2"/>
    <mergeCell ref="J2:M2"/>
    <mergeCell ref="P2:R2"/>
    <mergeCell ref="S2:V2"/>
    <mergeCell ref="AE2:AG2"/>
    <mergeCell ref="AH2:AK2"/>
    <mergeCell ref="AT2:AV2"/>
  </mergeCells>
  <conditionalFormatting sqref="B6:N6">
    <cfRule type="colorScale" priority="1">
      <colorScale>
        <cfvo type="min"/>
        <cfvo type="max"/>
        <color rgb="FFFFFFFF"/>
        <color rgb="FFE67C73"/>
      </colorScale>
    </cfRule>
  </conditionalFormatting>
  <conditionalFormatting sqref="P6:AC6">
    <cfRule type="colorScale" priority="2">
      <colorScale>
        <cfvo type="min"/>
        <cfvo type="max"/>
        <color rgb="FFFFFFFF"/>
        <color rgb="FFE67C73"/>
      </colorScale>
    </cfRule>
  </conditionalFormatting>
  <conditionalFormatting sqref="AE6:AL6 AN6:AR6">
    <cfRule type="colorScale" priority="3">
      <colorScale>
        <cfvo type="min"/>
        <cfvo type="max"/>
        <color rgb="FFFFFFFF"/>
        <color rgb="FFE67C73"/>
      </colorScale>
    </cfRule>
  </conditionalFormatting>
  <conditionalFormatting sqref="AT6:BH6 BH8">
    <cfRule type="colorScale" priority="4">
      <colorScale>
        <cfvo type="min"/>
        <cfvo type="max"/>
        <color rgb="FFFFFFFF"/>
        <color rgb="FFE67C73"/>
      </colorScale>
    </cfRule>
  </conditionalFormatting>
  <conditionalFormatting sqref="CF2:CI6">
    <cfRule type="colorScale" priority="5">
      <colorScale>
        <cfvo type="min"/>
        <cfvo type="max"/>
        <color rgb="FFE67C73"/>
        <color rgb="FFFFFFFF"/>
      </colorScale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9" t="s">
        <v>15</v>
      </c>
      <c r="G2" s="35" t="s">
        <v>377</v>
      </c>
    </row>
    <row r="3">
      <c r="C3" s="19" t="s">
        <v>17</v>
      </c>
      <c r="D3" s="28">
        <v>800.0</v>
      </c>
      <c r="G3" s="28" t="s">
        <v>378</v>
      </c>
      <c r="K3" s="250"/>
    </row>
    <row r="4">
      <c r="C4" s="16" t="s">
        <v>19</v>
      </c>
      <c r="G4" s="28" t="s">
        <v>379</v>
      </c>
      <c r="K4" s="250"/>
    </row>
    <row r="5">
      <c r="C5" s="16" t="s">
        <v>20</v>
      </c>
      <c r="G5" s="28" t="s">
        <v>380</v>
      </c>
      <c r="K5" s="250"/>
    </row>
    <row r="6">
      <c r="C6" s="16" t="s">
        <v>21</v>
      </c>
      <c r="G6" s="28" t="s">
        <v>381</v>
      </c>
    </row>
    <row r="7">
      <c r="G7" s="28" t="s">
        <v>382</v>
      </c>
    </row>
    <row r="12">
      <c r="D12" s="251" t="s">
        <v>383</v>
      </c>
      <c r="F12" s="20"/>
    </row>
    <row r="13">
      <c r="C13" s="35" t="s">
        <v>384</v>
      </c>
      <c r="D13" s="35" t="s">
        <v>385</v>
      </c>
      <c r="F13" s="20"/>
    </row>
    <row r="14">
      <c r="C14" s="28" t="s">
        <v>386</v>
      </c>
      <c r="D14" s="46">
        <v>1070.0</v>
      </c>
      <c r="E14" s="28">
        <v>458.0</v>
      </c>
      <c r="F14" s="46">
        <v>426.0</v>
      </c>
      <c r="G14" s="28">
        <v>461.0</v>
      </c>
      <c r="I14" s="46">
        <v>1145.0</v>
      </c>
      <c r="J14" s="252">
        <v>771.0</v>
      </c>
      <c r="K14" s="46">
        <v>375.0</v>
      </c>
      <c r="L14" s="54">
        <v>342.0</v>
      </c>
      <c r="M14" s="253">
        <v>1071.0</v>
      </c>
    </row>
    <row r="15">
      <c r="C15" s="28" t="s">
        <v>387</v>
      </c>
      <c r="D15" s="254">
        <v>800.0</v>
      </c>
      <c r="F15" s="54">
        <v>1134.0</v>
      </c>
      <c r="G15" s="20">
        <v>808.0</v>
      </c>
    </row>
    <row r="16">
      <c r="C16" s="28" t="s">
        <v>387</v>
      </c>
      <c r="D16" s="28">
        <v>766.0</v>
      </c>
      <c r="E16" s="20">
        <v>563.0</v>
      </c>
      <c r="F16" s="46">
        <v>899.0</v>
      </c>
    </row>
    <row r="17">
      <c r="C17" s="28" t="s">
        <v>386</v>
      </c>
      <c r="D17" s="27">
        <v>184.0</v>
      </c>
      <c r="E17" s="28">
        <v>211.0</v>
      </c>
      <c r="F17" s="255"/>
    </row>
    <row r="18">
      <c r="C18" s="28" t="s">
        <v>386</v>
      </c>
      <c r="D18" s="46">
        <v>1135.0</v>
      </c>
      <c r="E18" s="28">
        <v>119.0</v>
      </c>
      <c r="F18" s="28">
        <v>872.0</v>
      </c>
      <c r="G18" s="28">
        <v>112.0</v>
      </c>
    </row>
    <row r="19">
      <c r="D19" s="28" t="s">
        <v>388</v>
      </c>
      <c r="E19" s="28" t="s">
        <v>389</v>
      </c>
      <c r="F19" s="28" t="s">
        <v>390</v>
      </c>
    </row>
    <row r="20">
      <c r="C20" s="17"/>
      <c r="E20" s="17"/>
      <c r="F20" s="17"/>
    </row>
    <row r="21">
      <c r="F21" s="17"/>
    </row>
    <row r="22">
      <c r="D22" s="28" t="s">
        <v>391</v>
      </c>
      <c r="F22" s="17"/>
    </row>
    <row r="25">
      <c r="D25" s="28" t="s">
        <v>392</v>
      </c>
    </row>
    <row r="26">
      <c r="D26" s="28" t="s">
        <v>44</v>
      </c>
      <c r="E26" s="27">
        <v>375.0</v>
      </c>
      <c r="F26" s="28">
        <v>1070.0</v>
      </c>
      <c r="G26" s="28">
        <v>771.0</v>
      </c>
    </row>
    <row r="27">
      <c r="D27" s="28" t="s">
        <v>316</v>
      </c>
      <c r="E27" s="27">
        <v>1092.0</v>
      </c>
      <c r="F27" s="28">
        <v>808.0</v>
      </c>
    </row>
    <row r="28">
      <c r="D28" s="28" t="s">
        <v>355</v>
      </c>
      <c r="E28" s="28">
        <v>563.0</v>
      </c>
      <c r="F28" s="28">
        <v>766.0</v>
      </c>
      <c r="H28" s="28">
        <v>385.0</v>
      </c>
      <c r="L28" s="28">
        <v>900.0</v>
      </c>
      <c r="M28" s="28">
        <v>457.0</v>
      </c>
      <c r="N28" s="28">
        <v>899.0</v>
      </c>
      <c r="O28" s="28">
        <v>424.0</v>
      </c>
    </row>
    <row r="29">
      <c r="D29" s="28" t="s">
        <v>357</v>
      </c>
      <c r="E29" s="28">
        <v>187.0</v>
      </c>
      <c r="F29" s="27">
        <v>211.0</v>
      </c>
      <c r="G29" s="28">
        <v>907.0</v>
      </c>
    </row>
    <row r="30">
      <c r="D30" s="28" t="s">
        <v>359</v>
      </c>
      <c r="E30" s="27">
        <v>546.0</v>
      </c>
    </row>
    <row r="34">
      <c r="D34" s="28" t="s">
        <v>393</v>
      </c>
    </row>
    <row r="35">
      <c r="D35" s="19" t="s">
        <v>15</v>
      </c>
      <c r="E35" s="29">
        <v>506.0</v>
      </c>
      <c r="G35" s="27">
        <v>893.0</v>
      </c>
      <c r="H35" s="28">
        <v>1097.0</v>
      </c>
      <c r="I35" s="28">
        <v>436.0</v>
      </c>
    </row>
    <row r="36">
      <c r="D36" s="19" t="s">
        <v>17</v>
      </c>
      <c r="E36" s="29">
        <v>1083.0</v>
      </c>
      <c r="H36" s="27">
        <v>1140.0</v>
      </c>
      <c r="I36" s="28">
        <v>1092.0</v>
      </c>
    </row>
    <row r="37">
      <c r="D37" s="16" t="s">
        <v>19</v>
      </c>
      <c r="E37" s="29">
        <v>766.0</v>
      </c>
      <c r="G37" s="27">
        <v>563.0</v>
      </c>
      <c r="H37" s="27">
        <v>751.0</v>
      </c>
    </row>
    <row r="38">
      <c r="D38" s="16" t="s">
        <v>20</v>
      </c>
      <c r="G38" s="27">
        <v>112.0</v>
      </c>
      <c r="H38" s="28">
        <v>160.0</v>
      </c>
      <c r="I38" s="29">
        <v>184.0</v>
      </c>
      <c r="J38" s="29">
        <v>907.0</v>
      </c>
    </row>
    <row r="39">
      <c r="D39" s="16" t="s">
        <v>21</v>
      </c>
      <c r="G39" s="27">
        <v>1066.0</v>
      </c>
      <c r="H39" s="28">
        <v>872.0</v>
      </c>
      <c r="I39" s="28">
        <v>1135.0</v>
      </c>
    </row>
    <row r="43">
      <c r="D43" s="1" t="s">
        <v>0</v>
      </c>
      <c r="E43" s="2" t="s">
        <v>1</v>
      </c>
      <c r="F43" s="3" t="s">
        <v>2</v>
      </c>
      <c r="G43" s="3" t="s">
        <v>3</v>
      </c>
      <c r="H43" s="3" t="s">
        <v>4</v>
      </c>
      <c r="I43" s="4" t="s">
        <v>67</v>
      </c>
      <c r="J43" s="4" t="s">
        <v>68</v>
      </c>
      <c r="K43" s="4" t="s">
        <v>69</v>
      </c>
      <c r="L43" s="4" t="s">
        <v>70</v>
      </c>
      <c r="M43" s="176" t="s">
        <v>394</v>
      </c>
      <c r="N43" s="105" t="s">
        <v>395</v>
      </c>
      <c r="O43" s="105" t="s">
        <v>396</v>
      </c>
      <c r="P43" s="105" t="s">
        <v>397</v>
      </c>
      <c r="Q43" s="5" t="s">
        <v>9</v>
      </c>
      <c r="R43" s="6" t="s">
        <v>10</v>
      </c>
      <c r="S43" s="7" t="s">
        <v>11</v>
      </c>
    </row>
    <row r="44">
      <c r="D44" s="8">
        <v>6.0</v>
      </c>
      <c r="E44" s="9" t="s">
        <v>12</v>
      </c>
      <c r="F44" s="10">
        <v>45685.0</v>
      </c>
      <c r="G44" s="11">
        <v>616.0</v>
      </c>
      <c r="H44" s="12" t="s">
        <v>13</v>
      </c>
      <c r="I44" s="13"/>
      <c r="J44" s="13"/>
      <c r="K44" s="13"/>
      <c r="L44" s="13"/>
      <c r="M44" s="256"/>
      <c r="P44" s="141"/>
      <c r="Q44" s="14"/>
      <c r="S44" s="15"/>
    </row>
    <row r="45">
      <c r="D45" s="16">
        <v>167.0</v>
      </c>
      <c r="E45" s="16" t="s">
        <v>14</v>
      </c>
      <c r="F45" s="10"/>
      <c r="G45" s="10"/>
      <c r="H45" s="10"/>
      <c r="I45" s="17"/>
      <c r="J45" s="17"/>
      <c r="K45" s="17"/>
      <c r="L45" s="17"/>
      <c r="M45" s="256"/>
      <c r="P45" s="141"/>
      <c r="Q45" s="14"/>
      <c r="S45" s="15"/>
    </row>
    <row r="46">
      <c r="D46" s="18">
        <v>48.0</v>
      </c>
      <c r="E46" s="19" t="s">
        <v>15</v>
      </c>
      <c r="F46" s="10">
        <v>45739.0</v>
      </c>
      <c r="G46" s="12">
        <v>1070.0</v>
      </c>
      <c r="H46" s="12" t="s">
        <v>13</v>
      </c>
      <c r="I46" s="235">
        <v>5.0</v>
      </c>
      <c r="J46" s="235">
        <v>6.58</v>
      </c>
      <c r="K46" s="235">
        <v>11.42</v>
      </c>
      <c r="L46" s="235">
        <f t="shared" ref="L46:L50" si="1">AVERAGE(I46:K46)</f>
        <v>7.666666667</v>
      </c>
      <c r="M46" s="257">
        <v>5.0</v>
      </c>
      <c r="N46" s="258" t="s">
        <v>398</v>
      </c>
      <c r="O46" s="259" t="s">
        <v>399</v>
      </c>
      <c r="P46" s="4" t="s">
        <v>400</v>
      </c>
      <c r="Q46" s="260">
        <v>-0.959</v>
      </c>
      <c r="R46" s="261">
        <v>-0.941356160637481</v>
      </c>
      <c r="S46" s="23">
        <f t="shared" ref="S46:S50" si="2">(R46-Q46)/Q46</f>
        <v>-0.01839816409</v>
      </c>
    </row>
    <row r="47">
      <c r="D47" s="16">
        <v>55.0</v>
      </c>
      <c r="E47" s="19" t="s">
        <v>17</v>
      </c>
      <c r="F47" s="10">
        <v>45739.0</v>
      </c>
      <c r="G47" s="12">
        <v>1092.0</v>
      </c>
      <c r="H47" s="12" t="s">
        <v>13</v>
      </c>
      <c r="I47" s="235">
        <v>7.11</v>
      </c>
      <c r="J47" s="235">
        <v>5.0</v>
      </c>
      <c r="K47" s="235">
        <v>9.74</v>
      </c>
      <c r="L47" s="235">
        <f t="shared" si="1"/>
        <v>7.283333333</v>
      </c>
      <c r="M47" s="257">
        <v>11.0</v>
      </c>
      <c r="N47" s="258" t="s">
        <v>401</v>
      </c>
      <c r="O47" s="259" t="s">
        <v>402</v>
      </c>
      <c r="P47" s="4">
        <v>49.0</v>
      </c>
      <c r="Q47" s="260">
        <v>-0.983461055390758</v>
      </c>
      <c r="R47" s="261">
        <v>-1.03568863905778</v>
      </c>
      <c r="S47" s="23">
        <f t="shared" si="2"/>
        <v>0.05310589919</v>
      </c>
    </row>
    <row r="48">
      <c r="D48" s="16">
        <v>59.0</v>
      </c>
      <c r="E48" s="16" t="s">
        <v>19</v>
      </c>
      <c r="F48" s="10">
        <v>45739.0</v>
      </c>
      <c r="G48" s="12">
        <v>563.0</v>
      </c>
      <c r="H48" s="12" t="s">
        <v>13</v>
      </c>
      <c r="I48" s="235">
        <v>5.0</v>
      </c>
      <c r="J48" s="235">
        <v>7.11</v>
      </c>
      <c r="K48" s="235">
        <v>8.68</v>
      </c>
      <c r="L48" s="235">
        <f t="shared" si="1"/>
        <v>6.93</v>
      </c>
      <c r="M48" s="257">
        <v>1.0</v>
      </c>
      <c r="N48" s="258" t="s">
        <v>403</v>
      </c>
      <c r="O48" s="259" t="s">
        <v>404</v>
      </c>
      <c r="P48" s="4">
        <v>385.0</v>
      </c>
      <c r="Q48" s="260">
        <v>-1.0062289543877</v>
      </c>
      <c r="R48" s="261">
        <v>-0.97031500407769</v>
      </c>
      <c r="S48" s="23">
        <f t="shared" si="2"/>
        <v>-0.03569162878</v>
      </c>
    </row>
    <row r="49">
      <c r="D49" s="16">
        <v>77.0</v>
      </c>
      <c r="E49" s="16" t="s">
        <v>20</v>
      </c>
      <c r="F49" s="10">
        <v>45739.0</v>
      </c>
      <c r="G49" s="12">
        <v>184.0</v>
      </c>
      <c r="H49" s="12" t="s">
        <v>13</v>
      </c>
      <c r="I49" s="235">
        <v>6.05</v>
      </c>
      <c r="J49" s="235">
        <v>12.89</v>
      </c>
      <c r="K49" s="235">
        <v>8.68</v>
      </c>
      <c r="L49" s="235">
        <f t="shared" si="1"/>
        <v>9.206666667</v>
      </c>
      <c r="M49" s="257">
        <v>2.0</v>
      </c>
      <c r="N49" s="258" t="s">
        <v>405</v>
      </c>
      <c r="O49" s="262"/>
      <c r="P49" s="4">
        <v>211.0</v>
      </c>
      <c r="Q49" s="260">
        <v>-0.920368837543479</v>
      </c>
      <c r="R49" s="261">
        <v>-1.00954296359786</v>
      </c>
      <c r="S49" s="23">
        <f t="shared" si="2"/>
        <v>0.09688955386</v>
      </c>
    </row>
    <row r="50">
      <c r="D50" s="16">
        <v>148.0</v>
      </c>
      <c r="E50" s="16" t="s">
        <v>21</v>
      </c>
      <c r="F50" s="10">
        <v>45740.0</v>
      </c>
      <c r="G50" s="12">
        <v>546.0</v>
      </c>
      <c r="H50" s="12" t="s">
        <v>13</v>
      </c>
      <c r="I50" s="235">
        <v>5.0</v>
      </c>
      <c r="J50" s="235">
        <v>15.0</v>
      </c>
      <c r="K50" s="235">
        <v>5.0</v>
      </c>
      <c r="L50" s="235">
        <f t="shared" si="1"/>
        <v>8.333333333</v>
      </c>
      <c r="M50" s="257">
        <v>11.0</v>
      </c>
      <c r="N50" s="258" t="s">
        <v>406</v>
      </c>
      <c r="O50" s="259"/>
      <c r="P50" s="4" t="s">
        <v>407</v>
      </c>
      <c r="Q50" s="260">
        <v>-1.0182155187786</v>
      </c>
      <c r="R50" s="261">
        <v>-0.866421412348542</v>
      </c>
      <c r="S50" s="23">
        <f t="shared" si="2"/>
        <v>-0.1490785631</v>
      </c>
    </row>
    <row r="60">
      <c r="D60" s="35" t="s">
        <v>408</v>
      </c>
    </row>
    <row r="62">
      <c r="D62" s="19" t="s">
        <v>15</v>
      </c>
      <c r="E62" s="28">
        <v>506.0</v>
      </c>
      <c r="F62" s="28">
        <v>0.0</v>
      </c>
      <c r="G62" s="28">
        <v>3.75</v>
      </c>
      <c r="H62" s="28">
        <v>10.5</v>
      </c>
    </row>
    <row r="63">
      <c r="D63" s="19" t="s">
        <v>17</v>
      </c>
      <c r="E63" s="28">
        <v>1092.0</v>
      </c>
      <c r="F63" s="28">
        <v>2.25</v>
      </c>
      <c r="G63" s="28">
        <v>0.0</v>
      </c>
      <c r="H63" s="28">
        <v>6.75</v>
      </c>
    </row>
    <row r="64">
      <c r="D64" s="16" t="s">
        <v>19</v>
      </c>
      <c r="E64" s="28">
        <v>900.0</v>
      </c>
      <c r="F64" s="28">
        <v>1.19</v>
      </c>
      <c r="G64" s="28">
        <v>6.89</v>
      </c>
      <c r="H64" s="28">
        <v>17.34</v>
      </c>
    </row>
    <row r="65">
      <c r="D65" s="16" t="s">
        <v>20</v>
      </c>
      <c r="E65" s="28">
        <v>184.0</v>
      </c>
      <c r="F65" s="28">
        <v>3.75</v>
      </c>
      <c r="G65" s="28">
        <v>10.5</v>
      </c>
      <c r="H65" s="28">
        <v>4.5</v>
      </c>
    </row>
    <row r="66">
      <c r="D66" s="16" t="s">
        <v>21</v>
      </c>
      <c r="E66" s="28">
        <v>1135.0</v>
      </c>
      <c r="F66" s="28">
        <v>0.0</v>
      </c>
      <c r="G66" s="28">
        <v>9.0</v>
      </c>
      <c r="H66" s="28">
        <v>0.0</v>
      </c>
    </row>
    <row r="69">
      <c r="D69" s="35" t="s">
        <v>409</v>
      </c>
    </row>
    <row r="70">
      <c r="D70" s="28" t="s">
        <v>410</v>
      </c>
    </row>
    <row r="71">
      <c r="D71" s="28" t="s">
        <v>411</v>
      </c>
      <c r="F71" s="17"/>
      <c r="G71" s="17"/>
      <c r="H71" s="17"/>
      <c r="I71" s="17"/>
    </row>
    <row r="72">
      <c r="D72" s="28" t="s">
        <v>412</v>
      </c>
      <c r="F72" s="17"/>
      <c r="G72" s="17"/>
      <c r="H72" s="17"/>
      <c r="I72" s="17"/>
    </row>
    <row r="73">
      <c r="F73" s="17"/>
      <c r="G73" s="17"/>
      <c r="H73" s="17"/>
      <c r="I73" s="17"/>
    </row>
    <row r="74">
      <c r="D74" s="35" t="s">
        <v>413</v>
      </c>
    </row>
    <row r="75">
      <c r="D75" s="28" t="s">
        <v>414</v>
      </c>
    </row>
    <row r="76">
      <c r="D76" s="28" t="s">
        <v>415</v>
      </c>
    </row>
  </sheetData>
  <conditionalFormatting sqref="I46:K50">
    <cfRule type="colorScale" priority="1">
      <colorScale>
        <cfvo type="min"/>
        <cfvo type="max"/>
        <color rgb="FFFFFFFF"/>
        <color rgb="FF57BB8A"/>
      </colorScale>
    </cfRule>
  </conditionalFormatting>
  <conditionalFormatting sqref="S46:S50">
    <cfRule type="colorScale" priority="2">
      <colorScale>
        <cfvo type="min"/>
        <cfvo type="formula" val="0.2"/>
        <color rgb="FFFFFFFF"/>
        <color rgb="FFE67C73"/>
      </colorScale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35" t="s">
        <v>416</v>
      </c>
      <c r="C4" s="35"/>
    </row>
    <row r="5">
      <c r="C5" s="28" t="s">
        <v>417</v>
      </c>
    </row>
    <row r="7">
      <c r="C7" s="28" t="s">
        <v>418</v>
      </c>
    </row>
    <row r="8">
      <c r="D8" s="35"/>
    </row>
    <row r="9">
      <c r="B9" s="35" t="s">
        <v>419</v>
      </c>
    </row>
    <row r="10">
      <c r="C10" s="28" t="s">
        <v>420</v>
      </c>
    </row>
    <row r="13">
      <c r="D13" s="54" t="s">
        <v>421</v>
      </c>
    </row>
    <row r="14">
      <c r="D14" s="28" t="s">
        <v>422</v>
      </c>
    </row>
    <row r="16">
      <c r="D16" s="28" t="s">
        <v>423</v>
      </c>
    </row>
    <row r="20">
      <c r="B20" s="35" t="s">
        <v>424</v>
      </c>
    </row>
    <row r="21">
      <c r="B21" s="28" t="s">
        <v>425</v>
      </c>
    </row>
    <row r="22">
      <c r="B22" s="28" t="s">
        <v>426</v>
      </c>
    </row>
    <row r="23">
      <c r="C23" s="28" t="s">
        <v>427</v>
      </c>
    </row>
    <row r="26">
      <c r="L26" s="28" t="s">
        <v>428</v>
      </c>
      <c r="M26" s="28" t="s">
        <v>429</v>
      </c>
      <c r="N26" s="28" t="s">
        <v>63</v>
      </c>
      <c r="O26" s="28" t="s">
        <v>430</v>
      </c>
      <c r="P26" s="28" t="s">
        <v>431</v>
      </c>
      <c r="Q26" s="28" t="s">
        <v>199</v>
      </c>
      <c r="R26" s="28" t="s">
        <v>223</v>
      </c>
      <c r="S26" s="28" t="s">
        <v>432</v>
      </c>
      <c r="T26" s="28" t="s">
        <v>433</v>
      </c>
      <c r="U26" s="28" t="s">
        <v>8</v>
      </c>
      <c r="V26" s="28" t="s">
        <v>434</v>
      </c>
    </row>
    <row r="27">
      <c r="K27" s="28">
        <v>1.0</v>
      </c>
      <c r="M27" s="28" t="s">
        <v>435</v>
      </c>
      <c r="N27" s="28">
        <v>10.0</v>
      </c>
      <c r="O27" s="28">
        <v>0.0</v>
      </c>
      <c r="P27" s="28">
        <v>10.0</v>
      </c>
      <c r="Q27" s="28">
        <v>34.17</v>
      </c>
      <c r="R27" s="28">
        <v>1.42</v>
      </c>
      <c r="S27" s="28">
        <v>12.6</v>
      </c>
      <c r="T27" s="28">
        <v>0.53</v>
      </c>
      <c r="U27" s="28">
        <v>2.42</v>
      </c>
      <c r="V27" s="28">
        <v>29.44</v>
      </c>
    </row>
    <row r="28">
      <c r="K28" s="28">
        <v>0.0</v>
      </c>
      <c r="M28" s="28" t="s">
        <v>435</v>
      </c>
      <c r="N28" s="28">
        <v>10.0</v>
      </c>
      <c r="O28" s="28">
        <v>0.0</v>
      </c>
      <c r="P28" s="28">
        <v>1.0</v>
      </c>
      <c r="Q28" s="245">
        <v>18.98</v>
      </c>
      <c r="R28" s="28">
        <v>2.71</v>
      </c>
      <c r="S28" s="28">
        <v>-3.01</v>
      </c>
      <c r="T28" s="28">
        <v>-0.43</v>
      </c>
      <c r="U28" s="263">
        <v>5.39</v>
      </c>
      <c r="V28" s="28">
        <v>16.35</v>
      </c>
    </row>
    <row r="29">
      <c r="K29" s="28">
        <v>2.0</v>
      </c>
      <c r="M29" s="28" t="s">
        <v>435</v>
      </c>
      <c r="N29" s="28">
        <v>10.0</v>
      </c>
      <c r="O29" s="28">
        <v>0.0</v>
      </c>
      <c r="P29" s="28">
        <v>1.0</v>
      </c>
      <c r="Q29" s="28">
        <v>62.92</v>
      </c>
      <c r="R29" s="28">
        <v>2.33</v>
      </c>
      <c r="S29" s="28">
        <v>22.15</v>
      </c>
      <c r="T29" s="28">
        <v>0.82</v>
      </c>
      <c r="U29" s="28">
        <v>4.84</v>
      </c>
      <c r="V29" s="28">
        <v>54.21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25"/>
    <col customWidth="1" min="7" max="7" width="12.88"/>
    <col customWidth="1" min="17" max="17" width="16.13"/>
    <col customWidth="1" min="18" max="21" width="13.0"/>
    <col customWidth="1" min="22" max="22" width="13.88"/>
    <col customWidth="1" min="23" max="23" width="13.0"/>
  </cols>
  <sheetData>
    <row r="1">
      <c r="A1" s="196"/>
      <c r="B1" s="106" t="s">
        <v>58</v>
      </c>
      <c r="C1" s="197"/>
      <c r="D1" s="19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 t="s">
        <v>57</v>
      </c>
      <c r="T1" s="197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H1" s="197"/>
      <c r="AJ1" s="106" t="s">
        <v>48</v>
      </c>
      <c r="AK1" s="197"/>
      <c r="AN1" s="197"/>
      <c r="AO1" s="202"/>
      <c r="AP1" s="202"/>
      <c r="AQ1" s="202"/>
      <c r="AR1" s="202"/>
      <c r="AS1" s="202"/>
      <c r="AT1" s="202"/>
      <c r="AU1" s="202"/>
      <c r="AX1" s="202"/>
      <c r="AY1" s="202"/>
      <c r="AZ1" s="202"/>
      <c r="BA1" s="106" t="s">
        <v>49</v>
      </c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106" t="s">
        <v>45</v>
      </c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</row>
    <row r="2">
      <c r="A2" s="173"/>
      <c r="B2" s="105" t="s">
        <v>199</v>
      </c>
      <c r="C2" s="105" t="s">
        <v>51</v>
      </c>
      <c r="D2" s="264" t="s">
        <v>432</v>
      </c>
      <c r="E2" s="105" t="s">
        <v>52</v>
      </c>
      <c r="F2" s="105" t="s">
        <v>436</v>
      </c>
      <c r="G2" s="105" t="s">
        <v>437</v>
      </c>
      <c r="H2" s="105" t="s">
        <v>438</v>
      </c>
      <c r="I2" s="264" t="s">
        <v>386</v>
      </c>
      <c r="J2" s="264" t="s">
        <v>387</v>
      </c>
      <c r="K2" s="105" t="s">
        <v>439</v>
      </c>
      <c r="L2" s="264" t="s">
        <v>440</v>
      </c>
      <c r="M2" s="105" t="s">
        <v>441</v>
      </c>
      <c r="N2" s="105" t="s">
        <v>442</v>
      </c>
      <c r="O2" s="264" t="s">
        <v>443</v>
      </c>
      <c r="P2" s="105" t="s">
        <v>444</v>
      </c>
      <c r="Q2" s="264" t="s">
        <v>445</v>
      </c>
      <c r="R2" s="204"/>
      <c r="S2" s="105" t="s">
        <v>199</v>
      </c>
      <c r="T2" s="105" t="s">
        <v>51</v>
      </c>
      <c r="U2" s="105" t="s">
        <v>432</v>
      </c>
      <c r="V2" s="105" t="s">
        <v>52</v>
      </c>
      <c r="W2" s="264" t="s">
        <v>436</v>
      </c>
      <c r="X2" s="105" t="s">
        <v>437</v>
      </c>
      <c r="Y2" s="105" t="s">
        <v>438</v>
      </c>
      <c r="Z2" s="105" t="s">
        <v>386</v>
      </c>
      <c r="AA2" s="105" t="s">
        <v>387</v>
      </c>
      <c r="AB2" s="105" t="s">
        <v>439</v>
      </c>
      <c r="AC2" s="105" t="s">
        <v>440</v>
      </c>
      <c r="AD2" s="105" t="s">
        <v>441</v>
      </c>
      <c r="AE2" s="264" t="s">
        <v>442</v>
      </c>
      <c r="AF2" s="105" t="s">
        <v>443</v>
      </c>
      <c r="AG2" s="264" t="s">
        <v>444</v>
      </c>
      <c r="AH2" s="105" t="s">
        <v>445</v>
      </c>
      <c r="AI2" s="87"/>
      <c r="AJ2" s="105" t="s">
        <v>199</v>
      </c>
      <c r="AK2" s="105" t="s">
        <v>51</v>
      </c>
      <c r="AL2" s="105" t="s">
        <v>432</v>
      </c>
      <c r="AM2" s="105" t="s">
        <v>52</v>
      </c>
      <c r="AN2" s="105" t="s">
        <v>436</v>
      </c>
      <c r="AO2" s="105" t="s">
        <v>437</v>
      </c>
      <c r="AP2" s="264" t="s">
        <v>438</v>
      </c>
      <c r="AQ2" s="105" t="s">
        <v>386</v>
      </c>
      <c r="AR2" s="264" t="s">
        <v>387</v>
      </c>
      <c r="AS2" s="105" t="s">
        <v>439</v>
      </c>
      <c r="AT2" s="105" t="s">
        <v>440</v>
      </c>
      <c r="AU2" s="105" t="s">
        <v>441</v>
      </c>
      <c r="AV2" s="105" t="s">
        <v>442</v>
      </c>
      <c r="AW2" s="105" t="s">
        <v>443</v>
      </c>
      <c r="AX2" s="264" t="s">
        <v>444</v>
      </c>
      <c r="AY2" s="105" t="s">
        <v>445</v>
      </c>
      <c r="AZ2" s="105"/>
      <c r="BA2" s="264" t="s">
        <v>199</v>
      </c>
      <c r="BB2" s="105" t="s">
        <v>51</v>
      </c>
      <c r="BC2" s="105" t="s">
        <v>432</v>
      </c>
      <c r="BD2" s="105" t="s">
        <v>52</v>
      </c>
      <c r="BE2" s="105" t="s">
        <v>436</v>
      </c>
      <c r="BF2" s="264" t="s">
        <v>437</v>
      </c>
      <c r="BG2" s="264" t="s">
        <v>438</v>
      </c>
      <c r="BH2" s="105" t="s">
        <v>386</v>
      </c>
      <c r="BI2" s="105" t="s">
        <v>387</v>
      </c>
      <c r="BJ2" s="264" t="s">
        <v>439</v>
      </c>
      <c r="BK2" s="264" t="s">
        <v>440</v>
      </c>
      <c r="BL2" s="105" t="s">
        <v>441</v>
      </c>
      <c r="BM2" s="105" t="s">
        <v>442</v>
      </c>
      <c r="BN2" s="264" t="s">
        <v>443</v>
      </c>
      <c r="BO2" s="105" t="s">
        <v>444</v>
      </c>
      <c r="BP2" s="105" t="s">
        <v>445</v>
      </c>
      <c r="BQ2" s="105"/>
      <c r="BR2" s="105" t="s">
        <v>199</v>
      </c>
      <c r="BS2" s="105" t="s">
        <v>51</v>
      </c>
      <c r="BT2" s="105" t="s">
        <v>432</v>
      </c>
      <c r="BU2" s="105" t="s">
        <v>52</v>
      </c>
      <c r="BV2" s="105" t="s">
        <v>436</v>
      </c>
      <c r="BW2" s="105" t="s">
        <v>437</v>
      </c>
      <c r="BX2" s="105" t="s">
        <v>438</v>
      </c>
      <c r="BY2" s="264" t="s">
        <v>386</v>
      </c>
      <c r="BZ2" s="264" t="s">
        <v>387</v>
      </c>
      <c r="CA2" s="105" t="s">
        <v>439</v>
      </c>
      <c r="CB2" s="105" t="s">
        <v>440</v>
      </c>
      <c r="CC2" s="105" t="s">
        <v>441</v>
      </c>
      <c r="CD2" s="105" t="s">
        <v>442</v>
      </c>
      <c r="CE2" s="105" t="s">
        <v>443</v>
      </c>
      <c r="CF2" s="105" t="s">
        <v>444</v>
      </c>
      <c r="CG2" s="105" t="s">
        <v>445</v>
      </c>
      <c r="CH2" s="105"/>
      <c r="CI2" s="105"/>
    </row>
    <row r="3">
      <c r="A3" s="227" t="s">
        <v>446</v>
      </c>
      <c r="B3" s="228">
        <f t="shared" ref="B3:Q3" si="1">AVERAGE(B5:B24)</f>
        <v>7.6005</v>
      </c>
      <c r="C3" s="228">
        <f t="shared" si="1"/>
        <v>10.9185</v>
      </c>
      <c r="D3" s="228">
        <f t="shared" si="1"/>
        <v>17.8895</v>
      </c>
      <c r="E3" s="228">
        <f t="shared" si="1"/>
        <v>15.57</v>
      </c>
      <c r="F3" s="228">
        <f t="shared" si="1"/>
        <v>8.2845</v>
      </c>
      <c r="G3" s="228">
        <f t="shared" si="1"/>
        <v>12.0135</v>
      </c>
      <c r="H3" s="228">
        <f t="shared" si="1"/>
        <v>14.199</v>
      </c>
      <c r="I3" s="228">
        <f t="shared" si="1"/>
        <v>18.777</v>
      </c>
      <c r="J3" s="228">
        <f t="shared" si="1"/>
        <v>18.638</v>
      </c>
      <c r="K3" s="228">
        <f t="shared" si="1"/>
        <v>14.9455</v>
      </c>
      <c r="L3" s="228">
        <f t="shared" si="1"/>
        <v>20.682</v>
      </c>
      <c r="M3" s="228">
        <f t="shared" si="1"/>
        <v>12.575</v>
      </c>
      <c r="N3" s="228">
        <f t="shared" si="1"/>
        <v>15.05</v>
      </c>
      <c r="O3" s="228">
        <f t="shared" si="1"/>
        <v>19.708</v>
      </c>
      <c r="P3" s="228">
        <f t="shared" si="1"/>
        <v>9.821</v>
      </c>
      <c r="Q3" s="228">
        <f t="shared" si="1"/>
        <v>17.916</v>
      </c>
      <c r="R3" s="228"/>
      <c r="S3" s="228">
        <f t="shared" ref="S3:AH3" si="2">AVERAGE(S5:S24)</f>
        <v>-6.686</v>
      </c>
      <c r="T3" s="228">
        <f t="shared" si="2"/>
        <v>-11.556</v>
      </c>
      <c r="U3" s="228">
        <f t="shared" si="2"/>
        <v>-7.3065</v>
      </c>
      <c r="V3" s="228">
        <f t="shared" si="2"/>
        <v>-5.383</v>
      </c>
      <c r="W3" s="228">
        <f t="shared" si="2"/>
        <v>0.223</v>
      </c>
      <c r="X3" s="228">
        <f t="shared" si="2"/>
        <v>-3.991</v>
      </c>
      <c r="Y3" s="228">
        <f t="shared" si="2"/>
        <v>-4.078</v>
      </c>
      <c r="Z3" s="228">
        <f t="shared" si="2"/>
        <v>-8.5645</v>
      </c>
      <c r="AA3" s="228">
        <f t="shared" si="2"/>
        <v>-4.9165</v>
      </c>
      <c r="AB3" s="228">
        <f t="shared" si="2"/>
        <v>-3.9645</v>
      </c>
      <c r="AC3" s="228">
        <f t="shared" si="2"/>
        <v>-4.0285</v>
      </c>
      <c r="AD3" s="228">
        <f t="shared" si="2"/>
        <v>-4.825</v>
      </c>
      <c r="AE3" s="228">
        <f t="shared" si="2"/>
        <v>1.039</v>
      </c>
      <c r="AF3" s="228">
        <f t="shared" si="2"/>
        <v>-8.99</v>
      </c>
      <c r="AG3" s="228">
        <f t="shared" si="2"/>
        <v>1.5255</v>
      </c>
      <c r="AH3" s="228">
        <f t="shared" si="2"/>
        <v>-7.5305</v>
      </c>
      <c r="AJ3" s="228">
        <f t="shared" ref="AJ3:AY3" si="3">AVERAGE(AJ5:AJ24)</f>
        <v>-17.0175</v>
      </c>
      <c r="AK3" s="228">
        <f t="shared" si="3"/>
        <v>-9.2555</v>
      </c>
      <c r="AL3" s="228">
        <f t="shared" si="3"/>
        <v>-3.371</v>
      </c>
      <c r="AM3" s="228">
        <f t="shared" si="3"/>
        <v>-3.434</v>
      </c>
      <c r="AN3" s="228">
        <f t="shared" si="3"/>
        <v>-1.7255</v>
      </c>
      <c r="AO3" s="228">
        <f t="shared" si="3"/>
        <v>1.475</v>
      </c>
      <c r="AP3" s="228">
        <f t="shared" si="3"/>
        <v>7.411</v>
      </c>
      <c r="AQ3" s="228">
        <f t="shared" si="3"/>
        <v>-20.6155</v>
      </c>
      <c r="AR3" s="228">
        <f t="shared" si="3"/>
        <v>7.5315</v>
      </c>
      <c r="AS3" s="228">
        <f t="shared" si="3"/>
        <v>-4.279</v>
      </c>
      <c r="AT3" s="228">
        <f t="shared" si="3"/>
        <v>-21.1405</v>
      </c>
      <c r="AU3" s="228">
        <f t="shared" si="3"/>
        <v>-6.4655</v>
      </c>
      <c r="AV3" s="228">
        <f t="shared" si="3"/>
        <v>-1.406</v>
      </c>
      <c r="AW3" s="228">
        <f t="shared" si="3"/>
        <v>-26.958</v>
      </c>
      <c r="AX3" s="228">
        <f t="shared" si="3"/>
        <v>6.5565</v>
      </c>
      <c r="AY3" s="228">
        <f t="shared" si="3"/>
        <v>-0.874</v>
      </c>
      <c r="AZ3" s="228"/>
      <c r="BA3" s="228">
        <f t="shared" ref="BA3:BP3" si="4">AVERAGE(BA5:BA24)</f>
        <v>-14.935</v>
      </c>
      <c r="BB3" s="228">
        <f t="shared" si="4"/>
        <v>-19.5555</v>
      </c>
      <c r="BC3" s="228">
        <f t="shared" si="4"/>
        <v>-17.8795</v>
      </c>
      <c r="BD3" s="228">
        <f t="shared" si="4"/>
        <v>-19.584</v>
      </c>
      <c r="BE3" s="228">
        <f t="shared" si="4"/>
        <v>-19.266</v>
      </c>
      <c r="BF3" s="228">
        <f t="shared" si="4"/>
        <v>-14.4365</v>
      </c>
      <c r="BG3" s="228">
        <f t="shared" si="4"/>
        <v>-15.8495</v>
      </c>
      <c r="BH3" s="228">
        <f t="shared" si="4"/>
        <v>-16.996</v>
      </c>
      <c r="BI3" s="228">
        <f t="shared" si="4"/>
        <v>-21.489</v>
      </c>
      <c r="BJ3" s="228">
        <f t="shared" si="4"/>
        <v>-14.2945</v>
      </c>
      <c r="BK3" s="228">
        <f t="shared" si="4"/>
        <v>-13.973</v>
      </c>
      <c r="BL3" s="228">
        <f t="shared" si="4"/>
        <v>-21.2015</v>
      </c>
      <c r="BM3" s="228">
        <f t="shared" si="4"/>
        <v>-24.153</v>
      </c>
      <c r="BN3" s="228">
        <f t="shared" si="4"/>
        <v>-9.3005</v>
      </c>
      <c r="BO3" s="228">
        <f t="shared" si="4"/>
        <v>-29.364</v>
      </c>
      <c r="BP3" s="228">
        <f t="shared" si="4"/>
        <v>-21.378</v>
      </c>
      <c r="BQ3" s="228"/>
      <c r="BR3" s="228">
        <f t="shared" ref="BR3:CG3" si="5">AVERAGE(BR5:BR24)</f>
        <v>-4.778</v>
      </c>
      <c r="BS3" s="228">
        <f t="shared" si="5"/>
        <v>-1.8045</v>
      </c>
      <c r="BT3" s="228">
        <f t="shared" si="5"/>
        <v>-3.1355</v>
      </c>
      <c r="BU3" s="228">
        <f t="shared" si="5"/>
        <v>-0.532</v>
      </c>
      <c r="BV3" s="228">
        <f t="shared" si="5"/>
        <v>0.5815</v>
      </c>
      <c r="BW3" s="228">
        <f t="shared" si="5"/>
        <v>-0.0745</v>
      </c>
      <c r="BX3" s="228">
        <f t="shared" si="5"/>
        <v>1.555</v>
      </c>
      <c r="BY3" s="228">
        <f t="shared" si="5"/>
        <v>3.7885</v>
      </c>
      <c r="BZ3" s="228">
        <f t="shared" si="5"/>
        <v>4.334</v>
      </c>
      <c r="CA3" s="228">
        <f t="shared" si="5"/>
        <v>1.204</v>
      </c>
      <c r="CB3" s="228">
        <f t="shared" si="5"/>
        <v>-4.729</v>
      </c>
      <c r="CC3" s="228">
        <f t="shared" si="5"/>
        <v>-8.059</v>
      </c>
      <c r="CD3" s="228">
        <f t="shared" si="5"/>
        <v>1.6905</v>
      </c>
      <c r="CE3" s="228">
        <f t="shared" si="5"/>
        <v>-6.0185</v>
      </c>
      <c r="CF3" s="228">
        <f t="shared" si="5"/>
        <v>20.016</v>
      </c>
      <c r="CG3" s="228">
        <f t="shared" si="5"/>
        <v>2.7825</v>
      </c>
      <c r="CH3" s="228"/>
      <c r="CI3" s="228"/>
    </row>
    <row r="4">
      <c r="A4" s="227" t="s">
        <v>447</v>
      </c>
      <c r="B4" s="228">
        <f t="shared" ref="B4:Q4" si="6">STDEV(B5:B24)</f>
        <v>11.24865114</v>
      </c>
      <c r="C4" s="228">
        <f t="shared" si="6"/>
        <v>14.90392893</v>
      </c>
      <c r="D4" s="228">
        <f t="shared" si="6"/>
        <v>14.15806093</v>
      </c>
      <c r="E4" s="228">
        <f t="shared" si="6"/>
        <v>4.244615165</v>
      </c>
      <c r="F4" s="228">
        <f t="shared" si="6"/>
        <v>13.171811</v>
      </c>
      <c r="G4" s="228">
        <f t="shared" si="6"/>
        <v>9.603319752</v>
      </c>
      <c r="H4" s="228">
        <f t="shared" si="6"/>
        <v>12.91828891</v>
      </c>
      <c r="I4" s="228">
        <f t="shared" si="6"/>
        <v>19.77128729</v>
      </c>
      <c r="J4" s="228">
        <f t="shared" si="6"/>
        <v>7.005575674</v>
      </c>
      <c r="K4" s="228">
        <f t="shared" si="6"/>
        <v>16.41624019</v>
      </c>
      <c r="L4" s="228">
        <f t="shared" si="6"/>
        <v>14.68100728</v>
      </c>
      <c r="M4" s="228">
        <f t="shared" si="6"/>
        <v>10.60836785</v>
      </c>
      <c r="N4" s="228">
        <f t="shared" si="6"/>
        <v>9.093052872</v>
      </c>
      <c r="O4" s="228">
        <f t="shared" si="6"/>
        <v>19.51728535</v>
      </c>
      <c r="P4" s="228">
        <f t="shared" si="6"/>
        <v>11.53703871</v>
      </c>
      <c r="Q4" s="228">
        <f t="shared" si="6"/>
        <v>17.44795551</v>
      </c>
      <c r="R4" s="228"/>
      <c r="S4" s="228">
        <f t="shared" ref="S4:AH4" si="7">STDEV(S5:S24)</f>
        <v>12.16595872</v>
      </c>
      <c r="T4" s="228">
        <f t="shared" si="7"/>
        <v>5.76882949</v>
      </c>
      <c r="U4" s="228">
        <f t="shared" si="7"/>
        <v>10.61155937</v>
      </c>
      <c r="V4" s="228">
        <f t="shared" si="7"/>
        <v>9.7094019</v>
      </c>
      <c r="W4" s="228">
        <f t="shared" si="7"/>
        <v>10.47576858</v>
      </c>
      <c r="X4" s="228">
        <f t="shared" si="7"/>
        <v>8.30784721</v>
      </c>
      <c r="Y4" s="228">
        <f t="shared" si="7"/>
        <v>11.58869849</v>
      </c>
      <c r="Z4" s="228">
        <f t="shared" si="7"/>
        <v>10.91598947</v>
      </c>
      <c r="AA4" s="228">
        <f t="shared" si="7"/>
        <v>14.06734452</v>
      </c>
      <c r="AB4" s="228">
        <f t="shared" si="7"/>
        <v>12.49473383</v>
      </c>
      <c r="AC4" s="228">
        <f t="shared" si="7"/>
        <v>8.328032734</v>
      </c>
      <c r="AD4" s="228">
        <f t="shared" si="7"/>
        <v>13.2394051</v>
      </c>
      <c r="AE4" s="228">
        <f t="shared" si="7"/>
        <v>5.389534596</v>
      </c>
      <c r="AF4" s="228">
        <f t="shared" si="7"/>
        <v>11.44017758</v>
      </c>
      <c r="AG4" s="228">
        <f t="shared" si="7"/>
        <v>10.72535534</v>
      </c>
      <c r="AH4" s="228">
        <f t="shared" si="7"/>
        <v>11.60475559</v>
      </c>
      <c r="AJ4" s="228">
        <f t="shared" ref="AJ4:AY4" si="8">STDEV(AJ5:AJ24)</f>
        <v>20.00643078</v>
      </c>
      <c r="AK4" s="228">
        <f t="shared" si="8"/>
        <v>14.752809</v>
      </c>
      <c r="AL4" s="228">
        <f t="shared" si="8"/>
        <v>19.59506971</v>
      </c>
      <c r="AM4" s="228">
        <f t="shared" si="8"/>
        <v>15.96013336</v>
      </c>
      <c r="AN4" s="228">
        <f t="shared" si="8"/>
        <v>20.42408601</v>
      </c>
      <c r="AO4" s="228">
        <f t="shared" si="8"/>
        <v>11.58277919</v>
      </c>
      <c r="AP4" s="228">
        <f t="shared" si="8"/>
        <v>16.54100452</v>
      </c>
      <c r="AQ4" s="228">
        <f t="shared" si="8"/>
        <v>18.65730603</v>
      </c>
      <c r="AR4" s="228">
        <f t="shared" si="8"/>
        <v>18.35986678</v>
      </c>
      <c r="AS4" s="228">
        <f t="shared" si="8"/>
        <v>19.01378749</v>
      </c>
      <c r="AT4" s="228">
        <f t="shared" si="8"/>
        <v>20.1797727</v>
      </c>
      <c r="AU4" s="228">
        <f t="shared" si="8"/>
        <v>19.84381396</v>
      </c>
      <c r="AV4" s="228">
        <f t="shared" si="8"/>
        <v>12.78425281</v>
      </c>
      <c r="AW4" s="228">
        <f t="shared" si="8"/>
        <v>17.26944018</v>
      </c>
      <c r="AX4" s="228">
        <f t="shared" si="8"/>
        <v>19.01144621</v>
      </c>
      <c r="AY4" s="228">
        <f t="shared" si="8"/>
        <v>19.76694354</v>
      </c>
      <c r="AZ4" s="228"/>
      <c r="BA4" s="228">
        <f t="shared" ref="BA4:BP4" si="9">STDEV(BA5:BA24)</f>
        <v>16.05554487</v>
      </c>
      <c r="BB4" s="228">
        <f t="shared" si="9"/>
        <v>10.38132964</v>
      </c>
      <c r="BC4" s="228">
        <f t="shared" si="9"/>
        <v>9.056197921</v>
      </c>
      <c r="BD4" s="228">
        <f t="shared" si="9"/>
        <v>9.484603812</v>
      </c>
      <c r="BE4" s="228">
        <f t="shared" si="9"/>
        <v>12.37173196</v>
      </c>
      <c r="BF4" s="228">
        <f t="shared" si="9"/>
        <v>4.58076904</v>
      </c>
      <c r="BG4" s="228">
        <f t="shared" si="9"/>
        <v>7.544278051</v>
      </c>
      <c r="BH4" s="228">
        <f t="shared" si="9"/>
        <v>13.80792236</v>
      </c>
      <c r="BI4" s="228">
        <f t="shared" si="9"/>
        <v>8.078848863</v>
      </c>
      <c r="BJ4" s="228">
        <f t="shared" si="9"/>
        <v>11.83131504</v>
      </c>
      <c r="BK4" s="228">
        <f t="shared" si="9"/>
        <v>18.10876586</v>
      </c>
      <c r="BL4" s="228">
        <f t="shared" si="9"/>
        <v>7.777545462</v>
      </c>
      <c r="BM4" s="228">
        <f t="shared" si="9"/>
        <v>10.12215397</v>
      </c>
      <c r="BN4" s="228">
        <f t="shared" si="9"/>
        <v>21.77640913</v>
      </c>
      <c r="BO4" s="228">
        <f t="shared" si="9"/>
        <v>3.8566544</v>
      </c>
      <c r="BP4" s="228">
        <f t="shared" si="9"/>
        <v>7.438211868</v>
      </c>
      <c r="BQ4" s="228"/>
      <c r="BR4" s="228">
        <f t="shared" ref="BR4:CG4" si="10">STDEV(BR5:BR24)</f>
        <v>20.60835487</v>
      </c>
      <c r="BS4" s="228">
        <f t="shared" si="10"/>
        <v>18.76144913</v>
      </c>
      <c r="BT4" s="228">
        <f t="shared" si="10"/>
        <v>21.21806987</v>
      </c>
      <c r="BU4" s="228">
        <f t="shared" si="10"/>
        <v>18.29579002</v>
      </c>
      <c r="BV4" s="228">
        <f t="shared" si="10"/>
        <v>19.77379586</v>
      </c>
      <c r="BW4" s="228">
        <f t="shared" si="10"/>
        <v>17.49121237</v>
      </c>
      <c r="BX4" s="228">
        <f t="shared" si="10"/>
        <v>22.33867958</v>
      </c>
      <c r="BY4" s="228">
        <f t="shared" si="10"/>
        <v>29.5411054</v>
      </c>
      <c r="BZ4" s="228">
        <f t="shared" si="10"/>
        <v>17.41722723</v>
      </c>
      <c r="CA4" s="228">
        <f t="shared" si="10"/>
        <v>22.60224591</v>
      </c>
      <c r="CB4" s="228">
        <f t="shared" si="10"/>
        <v>26.77032271</v>
      </c>
      <c r="CC4" s="228">
        <f t="shared" si="10"/>
        <v>18.67476003</v>
      </c>
      <c r="CD4" s="228">
        <f t="shared" si="10"/>
        <v>10.25258503</v>
      </c>
      <c r="CE4" s="228">
        <f t="shared" si="10"/>
        <v>25.51063313</v>
      </c>
      <c r="CF4" s="228">
        <f t="shared" si="10"/>
        <v>22.19362531</v>
      </c>
      <c r="CG4" s="228">
        <f t="shared" si="10"/>
        <v>23.58607191</v>
      </c>
      <c r="CH4" s="228"/>
      <c r="CI4" s="228"/>
    </row>
    <row r="5">
      <c r="A5" s="13"/>
      <c r="B5" s="28">
        <v>16.15</v>
      </c>
      <c r="C5" s="28">
        <v>-8.78</v>
      </c>
      <c r="D5" s="28">
        <v>13.78</v>
      </c>
      <c r="E5" s="28">
        <v>16.15</v>
      </c>
      <c r="F5" s="28">
        <v>21.13</v>
      </c>
      <c r="G5" s="28">
        <v>21.13</v>
      </c>
      <c r="H5" s="28">
        <v>15.63</v>
      </c>
      <c r="I5" s="28">
        <v>-8.78</v>
      </c>
      <c r="J5" s="28">
        <v>16.15</v>
      </c>
      <c r="K5" s="28">
        <v>-5.43</v>
      </c>
      <c r="L5" s="28">
        <v>-8.78</v>
      </c>
      <c r="M5" s="28">
        <v>33.38</v>
      </c>
      <c r="N5" s="28">
        <v>18.63</v>
      </c>
      <c r="O5" s="28">
        <v>3.17</v>
      </c>
      <c r="P5" s="28">
        <v>-16.31</v>
      </c>
      <c r="Q5" s="28">
        <v>9.83</v>
      </c>
      <c r="R5" s="28"/>
      <c r="S5" s="28">
        <v>-11.15</v>
      </c>
      <c r="T5" s="28">
        <v>-11.15</v>
      </c>
      <c r="U5" s="28">
        <v>16.02</v>
      </c>
      <c r="V5" s="28">
        <v>-18.26</v>
      </c>
      <c r="W5" s="28">
        <v>5.22</v>
      </c>
      <c r="X5" s="28">
        <v>-0.93</v>
      </c>
      <c r="Y5" s="28">
        <v>0.43</v>
      </c>
      <c r="Z5" s="28">
        <v>0.19</v>
      </c>
      <c r="AA5" s="28">
        <v>-11.15</v>
      </c>
      <c r="AB5" s="28">
        <v>18.29</v>
      </c>
      <c r="AC5" s="28">
        <v>0.19</v>
      </c>
      <c r="AD5" s="28">
        <v>0.19</v>
      </c>
      <c r="AE5" s="28">
        <v>10.31</v>
      </c>
      <c r="AF5" s="28">
        <v>-14.06</v>
      </c>
      <c r="AG5" s="28">
        <v>-6.63</v>
      </c>
      <c r="AH5" s="28">
        <v>16.02</v>
      </c>
      <c r="AJ5" s="28">
        <v>-24.95</v>
      </c>
      <c r="AK5" s="28">
        <v>8.19</v>
      </c>
      <c r="AL5" s="20">
        <v>-3.43</v>
      </c>
      <c r="AM5" s="20">
        <v>8.19</v>
      </c>
      <c r="AN5" s="28">
        <v>-18.04</v>
      </c>
      <c r="AO5" s="13">
        <v>-10.61</v>
      </c>
      <c r="AP5" s="13">
        <v>19.89</v>
      </c>
      <c r="AQ5" s="13">
        <v>-24.95</v>
      </c>
      <c r="AR5" s="13">
        <v>17.71</v>
      </c>
      <c r="AS5" s="13">
        <v>8.19</v>
      </c>
      <c r="AT5" s="13">
        <v>-30.71</v>
      </c>
      <c r="AU5" s="13">
        <v>0.68</v>
      </c>
      <c r="AV5" s="13">
        <v>18.96</v>
      </c>
      <c r="AW5" s="13">
        <v>-47.08</v>
      </c>
      <c r="AX5" s="13">
        <v>32.84</v>
      </c>
      <c r="AY5" s="13">
        <v>-3.43</v>
      </c>
      <c r="AZ5" s="13"/>
      <c r="BA5" s="13">
        <v>0.23</v>
      </c>
      <c r="BB5" s="13">
        <v>-33.82</v>
      </c>
      <c r="BC5" s="13">
        <v>-10.27</v>
      </c>
      <c r="BD5" s="13">
        <v>-13.15</v>
      </c>
      <c r="BE5" s="13">
        <v>-13.15</v>
      </c>
      <c r="BF5" s="13">
        <v>-20.81</v>
      </c>
      <c r="BG5" s="13">
        <v>-13.15</v>
      </c>
      <c r="BH5" s="13">
        <v>-23.35</v>
      </c>
      <c r="BI5" s="13">
        <v>-31.32</v>
      </c>
      <c r="BJ5" s="13">
        <v>-13.15</v>
      </c>
      <c r="BK5" s="13">
        <v>-6.88</v>
      </c>
      <c r="BL5" s="13">
        <v>-31.32</v>
      </c>
      <c r="BM5" s="13">
        <v>-28.36</v>
      </c>
      <c r="BN5" s="13">
        <v>-1.65</v>
      </c>
      <c r="BO5" s="13">
        <v>-34.41</v>
      </c>
      <c r="BP5" s="13">
        <v>-10.27</v>
      </c>
      <c r="BQ5" s="13"/>
      <c r="BR5" s="13">
        <v>-26.23</v>
      </c>
      <c r="BS5" s="13">
        <v>49.32</v>
      </c>
      <c r="BT5" s="13">
        <v>-26.23</v>
      </c>
      <c r="BU5" s="13">
        <v>49.32</v>
      </c>
      <c r="BV5" s="13">
        <v>-5.47</v>
      </c>
      <c r="BW5" s="13">
        <v>-9.77</v>
      </c>
      <c r="BX5" s="13">
        <v>-10.62</v>
      </c>
      <c r="BY5" s="13">
        <v>-26.23</v>
      </c>
      <c r="BZ5" s="13">
        <v>-0.74</v>
      </c>
      <c r="CA5" s="13">
        <v>11.16</v>
      </c>
      <c r="CB5" s="13">
        <v>-26.23</v>
      </c>
      <c r="CC5" s="13">
        <v>-11.94</v>
      </c>
      <c r="CD5" s="13">
        <v>-8.15</v>
      </c>
      <c r="CE5" s="13">
        <v>89.78</v>
      </c>
      <c r="CF5" s="13">
        <v>59.57</v>
      </c>
      <c r="CG5" s="13">
        <v>-26.23</v>
      </c>
      <c r="CH5" s="13"/>
      <c r="CI5" s="13"/>
    </row>
    <row r="6">
      <c r="A6" s="69"/>
      <c r="B6" s="28">
        <v>16.33</v>
      </c>
      <c r="C6" s="28">
        <v>16.15</v>
      </c>
      <c r="D6" s="28">
        <v>23.66</v>
      </c>
      <c r="E6" s="28">
        <v>16.33</v>
      </c>
      <c r="F6" s="28">
        <v>-27.16</v>
      </c>
      <c r="G6" s="28">
        <v>13.85</v>
      </c>
      <c r="H6" s="28">
        <v>10.45</v>
      </c>
      <c r="I6" s="28">
        <v>35.03</v>
      </c>
      <c r="J6" s="28">
        <v>13.2</v>
      </c>
      <c r="K6" s="28">
        <v>23.66</v>
      </c>
      <c r="L6" s="28">
        <v>35.03</v>
      </c>
      <c r="M6" s="28">
        <v>16.15</v>
      </c>
      <c r="N6" s="28">
        <v>13.66</v>
      </c>
      <c r="O6" s="28">
        <v>24.2</v>
      </c>
      <c r="P6" s="28">
        <v>21.07</v>
      </c>
      <c r="Q6" s="28">
        <v>46.89</v>
      </c>
      <c r="R6" s="28"/>
      <c r="S6" s="28">
        <v>0.19</v>
      </c>
      <c r="T6" s="28">
        <v>-7.32</v>
      </c>
      <c r="U6" s="28">
        <v>-8.95</v>
      </c>
      <c r="V6" s="28">
        <v>-11.16</v>
      </c>
      <c r="W6" s="28">
        <v>4.95</v>
      </c>
      <c r="X6" s="28">
        <v>-2.63</v>
      </c>
      <c r="Y6" s="28">
        <v>16.02</v>
      </c>
      <c r="Z6" s="28">
        <v>-11.15</v>
      </c>
      <c r="AA6" s="28">
        <v>17.37</v>
      </c>
      <c r="AB6" s="28">
        <v>-9.54</v>
      </c>
      <c r="AC6" s="28">
        <v>-7.32</v>
      </c>
      <c r="AD6" s="28">
        <v>-12.61</v>
      </c>
      <c r="AE6" s="28">
        <v>-1.19</v>
      </c>
      <c r="AF6" s="28">
        <v>-27.1</v>
      </c>
      <c r="AG6" s="28">
        <v>-8.95</v>
      </c>
      <c r="AH6" s="28">
        <v>-25.61</v>
      </c>
      <c r="AJ6" s="28">
        <v>-4.03</v>
      </c>
      <c r="AK6" s="28">
        <v>-4.03</v>
      </c>
      <c r="AL6" s="20">
        <v>-3.9</v>
      </c>
      <c r="AM6" s="20">
        <v>15.74</v>
      </c>
      <c r="AN6" s="28">
        <v>-4.15</v>
      </c>
      <c r="AO6" s="13">
        <v>-5.21</v>
      </c>
      <c r="AP6" s="13">
        <v>8.19</v>
      </c>
      <c r="AQ6" s="13">
        <v>8.19</v>
      </c>
      <c r="AR6" s="13">
        <v>32.84</v>
      </c>
      <c r="AS6" s="13">
        <v>-3.43</v>
      </c>
      <c r="AT6" s="13">
        <v>-55.24</v>
      </c>
      <c r="AU6" s="13">
        <v>-24.95</v>
      </c>
      <c r="AV6" s="13">
        <v>15.58</v>
      </c>
      <c r="AW6" s="13">
        <v>-24.95</v>
      </c>
      <c r="AX6" s="13">
        <v>55.03</v>
      </c>
      <c r="AY6" s="13">
        <v>-3.9</v>
      </c>
      <c r="AZ6" s="13"/>
      <c r="BA6" s="13">
        <v>-33.82</v>
      </c>
      <c r="BB6" s="13">
        <v>0.23</v>
      </c>
      <c r="BC6" s="13">
        <v>-15.96</v>
      </c>
      <c r="BD6" s="13">
        <v>-25.1</v>
      </c>
      <c r="BE6" s="13">
        <v>-9.76</v>
      </c>
      <c r="BF6" s="13">
        <v>-10.27</v>
      </c>
      <c r="BG6" s="13">
        <v>-20.69</v>
      </c>
      <c r="BH6" s="13">
        <v>-33.82</v>
      </c>
      <c r="BI6" s="13">
        <v>-20.47</v>
      </c>
      <c r="BJ6" s="13">
        <v>-8.05</v>
      </c>
      <c r="BK6" s="13">
        <v>-23.35</v>
      </c>
      <c r="BL6" s="13">
        <v>-30.7</v>
      </c>
      <c r="BM6" s="13">
        <v>9.82</v>
      </c>
      <c r="BN6" s="13">
        <v>-4.73</v>
      </c>
      <c r="BO6" s="13">
        <v>-32.59</v>
      </c>
      <c r="BP6" s="13">
        <v>-20.04</v>
      </c>
      <c r="BQ6" s="13"/>
      <c r="BR6" s="13">
        <v>-11.3</v>
      </c>
      <c r="BS6" s="13">
        <v>-11.3</v>
      </c>
      <c r="BT6" s="13">
        <v>-27.55</v>
      </c>
      <c r="BU6" s="13">
        <v>-11.3</v>
      </c>
      <c r="BV6" s="13">
        <v>-19.06</v>
      </c>
      <c r="BW6" s="13">
        <v>-19.22</v>
      </c>
      <c r="BX6" s="13">
        <v>11.16</v>
      </c>
      <c r="BY6" s="13">
        <v>23.16</v>
      </c>
      <c r="BZ6" s="13">
        <v>-13.43</v>
      </c>
      <c r="CA6" s="13">
        <v>-19.22</v>
      </c>
      <c r="CB6" s="13">
        <v>-22.63</v>
      </c>
      <c r="CC6" s="28">
        <v>-13.43</v>
      </c>
      <c r="CD6" s="13">
        <v>4.34</v>
      </c>
      <c r="CE6" s="13">
        <v>-20.94</v>
      </c>
      <c r="CF6" s="13">
        <v>79.24</v>
      </c>
      <c r="CG6" s="13">
        <v>-5.37</v>
      </c>
      <c r="CH6" s="13"/>
      <c r="CI6" s="13"/>
    </row>
    <row r="7">
      <c r="A7" s="69"/>
      <c r="B7" s="28">
        <v>8.06</v>
      </c>
      <c r="C7" s="28">
        <v>-5.43</v>
      </c>
      <c r="D7" s="28">
        <v>31.17</v>
      </c>
      <c r="E7" s="28">
        <v>14.26</v>
      </c>
      <c r="F7" s="28">
        <v>14.2</v>
      </c>
      <c r="G7" s="28">
        <v>13.09</v>
      </c>
      <c r="H7" s="28">
        <v>24.79</v>
      </c>
      <c r="I7" s="28">
        <v>-23.7</v>
      </c>
      <c r="J7" s="28">
        <v>11.03</v>
      </c>
      <c r="K7" s="28">
        <v>-27.16</v>
      </c>
      <c r="L7" s="28">
        <v>13.2</v>
      </c>
      <c r="M7" s="28">
        <v>8.06</v>
      </c>
      <c r="N7" s="28">
        <v>14.23</v>
      </c>
      <c r="O7" s="28">
        <v>5.56</v>
      </c>
      <c r="P7" s="28">
        <v>12.64</v>
      </c>
      <c r="Q7" s="28">
        <v>55.61</v>
      </c>
      <c r="R7" s="28"/>
      <c r="S7" s="28">
        <v>-15.29</v>
      </c>
      <c r="T7" s="28">
        <v>-18.26</v>
      </c>
      <c r="U7" s="28">
        <v>-25.61</v>
      </c>
      <c r="V7" s="28">
        <v>-8.1</v>
      </c>
      <c r="W7" s="28">
        <v>5.08</v>
      </c>
      <c r="X7" s="28">
        <v>-1.34</v>
      </c>
      <c r="Y7" s="28">
        <v>-25.9</v>
      </c>
      <c r="Z7" s="28">
        <v>-7.32</v>
      </c>
      <c r="AA7" s="28">
        <v>-17.4</v>
      </c>
      <c r="AB7" s="28">
        <v>-15.29</v>
      </c>
      <c r="AC7" s="28">
        <v>-11.15</v>
      </c>
      <c r="AD7" s="28">
        <v>-11.15</v>
      </c>
      <c r="AE7" s="28">
        <v>-0.79</v>
      </c>
      <c r="AF7" s="28">
        <v>-31.57</v>
      </c>
      <c r="AG7" s="28">
        <v>27.55</v>
      </c>
      <c r="AH7" s="28">
        <v>-16.1</v>
      </c>
      <c r="AJ7" s="28">
        <v>8.19</v>
      </c>
      <c r="AK7" s="28">
        <v>5.33</v>
      </c>
      <c r="AL7" s="20">
        <v>19.02</v>
      </c>
      <c r="AM7" s="20">
        <v>-4.03</v>
      </c>
      <c r="AN7" s="28">
        <v>27.73</v>
      </c>
      <c r="AO7" s="13">
        <v>-9.24</v>
      </c>
      <c r="AP7" s="13">
        <v>4.81</v>
      </c>
      <c r="AQ7" s="13">
        <v>-30.71</v>
      </c>
      <c r="AR7" s="13">
        <v>15.74</v>
      </c>
      <c r="AS7" s="13">
        <v>-23.17</v>
      </c>
      <c r="AT7" s="13">
        <v>-24.95</v>
      </c>
      <c r="AU7" s="13">
        <v>-4.03</v>
      </c>
      <c r="AV7" s="13">
        <v>5.19</v>
      </c>
      <c r="AW7" s="13">
        <v>-42.89</v>
      </c>
      <c r="AX7" s="13">
        <v>-26.14</v>
      </c>
      <c r="AY7" s="13">
        <v>-7.27</v>
      </c>
      <c r="AZ7" s="13"/>
      <c r="BA7" s="13">
        <v>-13.15</v>
      </c>
      <c r="BB7" s="13">
        <v>-28.85</v>
      </c>
      <c r="BC7" s="13">
        <v>-22.51</v>
      </c>
      <c r="BD7" s="13">
        <v>-27.91</v>
      </c>
      <c r="BE7" s="13">
        <v>-31.32</v>
      </c>
      <c r="BF7" s="13">
        <v>-9.35</v>
      </c>
      <c r="BG7" s="13">
        <v>2.7</v>
      </c>
      <c r="BH7" s="13">
        <v>0.23</v>
      </c>
      <c r="BI7" s="13">
        <v>-20.42</v>
      </c>
      <c r="BJ7" s="13">
        <v>2.7</v>
      </c>
      <c r="BK7" s="13">
        <v>0.23</v>
      </c>
      <c r="BL7" s="13">
        <v>-9.79</v>
      </c>
      <c r="BM7" s="13">
        <v>-31.41</v>
      </c>
      <c r="BN7" s="13">
        <v>60.49</v>
      </c>
      <c r="BO7" s="13">
        <v>-34.62</v>
      </c>
      <c r="BP7" s="13">
        <v>-15.96</v>
      </c>
      <c r="BQ7" s="13"/>
      <c r="BR7" s="13">
        <v>-11.68</v>
      </c>
      <c r="BS7" s="13">
        <v>-26.23</v>
      </c>
      <c r="BT7" s="13">
        <v>-25.7</v>
      </c>
      <c r="BU7" s="13">
        <v>-26.23</v>
      </c>
      <c r="BV7" s="13">
        <v>-29.25</v>
      </c>
      <c r="BW7" s="13">
        <v>5.46</v>
      </c>
      <c r="BX7" s="13">
        <v>49.32</v>
      </c>
      <c r="BY7" s="13">
        <v>14.63</v>
      </c>
      <c r="BZ7" s="13">
        <v>8.05</v>
      </c>
      <c r="CA7" s="13">
        <v>-21.01</v>
      </c>
      <c r="CB7" s="13">
        <v>-36.27</v>
      </c>
      <c r="CC7" s="13">
        <v>-19.83</v>
      </c>
      <c r="CD7" s="13">
        <v>-18.58</v>
      </c>
      <c r="CE7" s="13">
        <v>-2.38</v>
      </c>
      <c r="CF7" s="13">
        <v>40.44</v>
      </c>
      <c r="CG7" s="13">
        <v>-2.38</v>
      </c>
      <c r="CH7" s="13"/>
      <c r="CI7" s="13"/>
    </row>
    <row r="8">
      <c r="A8" s="69"/>
      <c r="B8" s="28">
        <v>15.76</v>
      </c>
      <c r="C8" s="28">
        <v>3.29</v>
      </c>
      <c r="D8" s="28">
        <v>24.84</v>
      </c>
      <c r="E8" s="28">
        <v>13.53</v>
      </c>
      <c r="F8" s="28">
        <v>13.85</v>
      </c>
      <c r="G8" s="28">
        <v>2.28</v>
      </c>
      <c r="H8" s="28">
        <v>-5.43</v>
      </c>
      <c r="I8" s="28">
        <v>12.96</v>
      </c>
      <c r="J8" s="28">
        <v>18.21</v>
      </c>
      <c r="K8" s="28">
        <v>15.63</v>
      </c>
      <c r="L8" s="28">
        <v>39.55</v>
      </c>
      <c r="M8" s="28">
        <v>13.82</v>
      </c>
      <c r="N8" s="28">
        <v>5.57</v>
      </c>
      <c r="O8" s="28">
        <v>9.03</v>
      </c>
      <c r="P8" s="28">
        <v>6.87</v>
      </c>
      <c r="Q8" s="28">
        <v>0.2</v>
      </c>
      <c r="R8" s="28"/>
      <c r="S8" s="28">
        <v>-7.16</v>
      </c>
      <c r="T8" s="28">
        <v>0.19</v>
      </c>
      <c r="U8" s="28">
        <v>-6.88</v>
      </c>
      <c r="V8" s="28">
        <v>-1.65</v>
      </c>
      <c r="W8" s="28">
        <v>18.14</v>
      </c>
      <c r="X8" s="28">
        <v>-25.23</v>
      </c>
      <c r="Y8" s="28">
        <v>-11.51</v>
      </c>
      <c r="Z8" s="28">
        <v>-13.79</v>
      </c>
      <c r="AA8" s="28">
        <v>-5.28</v>
      </c>
      <c r="AB8" s="28">
        <v>-25.9</v>
      </c>
      <c r="AC8" s="28">
        <v>-11.18</v>
      </c>
      <c r="AD8" s="28">
        <v>-39.04</v>
      </c>
      <c r="AE8" s="28">
        <v>-0.31</v>
      </c>
      <c r="AF8" s="28">
        <v>-4.02</v>
      </c>
      <c r="AG8" s="28">
        <v>4.84</v>
      </c>
      <c r="AH8" s="28">
        <v>-2.75</v>
      </c>
      <c r="AJ8" s="28">
        <v>-29.97</v>
      </c>
      <c r="AK8" s="28">
        <v>-24.95</v>
      </c>
      <c r="AL8" s="20">
        <v>-26.58</v>
      </c>
      <c r="AM8" s="20">
        <v>5.33</v>
      </c>
      <c r="AN8" s="28">
        <v>-21.72</v>
      </c>
      <c r="AO8" s="13">
        <v>-3.58</v>
      </c>
      <c r="AP8" s="13">
        <v>4.26</v>
      </c>
      <c r="AQ8" s="13">
        <v>-55.24</v>
      </c>
      <c r="AR8" s="13">
        <v>-4.03</v>
      </c>
      <c r="AS8" s="13">
        <v>5.27</v>
      </c>
      <c r="AT8" s="13">
        <v>-32.32</v>
      </c>
      <c r="AU8" s="13">
        <v>-13.64</v>
      </c>
      <c r="AV8" s="13">
        <v>-26.58</v>
      </c>
      <c r="AW8" s="13">
        <v>-17.01</v>
      </c>
      <c r="AX8" s="13">
        <v>-0.23</v>
      </c>
      <c r="AY8" s="13">
        <v>-3.51</v>
      </c>
      <c r="AZ8" s="13"/>
      <c r="BA8" s="13">
        <v>-8.05</v>
      </c>
      <c r="BB8" s="13">
        <v>-8.05</v>
      </c>
      <c r="BC8" s="13">
        <v>-15.96</v>
      </c>
      <c r="BD8" s="13">
        <v>0.23</v>
      </c>
      <c r="BE8" s="13">
        <v>-6.77</v>
      </c>
      <c r="BF8" s="13">
        <v>-9.76</v>
      </c>
      <c r="BG8" s="13">
        <v>-9.76</v>
      </c>
      <c r="BH8" s="13">
        <v>-6.88</v>
      </c>
      <c r="BI8" s="13">
        <v>-20.14</v>
      </c>
      <c r="BJ8" s="13">
        <v>-38.8</v>
      </c>
      <c r="BK8" s="13">
        <v>-28.57</v>
      </c>
      <c r="BL8" s="13">
        <v>-24.12</v>
      </c>
      <c r="BM8" s="13">
        <v>-30.47</v>
      </c>
      <c r="BN8" s="13">
        <v>-17.95</v>
      </c>
      <c r="BO8" s="13">
        <v>-32.18</v>
      </c>
      <c r="BP8" s="13">
        <v>-22.51</v>
      </c>
      <c r="BQ8" s="13"/>
      <c r="BR8" s="13">
        <v>-13.43</v>
      </c>
      <c r="BS8" s="13">
        <v>14.63</v>
      </c>
      <c r="BT8" s="13">
        <v>-2.38</v>
      </c>
      <c r="BU8" s="13">
        <v>-30.84</v>
      </c>
      <c r="BV8" s="13">
        <v>15.97</v>
      </c>
      <c r="BW8" s="13">
        <v>6.3</v>
      </c>
      <c r="BX8" s="13">
        <v>-11.32</v>
      </c>
      <c r="BY8" s="13">
        <v>3.35</v>
      </c>
      <c r="BZ8" s="13">
        <v>-14.54</v>
      </c>
      <c r="CA8" s="13">
        <v>-11.98</v>
      </c>
      <c r="CB8" s="13">
        <v>-9.35</v>
      </c>
      <c r="CC8" s="13">
        <v>42.21</v>
      </c>
      <c r="CD8" s="13">
        <v>4.27</v>
      </c>
      <c r="CE8" s="13">
        <v>10.75</v>
      </c>
      <c r="CF8" s="13">
        <v>-1.87</v>
      </c>
      <c r="CG8" s="13">
        <v>-25.7</v>
      </c>
      <c r="CH8" s="13"/>
      <c r="CI8" s="13"/>
    </row>
    <row r="9">
      <c r="A9" s="69"/>
      <c r="B9" s="28">
        <v>13.82</v>
      </c>
      <c r="C9" s="28">
        <v>13.09</v>
      </c>
      <c r="D9" s="28">
        <v>46.89</v>
      </c>
      <c r="E9" s="28">
        <v>8.06</v>
      </c>
      <c r="F9" s="28">
        <v>13.97</v>
      </c>
      <c r="G9" s="28">
        <v>4.42</v>
      </c>
      <c r="H9" s="28">
        <v>11.06</v>
      </c>
      <c r="I9" s="28">
        <v>0.64</v>
      </c>
      <c r="J9" s="28">
        <v>26.5</v>
      </c>
      <c r="K9" s="28">
        <v>2.38</v>
      </c>
      <c r="L9" s="28">
        <v>31.17</v>
      </c>
      <c r="M9" s="28">
        <v>15.76</v>
      </c>
      <c r="N9" s="28">
        <v>20.34</v>
      </c>
      <c r="O9" s="28">
        <v>2.15</v>
      </c>
      <c r="P9" s="28">
        <v>4.57</v>
      </c>
      <c r="Q9" s="28">
        <v>28.18</v>
      </c>
      <c r="R9" s="28"/>
      <c r="S9" s="28">
        <v>-15.3</v>
      </c>
      <c r="T9" s="28">
        <v>-15.33</v>
      </c>
      <c r="U9" s="28">
        <v>-11.87</v>
      </c>
      <c r="V9" s="28">
        <v>-10.19</v>
      </c>
      <c r="W9" s="28">
        <v>-7.54</v>
      </c>
      <c r="X9" s="28">
        <v>-2.04</v>
      </c>
      <c r="Y9" s="28">
        <v>2.62</v>
      </c>
      <c r="Z9" s="28">
        <v>-15.33</v>
      </c>
      <c r="AA9" s="28">
        <v>-16.18</v>
      </c>
      <c r="AB9" s="28">
        <v>16.02</v>
      </c>
      <c r="AC9" s="28">
        <v>-13.79</v>
      </c>
      <c r="AD9" s="28">
        <v>-13.66</v>
      </c>
      <c r="AE9" s="28">
        <v>0.42</v>
      </c>
      <c r="AF9" s="28">
        <v>-15.33</v>
      </c>
      <c r="AG9" s="28">
        <v>5.22</v>
      </c>
      <c r="AH9" s="28">
        <v>1.78</v>
      </c>
      <c r="AJ9" s="28">
        <v>-30.71</v>
      </c>
      <c r="AK9" s="28">
        <v>-8.62</v>
      </c>
      <c r="AL9" s="20">
        <v>-2.32</v>
      </c>
      <c r="AM9" s="20">
        <v>-8.93</v>
      </c>
      <c r="AN9" s="28">
        <v>2.65</v>
      </c>
      <c r="AO9" s="13">
        <v>0.43</v>
      </c>
      <c r="AP9" s="13">
        <v>5.14</v>
      </c>
      <c r="AQ9" s="13">
        <v>25.91</v>
      </c>
      <c r="AR9" s="13">
        <v>-0.23</v>
      </c>
      <c r="AS9" s="13">
        <v>-0.39</v>
      </c>
      <c r="AT9" s="13">
        <v>25.91</v>
      </c>
      <c r="AU9" s="13">
        <v>14.12</v>
      </c>
      <c r="AV9" s="13">
        <v>-9.76</v>
      </c>
      <c r="AW9" s="13">
        <v>-30.71</v>
      </c>
      <c r="AX9" s="13">
        <v>14.25</v>
      </c>
      <c r="AY9" s="13">
        <v>-2.32</v>
      </c>
      <c r="AZ9" s="69"/>
      <c r="BA9" s="13">
        <v>-7.06</v>
      </c>
      <c r="BB9" s="13">
        <v>-14.42</v>
      </c>
      <c r="BC9" s="13">
        <v>-20.04</v>
      </c>
      <c r="BD9" s="13">
        <v>-33.82</v>
      </c>
      <c r="BE9" s="13">
        <v>-20.14</v>
      </c>
      <c r="BF9" s="13">
        <v>-20.14</v>
      </c>
      <c r="BG9" s="13">
        <v>-20.2</v>
      </c>
      <c r="BH9" s="13">
        <v>-28.57</v>
      </c>
      <c r="BI9" s="13">
        <v>-24.12</v>
      </c>
      <c r="BJ9" s="13">
        <v>1.74</v>
      </c>
      <c r="BK9" s="13">
        <v>-33.82</v>
      </c>
      <c r="BL9" s="13">
        <v>-20.47</v>
      </c>
      <c r="BM9" s="13">
        <v>-25.4</v>
      </c>
      <c r="BN9" s="13">
        <v>21.11</v>
      </c>
      <c r="BO9" s="13">
        <v>-33.96</v>
      </c>
      <c r="BP9" s="13">
        <v>-22.98</v>
      </c>
      <c r="BQ9" s="69"/>
      <c r="BR9" s="13">
        <v>-12.89</v>
      </c>
      <c r="BS9" s="13">
        <v>-13.43</v>
      </c>
      <c r="BT9" s="13">
        <v>-5.37</v>
      </c>
      <c r="BU9" s="13">
        <v>5.96</v>
      </c>
      <c r="BV9" s="13">
        <v>12.57</v>
      </c>
      <c r="BW9" s="13">
        <v>-19.06</v>
      </c>
      <c r="BX9" s="13">
        <v>50.8</v>
      </c>
      <c r="BY9" s="13">
        <v>89.78</v>
      </c>
      <c r="BZ9" s="13">
        <v>26.6</v>
      </c>
      <c r="CA9" s="13">
        <v>-25.7</v>
      </c>
      <c r="CB9" s="13">
        <v>-23.85</v>
      </c>
      <c r="CC9" s="13">
        <v>-12.89</v>
      </c>
      <c r="CD9" s="13">
        <v>4.43</v>
      </c>
      <c r="CE9" s="13">
        <v>-18.03</v>
      </c>
      <c r="CF9" s="13">
        <v>6.82</v>
      </c>
      <c r="CG9" s="13">
        <v>5.46</v>
      </c>
      <c r="CH9" s="69"/>
      <c r="CI9" s="69"/>
    </row>
    <row r="10">
      <c r="A10" s="69"/>
      <c r="B10" s="28">
        <v>-8.78</v>
      </c>
      <c r="C10" s="28">
        <v>35.03</v>
      </c>
      <c r="D10" s="28">
        <v>16.57</v>
      </c>
      <c r="E10" s="28">
        <v>13.89</v>
      </c>
      <c r="F10" s="28">
        <v>-16.31</v>
      </c>
      <c r="G10" s="28">
        <v>13.68</v>
      </c>
      <c r="H10" s="28">
        <v>16.15</v>
      </c>
      <c r="I10" s="28">
        <v>39.17</v>
      </c>
      <c r="J10" s="28">
        <v>15.76</v>
      </c>
      <c r="K10" s="28">
        <v>11.96</v>
      </c>
      <c r="L10" s="28">
        <v>27.56</v>
      </c>
      <c r="M10" s="28">
        <v>16.44</v>
      </c>
      <c r="N10" s="28">
        <v>18.18</v>
      </c>
      <c r="O10" s="28">
        <v>0.64</v>
      </c>
      <c r="P10" s="28">
        <v>-5.07</v>
      </c>
      <c r="Q10" s="28">
        <v>2.89</v>
      </c>
      <c r="R10" s="28"/>
      <c r="S10" s="28">
        <v>-13.66</v>
      </c>
      <c r="T10" s="28">
        <v>-17.14</v>
      </c>
      <c r="U10" s="28">
        <v>-5.03</v>
      </c>
      <c r="V10" s="28">
        <v>2.62</v>
      </c>
      <c r="W10" s="28">
        <v>4.2</v>
      </c>
      <c r="X10" s="28">
        <v>-0.4</v>
      </c>
      <c r="Y10" s="28">
        <v>18.29</v>
      </c>
      <c r="Z10" s="28">
        <v>0.37</v>
      </c>
      <c r="AA10" s="28">
        <v>1.87</v>
      </c>
      <c r="AB10" s="28">
        <v>-13.66</v>
      </c>
      <c r="AC10" s="28">
        <v>-2.0</v>
      </c>
      <c r="AD10" s="28">
        <v>17.37</v>
      </c>
      <c r="AE10" s="28">
        <v>-12.03</v>
      </c>
      <c r="AF10" s="28">
        <v>-24.82</v>
      </c>
      <c r="AG10" s="28">
        <v>19.22</v>
      </c>
      <c r="AH10" s="28">
        <v>14.42</v>
      </c>
      <c r="AJ10" s="28">
        <v>-32.32</v>
      </c>
      <c r="AK10" s="28">
        <v>-27.78</v>
      </c>
      <c r="AL10" s="20">
        <v>-8.24</v>
      </c>
      <c r="AM10" s="20">
        <v>2.67</v>
      </c>
      <c r="AN10" s="28">
        <v>14.12</v>
      </c>
      <c r="AO10" s="13">
        <v>4.89</v>
      </c>
      <c r="AP10" s="13">
        <v>-4.97</v>
      </c>
      <c r="AQ10" s="13">
        <v>-27.78</v>
      </c>
      <c r="AR10" s="13">
        <v>-3.08</v>
      </c>
      <c r="AS10" s="13">
        <v>-3.64</v>
      </c>
      <c r="AT10" s="13">
        <v>-20.89</v>
      </c>
      <c r="AU10" s="13">
        <v>-34.54</v>
      </c>
      <c r="AV10" s="13">
        <v>-12.2</v>
      </c>
      <c r="AW10" s="13">
        <v>-44.69</v>
      </c>
      <c r="AX10" s="13">
        <v>-13.25</v>
      </c>
      <c r="AY10" s="13">
        <v>-22.01</v>
      </c>
      <c r="AZ10" s="69"/>
      <c r="BA10" s="13">
        <v>-28.85</v>
      </c>
      <c r="BB10" s="13">
        <v>-14.38</v>
      </c>
      <c r="BC10" s="13">
        <v>-24.83</v>
      </c>
      <c r="BD10" s="13">
        <v>-16.67</v>
      </c>
      <c r="BE10" s="13">
        <v>-29.36</v>
      </c>
      <c r="BF10" s="13">
        <v>-12.78</v>
      </c>
      <c r="BG10" s="13">
        <v>-11.24</v>
      </c>
      <c r="BH10" s="13">
        <v>21.11</v>
      </c>
      <c r="BI10" s="13">
        <v>-9.79</v>
      </c>
      <c r="BJ10" s="13">
        <v>-20.69</v>
      </c>
      <c r="BK10" s="13">
        <v>-23.81</v>
      </c>
      <c r="BL10" s="13">
        <v>-20.14</v>
      </c>
      <c r="BM10" s="13">
        <v>-28.02</v>
      </c>
      <c r="BN10" s="13">
        <v>-33.32</v>
      </c>
      <c r="BO10" s="13">
        <v>-26.67</v>
      </c>
      <c r="BP10" s="13">
        <v>-24.83</v>
      </c>
      <c r="BQ10" s="69"/>
      <c r="BR10" s="13">
        <v>49.32</v>
      </c>
      <c r="BS10" s="13">
        <v>-12.89</v>
      </c>
      <c r="BT10" s="13">
        <v>5.46</v>
      </c>
      <c r="BU10" s="13">
        <v>-13.43</v>
      </c>
      <c r="BV10" s="13">
        <v>50.8</v>
      </c>
      <c r="BW10" s="13">
        <v>-21.01</v>
      </c>
      <c r="BX10" s="13">
        <v>-31.33</v>
      </c>
      <c r="BY10" s="13">
        <v>-10.36</v>
      </c>
      <c r="BZ10" s="13">
        <v>2.8</v>
      </c>
      <c r="CA10" s="13">
        <v>-10.62</v>
      </c>
      <c r="CB10" s="13">
        <v>23.16</v>
      </c>
      <c r="CC10" s="13">
        <v>-26.23</v>
      </c>
      <c r="CD10" s="13">
        <v>-5.0</v>
      </c>
      <c r="CE10" s="13">
        <v>-12.5</v>
      </c>
      <c r="CF10" s="13">
        <v>24.13</v>
      </c>
      <c r="CG10" s="13">
        <v>-13.37</v>
      </c>
      <c r="CH10" s="69"/>
      <c r="CI10" s="69"/>
    </row>
    <row r="11">
      <c r="A11" s="69"/>
      <c r="B11" s="28">
        <v>13.09</v>
      </c>
      <c r="C11" s="28">
        <v>-9.5</v>
      </c>
      <c r="D11" s="28">
        <v>13.09</v>
      </c>
      <c r="E11" s="28">
        <v>15.76</v>
      </c>
      <c r="F11" s="28">
        <v>-5.07</v>
      </c>
      <c r="G11" s="28">
        <v>7.29</v>
      </c>
      <c r="H11" s="28">
        <v>55.61</v>
      </c>
      <c r="I11" s="28">
        <v>45.72</v>
      </c>
      <c r="J11" s="28">
        <v>16.33</v>
      </c>
      <c r="K11" s="28">
        <v>10.45</v>
      </c>
      <c r="L11" s="28">
        <v>13.09</v>
      </c>
      <c r="M11" s="28">
        <v>2.89</v>
      </c>
      <c r="N11" s="28">
        <v>14.64</v>
      </c>
      <c r="O11" s="28">
        <v>26.95</v>
      </c>
      <c r="P11" s="28">
        <v>13.78</v>
      </c>
      <c r="Q11" s="28">
        <v>3.29</v>
      </c>
      <c r="R11" s="28"/>
      <c r="S11" s="28">
        <v>-9.74</v>
      </c>
      <c r="T11" s="28">
        <v>-17.31</v>
      </c>
      <c r="U11" s="28">
        <v>-1.55</v>
      </c>
      <c r="V11" s="28">
        <v>-11.72</v>
      </c>
      <c r="W11" s="28">
        <v>-4.95</v>
      </c>
      <c r="X11" s="28">
        <v>0.06</v>
      </c>
      <c r="Y11" s="28">
        <v>1.7</v>
      </c>
      <c r="Z11" s="28">
        <v>-18.26</v>
      </c>
      <c r="AA11" s="28">
        <v>-10.19</v>
      </c>
      <c r="AB11" s="28">
        <v>-18.52</v>
      </c>
      <c r="AC11" s="28">
        <v>0.37</v>
      </c>
      <c r="AD11" s="28">
        <v>1.7</v>
      </c>
      <c r="AE11" s="28">
        <v>-0.69</v>
      </c>
      <c r="AF11" s="28">
        <v>0.19</v>
      </c>
      <c r="AG11" s="28">
        <v>-15.29</v>
      </c>
      <c r="AH11" s="28">
        <v>-11.87</v>
      </c>
      <c r="AJ11" s="28">
        <v>0.68</v>
      </c>
      <c r="AK11" s="28">
        <v>-15.09</v>
      </c>
      <c r="AL11" s="20">
        <v>-3.51</v>
      </c>
      <c r="AM11" s="20">
        <v>-8.62</v>
      </c>
      <c r="AN11" s="28">
        <v>-10.18</v>
      </c>
      <c r="AO11" s="13">
        <v>23.28</v>
      </c>
      <c r="AP11" s="13">
        <v>-3.43</v>
      </c>
      <c r="AQ11" s="13">
        <v>-8.62</v>
      </c>
      <c r="AR11" s="13">
        <v>2.38</v>
      </c>
      <c r="AS11" s="13">
        <v>13.94</v>
      </c>
      <c r="AT11" s="13">
        <v>8.19</v>
      </c>
      <c r="AU11" s="13">
        <v>-27.24</v>
      </c>
      <c r="AV11" s="13">
        <v>7.05</v>
      </c>
      <c r="AW11" s="13">
        <v>-23.95</v>
      </c>
      <c r="AX11" s="13">
        <v>2.98</v>
      </c>
      <c r="AY11" s="13">
        <v>19.76</v>
      </c>
      <c r="AZ11" s="69"/>
      <c r="BA11" s="13">
        <v>-12.4</v>
      </c>
      <c r="BB11" s="13">
        <v>-35.41</v>
      </c>
      <c r="BC11" s="13">
        <v>-32.1</v>
      </c>
      <c r="BD11" s="13">
        <v>-20.69</v>
      </c>
      <c r="BE11" s="13">
        <v>-18.11</v>
      </c>
      <c r="BF11" s="13">
        <v>-6.95</v>
      </c>
      <c r="BG11" s="13">
        <v>-11.18</v>
      </c>
      <c r="BH11" s="13">
        <v>-4.73</v>
      </c>
      <c r="BI11" s="13">
        <v>-30.7</v>
      </c>
      <c r="BJ11" s="13">
        <v>-33.32</v>
      </c>
      <c r="BK11" s="13">
        <v>-6.13</v>
      </c>
      <c r="BL11" s="13">
        <v>-20.42</v>
      </c>
      <c r="BM11" s="13">
        <v>-17.38</v>
      </c>
      <c r="BN11" s="13">
        <v>-8.25</v>
      </c>
      <c r="BO11" s="13">
        <v>-31.48</v>
      </c>
      <c r="BP11" s="13">
        <v>-7.11</v>
      </c>
      <c r="BQ11" s="69"/>
      <c r="BR11" s="13">
        <v>11.16</v>
      </c>
      <c r="BS11" s="13">
        <v>10.36</v>
      </c>
      <c r="BT11" s="13">
        <v>-19.22</v>
      </c>
      <c r="BU11" s="13">
        <v>23.16</v>
      </c>
      <c r="BV11" s="13">
        <v>-9.77</v>
      </c>
      <c r="BW11" s="13">
        <v>29.49</v>
      </c>
      <c r="BX11" s="13">
        <v>12.57</v>
      </c>
      <c r="BY11" s="13">
        <v>-1.22</v>
      </c>
      <c r="BZ11" s="13">
        <v>-11.94</v>
      </c>
      <c r="CA11" s="13">
        <v>8.48</v>
      </c>
      <c r="CB11" s="13">
        <v>-12.89</v>
      </c>
      <c r="CC11" s="13">
        <v>-13.03</v>
      </c>
      <c r="CD11" s="13">
        <v>4.03</v>
      </c>
      <c r="CE11" s="13">
        <v>-5.89</v>
      </c>
      <c r="CF11" s="13">
        <v>26.3</v>
      </c>
      <c r="CG11" s="13">
        <v>-27.55</v>
      </c>
      <c r="CH11" s="69"/>
      <c r="CI11" s="69"/>
    </row>
    <row r="12">
      <c r="A12" s="69"/>
      <c r="B12" s="28">
        <v>3.07</v>
      </c>
      <c r="C12" s="28">
        <v>7.29</v>
      </c>
      <c r="D12" s="28">
        <v>7.29</v>
      </c>
      <c r="E12" s="28">
        <v>18.18</v>
      </c>
      <c r="F12" s="28">
        <v>14.74</v>
      </c>
      <c r="G12" s="28">
        <v>16.77</v>
      </c>
      <c r="H12" s="28">
        <v>18.18</v>
      </c>
      <c r="I12" s="28">
        <v>28.18</v>
      </c>
      <c r="J12" s="28">
        <v>13.82</v>
      </c>
      <c r="K12" s="28">
        <v>14.75</v>
      </c>
      <c r="L12" s="28">
        <v>7.1</v>
      </c>
      <c r="M12" s="28">
        <v>11.03</v>
      </c>
      <c r="N12" s="28">
        <v>5.03</v>
      </c>
      <c r="O12" s="28">
        <v>-15.05</v>
      </c>
      <c r="P12" s="28">
        <v>5.52</v>
      </c>
      <c r="Q12" s="28">
        <v>31.17</v>
      </c>
      <c r="R12" s="28"/>
      <c r="S12" s="28">
        <v>-15.33</v>
      </c>
      <c r="T12" s="28">
        <v>-7.16</v>
      </c>
      <c r="U12" s="28">
        <v>-6.59</v>
      </c>
      <c r="V12" s="28">
        <v>-5.27</v>
      </c>
      <c r="W12" s="28">
        <v>4.58</v>
      </c>
      <c r="X12" s="28">
        <v>-1.76</v>
      </c>
      <c r="Y12" s="28">
        <v>4.66</v>
      </c>
      <c r="Z12" s="28">
        <v>-2.0</v>
      </c>
      <c r="AA12" s="28">
        <v>-17.08</v>
      </c>
      <c r="AB12" s="28">
        <v>-16.18</v>
      </c>
      <c r="AC12" s="28">
        <v>-18.26</v>
      </c>
      <c r="AD12" s="28">
        <v>-9.74</v>
      </c>
      <c r="AE12" s="28">
        <v>8.53</v>
      </c>
      <c r="AF12" s="28">
        <v>13.35</v>
      </c>
      <c r="AG12" s="28">
        <v>4.2</v>
      </c>
      <c r="AH12" s="28">
        <v>-25.97</v>
      </c>
      <c r="AJ12" s="28">
        <v>5.33</v>
      </c>
      <c r="AK12" s="28">
        <v>-29.97</v>
      </c>
      <c r="AL12" s="20">
        <v>-33.7</v>
      </c>
      <c r="AM12" s="20">
        <v>-4.86</v>
      </c>
      <c r="AN12" s="28">
        <v>25.91</v>
      </c>
      <c r="AO12" s="13">
        <v>-3.8</v>
      </c>
      <c r="AP12" s="13">
        <v>26.28</v>
      </c>
      <c r="AQ12" s="13">
        <v>-35.65</v>
      </c>
      <c r="AR12" s="13">
        <v>4.7</v>
      </c>
      <c r="AS12" s="13">
        <v>4.26</v>
      </c>
      <c r="AT12" s="13">
        <v>-35.65</v>
      </c>
      <c r="AU12" s="13">
        <v>17.71</v>
      </c>
      <c r="AV12" s="13">
        <v>-9.24</v>
      </c>
      <c r="AW12" s="13">
        <v>-10.75</v>
      </c>
      <c r="AX12" s="13">
        <v>9.7</v>
      </c>
      <c r="AY12" s="13">
        <v>14.41</v>
      </c>
      <c r="AZ12" s="69"/>
      <c r="BA12" s="13">
        <v>1.74</v>
      </c>
      <c r="BB12" s="13">
        <v>-22.98</v>
      </c>
      <c r="BC12" s="13">
        <v>-13.44</v>
      </c>
      <c r="BD12" s="13">
        <v>-7.06</v>
      </c>
      <c r="BE12" s="13">
        <v>-14.63</v>
      </c>
      <c r="BF12" s="13">
        <v>-12.07</v>
      </c>
      <c r="BG12" s="13">
        <v>-10.92</v>
      </c>
      <c r="BH12" s="13">
        <v>-23.81</v>
      </c>
      <c r="BI12" s="13">
        <v>-16.31</v>
      </c>
      <c r="BJ12" s="13">
        <v>-9.76</v>
      </c>
      <c r="BK12" s="13">
        <v>-27.87</v>
      </c>
      <c r="BL12" s="13">
        <v>-16.31</v>
      </c>
      <c r="BM12" s="13">
        <v>-20.04</v>
      </c>
      <c r="BN12" s="13">
        <v>-22.88</v>
      </c>
      <c r="BO12" s="13">
        <v>-23.71</v>
      </c>
      <c r="BP12" s="13">
        <v>-31.92</v>
      </c>
      <c r="BQ12" s="69"/>
      <c r="BR12" s="13">
        <v>14.63</v>
      </c>
      <c r="BS12" s="13">
        <v>-14.54</v>
      </c>
      <c r="BT12" s="13">
        <v>-31.33</v>
      </c>
      <c r="BU12" s="13">
        <v>14.63</v>
      </c>
      <c r="BV12" s="13">
        <v>-30.84</v>
      </c>
      <c r="BW12" s="13">
        <v>-2.38</v>
      </c>
      <c r="BX12" s="13">
        <v>-13.01</v>
      </c>
      <c r="BY12" s="13">
        <v>59.06</v>
      </c>
      <c r="BZ12" s="13">
        <v>-13.03</v>
      </c>
      <c r="CA12" s="13">
        <v>-13.01</v>
      </c>
      <c r="CB12" s="13">
        <v>-1.22</v>
      </c>
      <c r="CC12" s="13">
        <v>-22.96</v>
      </c>
      <c r="CD12" s="13">
        <v>9.19</v>
      </c>
      <c r="CE12" s="13">
        <v>-9.51</v>
      </c>
      <c r="CF12" s="13">
        <v>7.52</v>
      </c>
      <c r="CG12" s="13">
        <v>-13.01</v>
      </c>
      <c r="CH12" s="69"/>
      <c r="CI12" s="69"/>
    </row>
    <row r="13">
      <c r="A13" s="69"/>
      <c r="B13" s="28">
        <v>16.44</v>
      </c>
      <c r="C13" s="28">
        <v>8.06</v>
      </c>
      <c r="D13" s="28">
        <v>14.2</v>
      </c>
      <c r="E13" s="28">
        <v>16.57</v>
      </c>
      <c r="F13" s="28">
        <v>16.77</v>
      </c>
      <c r="G13" s="28">
        <v>-9.5</v>
      </c>
      <c r="H13" s="28">
        <v>20.34</v>
      </c>
      <c r="I13" s="28">
        <v>7.29</v>
      </c>
      <c r="J13" s="28">
        <v>8.06</v>
      </c>
      <c r="K13" s="28">
        <v>11.06</v>
      </c>
      <c r="L13" s="28">
        <v>26.5</v>
      </c>
      <c r="M13" s="28">
        <v>4.09</v>
      </c>
      <c r="N13" s="28">
        <v>6.16</v>
      </c>
      <c r="O13" s="28">
        <v>2.69</v>
      </c>
      <c r="P13" s="28">
        <v>6.76</v>
      </c>
      <c r="Q13" s="28">
        <v>12.64</v>
      </c>
      <c r="R13" s="28"/>
      <c r="S13" s="28">
        <v>-18.26</v>
      </c>
      <c r="T13" s="28">
        <v>-2.0</v>
      </c>
      <c r="U13" s="28">
        <v>-11.82</v>
      </c>
      <c r="V13" s="28">
        <v>-11.15</v>
      </c>
      <c r="W13" s="28">
        <v>19.06</v>
      </c>
      <c r="X13" s="28">
        <v>-11.3</v>
      </c>
      <c r="Y13" s="28">
        <v>-10.19</v>
      </c>
      <c r="Z13" s="28">
        <v>-24.38</v>
      </c>
      <c r="AA13" s="28">
        <v>-39.04</v>
      </c>
      <c r="AB13" s="28">
        <v>-7.16</v>
      </c>
      <c r="AC13" s="28">
        <v>-15.3</v>
      </c>
      <c r="AD13" s="28">
        <v>-15.33</v>
      </c>
      <c r="AE13" s="28">
        <v>-0.44</v>
      </c>
      <c r="AF13" s="28">
        <v>-6.92</v>
      </c>
      <c r="AG13" s="28">
        <v>4.76</v>
      </c>
      <c r="AH13" s="28">
        <v>-6.49</v>
      </c>
      <c r="AJ13" s="28">
        <v>-8.62</v>
      </c>
      <c r="AK13" s="28">
        <v>-14.99</v>
      </c>
      <c r="AL13" s="20">
        <v>-22.01</v>
      </c>
      <c r="AM13" s="20">
        <v>-15.09</v>
      </c>
      <c r="AN13" s="28">
        <v>-2.99</v>
      </c>
      <c r="AO13" s="13">
        <v>-12.15</v>
      </c>
      <c r="AP13" s="13">
        <v>6.14</v>
      </c>
      <c r="AQ13" s="13">
        <v>-20.89</v>
      </c>
      <c r="AR13" s="13">
        <v>28.3</v>
      </c>
      <c r="AS13" s="13">
        <v>6.14</v>
      </c>
      <c r="AT13" s="13">
        <v>-26.44</v>
      </c>
      <c r="AU13" s="13">
        <v>-26.14</v>
      </c>
      <c r="AV13" s="13">
        <v>-2.32</v>
      </c>
      <c r="AW13" s="13">
        <v>14.15</v>
      </c>
      <c r="AX13" s="13">
        <v>-5.52</v>
      </c>
      <c r="AY13" s="13">
        <v>-26.58</v>
      </c>
      <c r="AZ13" s="69"/>
      <c r="BA13" s="13">
        <v>-14.42</v>
      </c>
      <c r="BB13" s="13">
        <v>-12.4</v>
      </c>
      <c r="BC13" s="13">
        <v>-22.61</v>
      </c>
      <c r="BD13" s="13">
        <v>-16.88</v>
      </c>
      <c r="BE13" s="13">
        <v>-38.6</v>
      </c>
      <c r="BF13" s="13">
        <v>-9.18</v>
      </c>
      <c r="BG13" s="13">
        <v>-17.24</v>
      </c>
      <c r="BH13" s="13">
        <v>-13.84</v>
      </c>
      <c r="BI13" s="13">
        <v>-25.1</v>
      </c>
      <c r="BJ13" s="13">
        <v>-7.06</v>
      </c>
      <c r="BK13" s="13">
        <v>-14.38</v>
      </c>
      <c r="BL13" s="13">
        <v>-20.81</v>
      </c>
      <c r="BM13" s="13">
        <v>-30.8</v>
      </c>
      <c r="BN13" s="13">
        <v>-1.44</v>
      </c>
      <c r="BO13" s="13">
        <v>-25.23</v>
      </c>
      <c r="BP13" s="13">
        <v>-14.43</v>
      </c>
      <c r="BQ13" s="69"/>
      <c r="BR13" s="13">
        <v>-30.84</v>
      </c>
      <c r="BS13" s="13">
        <v>5.96</v>
      </c>
      <c r="BT13" s="13">
        <v>33.03</v>
      </c>
      <c r="BU13" s="13">
        <v>-12.89</v>
      </c>
      <c r="BV13" s="13">
        <v>-21.01</v>
      </c>
      <c r="BW13" s="13">
        <v>-8.97</v>
      </c>
      <c r="BX13" s="13">
        <v>8.48</v>
      </c>
      <c r="BY13" s="13">
        <v>-22.63</v>
      </c>
      <c r="BZ13" s="13">
        <v>12.57</v>
      </c>
      <c r="CA13" s="13">
        <v>22.29</v>
      </c>
      <c r="CB13" s="13">
        <v>-13.43</v>
      </c>
      <c r="CC13" s="13">
        <v>-25.98</v>
      </c>
      <c r="CD13" s="13">
        <v>-12.13</v>
      </c>
      <c r="CE13" s="13">
        <v>6.2</v>
      </c>
      <c r="CF13" s="13">
        <v>6.01</v>
      </c>
      <c r="CG13" s="13">
        <v>-9.77</v>
      </c>
      <c r="CH13" s="69"/>
      <c r="CI13" s="69"/>
    </row>
    <row r="14">
      <c r="A14" s="69"/>
      <c r="B14" s="28">
        <v>31.17</v>
      </c>
      <c r="C14" s="28">
        <v>26.5</v>
      </c>
      <c r="D14" s="28">
        <v>9.83</v>
      </c>
      <c r="E14" s="28">
        <v>18.68</v>
      </c>
      <c r="F14" s="28">
        <v>13.09</v>
      </c>
      <c r="G14" s="28">
        <v>15.12</v>
      </c>
      <c r="H14" s="28">
        <v>5.57</v>
      </c>
      <c r="I14" s="28">
        <v>-9.5</v>
      </c>
      <c r="J14" s="28">
        <v>12.65</v>
      </c>
      <c r="K14" s="28">
        <v>28.03</v>
      </c>
      <c r="L14" s="28">
        <v>-9.5</v>
      </c>
      <c r="M14" s="28">
        <v>16.33</v>
      </c>
      <c r="N14" s="28">
        <v>5.08</v>
      </c>
      <c r="O14" s="28">
        <v>26.96</v>
      </c>
      <c r="P14" s="28">
        <v>21.49</v>
      </c>
      <c r="Q14" s="28">
        <v>12.23</v>
      </c>
      <c r="R14" s="28"/>
      <c r="S14" s="28">
        <v>16.7</v>
      </c>
      <c r="T14" s="28">
        <v>-4.95</v>
      </c>
      <c r="U14" s="28">
        <v>-2.75</v>
      </c>
      <c r="V14" s="28">
        <v>12.96</v>
      </c>
      <c r="W14" s="28">
        <v>-23.22</v>
      </c>
      <c r="X14" s="28">
        <v>12.94</v>
      </c>
      <c r="Y14" s="28">
        <v>-13.46</v>
      </c>
      <c r="Z14" s="28">
        <v>-30.84</v>
      </c>
      <c r="AA14" s="28">
        <v>0.29</v>
      </c>
      <c r="AB14" s="28">
        <v>-4.95</v>
      </c>
      <c r="AC14" s="28">
        <v>-17.31</v>
      </c>
      <c r="AD14" s="28">
        <v>-16.18</v>
      </c>
      <c r="AE14" s="28">
        <v>-0.6</v>
      </c>
      <c r="AF14" s="28">
        <v>-2.26</v>
      </c>
      <c r="AG14" s="28">
        <v>3.33</v>
      </c>
      <c r="AH14" s="28">
        <v>-11.82</v>
      </c>
      <c r="AJ14" s="28">
        <v>-27.78</v>
      </c>
      <c r="AK14" s="28">
        <v>-8.93</v>
      </c>
      <c r="AL14" s="20">
        <v>-7.41</v>
      </c>
      <c r="AM14" s="20">
        <v>-29.97</v>
      </c>
      <c r="AN14" s="28">
        <v>15.74</v>
      </c>
      <c r="AO14" s="13">
        <v>9.64</v>
      </c>
      <c r="AP14" s="13">
        <v>-3.64</v>
      </c>
      <c r="AQ14" s="13">
        <v>5.33</v>
      </c>
      <c r="AR14" s="13">
        <v>17.22</v>
      </c>
      <c r="AS14" s="13">
        <v>4.81</v>
      </c>
      <c r="AT14" s="13">
        <v>-8.62</v>
      </c>
      <c r="AU14" s="13">
        <v>-10.13</v>
      </c>
      <c r="AV14" s="13">
        <v>0.43</v>
      </c>
      <c r="AW14" s="13">
        <v>-40.05</v>
      </c>
      <c r="AX14" s="13">
        <v>19.67</v>
      </c>
      <c r="AY14" s="13">
        <v>16.63</v>
      </c>
      <c r="AZ14" s="69"/>
      <c r="BA14" s="13">
        <v>-33.32</v>
      </c>
      <c r="BB14" s="13">
        <v>-31.92</v>
      </c>
      <c r="BC14" s="13">
        <v>-14.99</v>
      </c>
      <c r="BD14" s="13">
        <v>-28.85</v>
      </c>
      <c r="BE14" s="13">
        <v>-12.07</v>
      </c>
      <c r="BF14" s="13">
        <v>-9.78</v>
      </c>
      <c r="BG14" s="13">
        <v>-21.44</v>
      </c>
      <c r="BH14" s="13">
        <v>-18.2</v>
      </c>
      <c r="BI14" s="13">
        <v>-22.66</v>
      </c>
      <c r="BJ14" s="13">
        <v>-10.92</v>
      </c>
      <c r="BK14" s="13">
        <v>37.11</v>
      </c>
      <c r="BL14" s="13">
        <v>-22.66</v>
      </c>
      <c r="BM14" s="13">
        <v>-30.8</v>
      </c>
      <c r="BN14" s="13">
        <v>-13.99</v>
      </c>
      <c r="BO14" s="13">
        <v>-31.11</v>
      </c>
      <c r="BP14" s="13">
        <v>-22.21</v>
      </c>
      <c r="BQ14" s="69"/>
      <c r="BR14" s="13">
        <v>-19.83</v>
      </c>
      <c r="BS14" s="13">
        <v>23.16</v>
      </c>
      <c r="BT14" s="13">
        <v>-21.01</v>
      </c>
      <c r="BU14" s="13">
        <v>-14.54</v>
      </c>
      <c r="BV14" s="13">
        <v>7.04</v>
      </c>
      <c r="BW14" s="13">
        <v>-15.16</v>
      </c>
      <c r="BX14" s="13">
        <v>-11.98</v>
      </c>
      <c r="BY14" s="13">
        <v>-11.68</v>
      </c>
      <c r="BZ14" s="13">
        <v>3.33</v>
      </c>
      <c r="CA14" s="13">
        <v>-9.51</v>
      </c>
      <c r="CB14" s="13">
        <v>-10.73</v>
      </c>
      <c r="CC14" s="13">
        <v>23.85</v>
      </c>
      <c r="CD14" s="13">
        <v>-2.96</v>
      </c>
      <c r="CE14" s="13">
        <v>-29.76</v>
      </c>
      <c r="CF14" s="13">
        <v>5.86</v>
      </c>
      <c r="CG14" s="13">
        <v>42.5</v>
      </c>
      <c r="CH14" s="69"/>
      <c r="CI14" s="69"/>
    </row>
    <row r="15">
      <c r="A15" s="69"/>
      <c r="B15" s="28">
        <v>4.09</v>
      </c>
      <c r="C15" s="28">
        <v>17.61</v>
      </c>
      <c r="D15" s="28">
        <v>14.52</v>
      </c>
      <c r="E15" s="28">
        <v>5.57</v>
      </c>
      <c r="F15" s="28">
        <v>15.12</v>
      </c>
      <c r="G15" s="28">
        <v>13.97</v>
      </c>
      <c r="H15" s="28">
        <v>5.64</v>
      </c>
      <c r="I15" s="28">
        <v>39.55</v>
      </c>
      <c r="J15" s="28">
        <v>14.92</v>
      </c>
      <c r="K15" s="28">
        <v>3.07</v>
      </c>
      <c r="L15" s="28">
        <v>29.14</v>
      </c>
      <c r="M15" s="28">
        <v>28.35</v>
      </c>
      <c r="N15" s="28">
        <v>13.83</v>
      </c>
      <c r="O15" s="28">
        <v>27.7</v>
      </c>
      <c r="P15" s="28">
        <v>8.26</v>
      </c>
      <c r="Q15" s="28">
        <v>33.3</v>
      </c>
      <c r="R15" s="28"/>
      <c r="S15" s="28">
        <v>-16.18</v>
      </c>
      <c r="T15" s="28">
        <v>-11.87</v>
      </c>
      <c r="U15" s="28">
        <v>-7.1</v>
      </c>
      <c r="V15" s="28">
        <v>-17.31</v>
      </c>
      <c r="W15" s="28">
        <v>4.06</v>
      </c>
      <c r="X15" s="28">
        <v>0.23</v>
      </c>
      <c r="Y15" s="28">
        <v>1.65</v>
      </c>
      <c r="Z15" s="28">
        <v>-14.06</v>
      </c>
      <c r="AA15" s="28">
        <v>-9.74</v>
      </c>
      <c r="AB15" s="28">
        <v>3.55</v>
      </c>
      <c r="AC15" s="28">
        <v>11.53</v>
      </c>
      <c r="AD15" s="28">
        <v>-7.16</v>
      </c>
      <c r="AE15" s="28">
        <v>10.5</v>
      </c>
      <c r="AF15" s="28">
        <v>-5.12</v>
      </c>
      <c r="AG15" s="28">
        <v>6.32</v>
      </c>
      <c r="AH15" s="28">
        <v>1.73</v>
      </c>
      <c r="AJ15" s="28">
        <v>-15.09</v>
      </c>
      <c r="AK15" s="28">
        <v>-24.45</v>
      </c>
      <c r="AL15" s="20">
        <v>53.88</v>
      </c>
      <c r="AM15" s="20">
        <v>-3.43</v>
      </c>
      <c r="AN15" s="28">
        <v>-29.97</v>
      </c>
      <c r="AO15" s="13">
        <v>0.25</v>
      </c>
      <c r="AP15" s="13">
        <v>5.27</v>
      </c>
      <c r="AQ15" s="13">
        <v>-32.32</v>
      </c>
      <c r="AR15" s="13">
        <v>21.45</v>
      </c>
      <c r="AS15" s="13">
        <v>19.89</v>
      </c>
      <c r="AT15" s="13">
        <v>5.33</v>
      </c>
      <c r="AU15" s="13">
        <v>-11.66</v>
      </c>
      <c r="AV15" s="13">
        <v>-3.58</v>
      </c>
      <c r="AW15" s="13">
        <v>-35.65</v>
      </c>
      <c r="AX15" s="13">
        <v>-12.82</v>
      </c>
      <c r="AY15" s="13">
        <v>3.26</v>
      </c>
      <c r="AZ15" s="69"/>
      <c r="BA15" s="13">
        <v>-14.38</v>
      </c>
      <c r="BB15" s="13">
        <v>-13.84</v>
      </c>
      <c r="BC15" s="13">
        <v>-12.54</v>
      </c>
      <c r="BD15" s="13">
        <v>-8.05</v>
      </c>
      <c r="BE15" s="13">
        <v>-27.34</v>
      </c>
      <c r="BF15" s="13">
        <v>-15.58</v>
      </c>
      <c r="BG15" s="13">
        <v>-22.28</v>
      </c>
      <c r="BH15" s="13">
        <v>-28.85</v>
      </c>
      <c r="BI15" s="13">
        <v>-29.32</v>
      </c>
      <c r="BJ15" s="13">
        <v>-11.24</v>
      </c>
      <c r="BK15" s="13">
        <v>-17.97</v>
      </c>
      <c r="BL15" s="13">
        <v>-16.88</v>
      </c>
      <c r="BM15" s="13">
        <v>-20.95</v>
      </c>
      <c r="BN15" s="13">
        <v>-28.97</v>
      </c>
      <c r="BO15" s="13">
        <v>-22.78</v>
      </c>
      <c r="BP15" s="13">
        <v>-24.39</v>
      </c>
      <c r="BQ15" s="69"/>
      <c r="BR15" s="13">
        <v>-9.35</v>
      </c>
      <c r="BS15" s="13">
        <v>-9.35</v>
      </c>
      <c r="BT15" s="13">
        <v>-13.01</v>
      </c>
      <c r="BU15" s="13">
        <v>10.36</v>
      </c>
      <c r="BV15" s="13">
        <v>-9.35</v>
      </c>
      <c r="BW15" s="13">
        <v>6.13</v>
      </c>
      <c r="BX15" s="13">
        <v>6.3</v>
      </c>
      <c r="BY15" s="13">
        <v>-2.01</v>
      </c>
      <c r="BZ15" s="13">
        <v>14.63</v>
      </c>
      <c r="CA15" s="13">
        <v>-11.32</v>
      </c>
      <c r="CB15" s="13">
        <v>-29.25</v>
      </c>
      <c r="CC15" s="13">
        <v>-21.45</v>
      </c>
      <c r="CD15" s="13">
        <v>-5.47</v>
      </c>
      <c r="CE15" s="13">
        <v>3.02</v>
      </c>
      <c r="CF15" s="13">
        <v>38.56</v>
      </c>
      <c r="CG15" s="13">
        <v>34.7</v>
      </c>
      <c r="CH15" s="69"/>
      <c r="CI15" s="69"/>
    </row>
    <row r="16">
      <c r="A16" s="69"/>
      <c r="B16" s="28">
        <v>-5.43</v>
      </c>
      <c r="C16" s="28">
        <v>9.12</v>
      </c>
      <c r="D16" s="28">
        <v>55.61</v>
      </c>
      <c r="E16" s="28">
        <v>20.34</v>
      </c>
      <c r="F16" s="28">
        <v>8.09</v>
      </c>
      <c r="G16" s="28">
        <v>15.28</v>
      </c>
      <c r="H16" s="28">
        <v>3.29</v>
      </c>
      <c r="I16" s="28">
        <v>21.59</v>
      </c>
      <c r="J16" s="28">
        <v>28.63</v>
      </c>
      <c r="K16" s="28">
        <v>24.79</v>
      </c>
      <c r="L16" s="28">
        <v>17.61</v>
      </c>
      <c r="M16" s="28">
        <v>7.14</v>
      </c>
      <c r="N16" s="28">
        <v>5.7</v>
      </c>
      <c r="O16" s="28">
        <v>19.6</v>
      </c>
      <c r="P16" s="28">
        <v>13.82</v>
      </c>
      <c r="Q16" s="28">
        <v>28.71</v>
      </c>
      <c r="R16" s="28"/>
      <c r="S16" s="28">
        <v>16.02</v>
      </c>
      <c r="T16" s="28">
        <v>-11.18</v>
      </c>
      <c r="U16" s="28">
        <v>-16.1</v>
      </c>
      <c r="V16" s="28">
        <v>-10.75</v>
      </c>
      <c r="W16" s="28">
        <v>4.04</v>
      </c>
      <c r="X16" s="28">
        <v>-1.05</v>
      </c>
      <c r="Y16" s="28">
        <v>10.85</v>
      </c>
      <c r="Z16" s="28">
        <v>-7.16</v>
      </c>
      <c r="AA16" s="28">
        <v>4.75</v>
      </c>
      <c r="AB16" s="28">
        <v>16.7</v>
      </c>
      <c r="AC16" s="28">
        <v>-1.52</v>
      </c>
      <c r="AD16" s="28">
        <v>-2.14</v>
      </c>
      <c r="AE16" s="28">
        <v>0.32</v>
      </c>
      <c r="AF16" s="28">
        <v>-10.01</v>
      </c>
      <c r="AG16" s="28">
        <v>6.38</v>
      </c>
      <c r="AH16" s="28">
        <v>-24.28</v>
      </c>
      <c r="AJ16" s="28">
        <v>-20.89</v>
      </c>
      <c r="AK16" s="28">
        <v>2.67</v>
      </c>
      <c r="AL16" s="20">
        <v>-7.73</v>
      </c>
      <c r="AM16" s="20">
        <v>-24.95</v>
      </c>
      <c r="AN16" s="28">
        <v>2.5</v>
      </c>
      <c r="AO16" s="13">
        <v>4.63</v>
      </c>
      <c r="AP16" s="13">
        <v>6.5</v>
      </c>
      <c r="AQ16" s="13">
        <v>-4.03</v>
      </c>
      <c r="AR16" s="13">
        <v>55.03</v>
      </c>
      <c r="AS16" s="13">
        <v>-47.08</v>
      </c>
      <c r="AT16" s="13">
        <v>-29.97</v>
      </c>
      <c r="AU16" s="13">
        <v>13.94</v>
      </c>
      <c r="AV16" s="13">
        <v>14.44</v>
      </c>
      <c r="AW16" s="13">
        <v>9.36</v>
      </c>
      <c r="AX16" s="13">
        <v>-2.08</v>
      </c>
      <c r="AY16" s="13">
        <v>-24.16</v>
      </c>
      <c r="AZ16" s="69"/>
      <c r="BA16" s="13">
        <v>-27.91</v>
      </c>
      <c r="BB16" s="13">
        <v>-18.2</v>
      </c>
      <c r="BC16" s="13">
        <v>-24.12</v>
      </c>
      <c r="BD16" s="13">
        <v>-29.32</v>
      </c>
      <c r="BE16" s="13">
        <v>-21.8</v>
      </c>
      <c r="BF16" s="13">
        <v>-16.96</v>
      </c>
      <c r="BG16" s="13">
        <v>-30.11</v>
      </c>
      <c r="BH16" s="13">
        <v>-23.81</v>
      </c>
      <c r="BI16" s="13">
        <v>-12.37</v>
      </c>
      <c r="BJ16" s="13">
        <v>-11.18</v>
      </c>
      <c r="BK16" s="13">
        <v>-23.81</v>
      </c>
      <c r="BL16" s="13">
        <v>-12.43</v>
      </c>
      <c r="BM16" s="13">
        <v>-28.81</v>
      </c>
      <c r="BN16" s="13">
        <v>-25.51</v>
      </c>
      <c r="BO16" s="13">
        <v>-28.9</v>
      </c>
      <c r="BP16" s="13">
        <v>-32.44</v>
      </c>
      <c r="BQ16" s="69"/>
      <c r="BR16" s="13">
        <v>10.36</v>
      </c>
      <c r="BS16" s="13">
        <v>3.35</v>
      </c>
      <c r="BT16" s="13">
        <v>-13.37</v>
      </c>
      <c r="BU16" s="13">
        <v>-9.77</v>
      </c>
      <c r="BV16" s="13">
        <v>10.94</v>
      </c>
      <c r="BW16" s="13">
        <v>8.37</v>
      </c>
      <c r="BX16" s="13">
        <v>9.8</v>
      </c>
      <c r="BY16" s="13">
        <v>-5.37</v>
      </c>
      <c r="BZ16" s="13">
        <v>27.29</v>
      </c>
      <c r="CA16" s="13">
        <v>-18.03</v>
      </c>
      <c r="CB16" s="13">
        <v>14.63</v>
      </c>
      <c r="CC16" s="13">
        <v>-15.83</v>
      </c>
      <c r="CD16" s="13">
        <v>4.9</v>
      </c>
      <c r="CE16" s="13">
        <v>-21.52</v>
      </c>
      <c r="CF16" s="13">
        <v>21.46</v>
      </c>
      <c r="CG16" s="13">
        <v>50.92</v>
      </c>
      <c r="CH16" s="69"/>
      <c r="CI16" s="69"/>
    </row>
    <row r="17">
      <c r="A17" s="69"/>
      <c r="B17" s="28">
        <v>-9.5</v>
      </c>
      <c r="C17" s="28">
        <v>3.64</v>
      </c>
      <c r="D17" s="28">
        <v>28.18</v>
      </c>
      <c r="E17" s="28">
        <v>13.82</v>
      </c>
      <c r="F17" s="28">
        <v>2.89</v>
      </c>
      <c r="G17" s="28">
        <v>31.17</v>
      </c>
      <c r="H17" s="28">
        <v>3.07</v>
      </c>
      <c r="I17" s="28">
        <v>7.36</v>
      </c>
      <c r="J17" s="28">
        <v>19.72</v>
      </c>
      <c r="K17" s="28">
        <v>29.12</v>
      </c>
      <c r="L17" s="28">
        <v>13.84</v>
      </c>
      <c r="M17" s="28">
        <v>9.48</v>
      </c>
      <c r="N17" s="28">
        <v>27.09</v>
      </c>
      <c r="O17" s="28">
        <v>39.05</v>
      </c>
      <c r="P17" s="28">
        <v>-0.81</v>
      </c>
      <c r="Q17" s="28">
        <v>-8.78</v>
      </c>
      <c r="R17" s="28"/>
      <c r="S17" s="28">
        <v>-17.31</v>
      </c>
      <c r="T17" s="28">
        <v>-15.3</v>
      </c>
      <c r="U17" s="28">
        <v>-18.52</v>
      </c>
      <c r="V17" s="28">
        <v>0.54</v>
      </c>
      <c r="W17" s="28">
        <v>-9.74</v>
      </c>
      <c r="X17" s="28">
        <v>-7.3</v>
      </c>
      <c r="Y17" s="28">
        <v>-0.05</v>
      </c>
      <c r="Z17" s="28">
        <v>-4.95</v>
      </c>
      <c r="AA17" s="28">
        <v>17.69</v>
      </c>
      <c r="AB17" s="28">
        <v>-9.98</v>
      </c>
      <c r="AC17" s="28">
        <v>11.0</v>
      </c>
      <c r="AD17" s="28">
        <v>-7.36</v>
      </c>
      <c r="AE17" s="28">
        <v>-0.51</v>
      </c>
      <c r="AF17" s="28">
        <v>-24.66</v>
      </c>
      <c r="AG17" s="28">
        <v>-1.28</v>
      </c>
      <c r="AH17" s="28">
        <v>0.34</v>
      </c>
      <c r="AJ17" s="28">
        <v>-21.72</v>
      </c>
      <c r="AK17" s="28">
        <v>-26.44</v>
      </c>
      <c r="AL17" s="20">
        <v>3.26</v>
      </c>
      <c r="AM17" s="20">
        <v>-14.99</v>
      </c>
      <c r="AN17" s="28">
        <v>-1.9</v>
      </c>
      <c r="AO17" s="13">
        <v>-26.58</v>
      </c>
      <c r="AP17" s="13">
        <v>24.69</v>
      </c>
      <c r="AQ17" s="13">
        <v>-29.66</v>
      </c>
      <c r="AR17" s="13">
        <v>-26.14</v>
      </c>
      <c r="AS17" s="13">
        <v>-24.95</v>
      </c>
      <c r="AT17" s="13">
        <v>-4.03</v>
      </c>
      <c r="AU17" s="13">
        <v>-29.97</v>
      </c>
      <c r="AV17" s="13">
        <v>-2.63</v>
      </c>
      <c r="AW17" s="13">
        <v>-27.15</v>
      </c>
      <c r="AX17" s="13">
        <v>-4.23</v>
      </c>
      <c r="AY17" s="13">
        <v>19.02</v>
      </c>
      <c r="AZ17" s="69"/>
      <c r="BA17" s="13">
        <v>-16.67</v>
      </c>
      <c r="BB17" s="13">
        <v>-13.99</v>
      </c>
      <c r="BC17" s="13">
        <v>-31.92</v>
      </c>
      <c r="BD17" s="13">
        <v>-12.4</v>
      </c>
      <c r="BE17" s="13">
        <v>-7.06</v>
      </c>
      <c r="BF17" s="13">
        <v>-17.43</v>
      </c>
      <c r="BG17" s="13">
        <v>-16.74</v>
      </c>
      <c r="BH17" s="13">
        <v>-13.99</v>
      </c>
      <c r="BI17" s="13">
        <v>-12.43</v>
      </c>
      <c r="BJ17" s="13">
        <v>-19.74</v>
      </c>
      <c r="BK17" s="13">
        <v>-18.44</v>
      </c>
      <c r="BL17" s="13">
        <v>-35.17</v>
      </c>
      <c r="BM17" s="13">
        <v>-28.15</v>
      </c>
      <c r="BN17" s="13">
        <v>-14.7</v>
      </c>
      <c r="BO17" s="13">
        <v>-31.77</v>
      </c>
      <c r="BP17" s="13">
        <v>-14.38</v>
      </c>
      <c r="BQ17" s="69"/>
      <c r="BR17" s="13">
        <v>-29.25</v>
      </c>
      <c r="BS17" s="13">
        <v>-11.68</v>
      </c>
      <c r="BT17" s="13">
        <v>7.25</v>
      </c>
      <c r="BU17" s="13">
        <v>4.89</v>
      </c>
      <c r="BV17" s="13">
        <v>-8.97</v>
      </c>
      <c r="BW17" s="13">
        <v>-5.47</v>
      </c>
      <c r="BX17" s="13">
        <v>-11.3</v>
      </c>
      <c r="BY17" s="13">
        <v>24.0</v>
      </c>
      <c r="BZ17" s="13">
        <v>14.64</v>
      </c>
      <c r="CA17" s="13">
        <v>12.57</v>
      </c>
      <c r="CB17" s="13">
        <v>5.29</v>
      </c>
      <c r="CC17" s="13">
        <v>-13.1</v>
      </c>
      <c r="CD17" s="13">
        <v>5.71</v>
      </c>
      <c r="CE17" s="13">
        <v>-19.81</v>
      </c>
      <c r="CF17" s="13">
        <v>23.53</v>
      </c>
      <c r="CG17" s="13">
        <v>9.31</v>
      </c>
      <c r="CH17" s="69"/>
      <c r="CI17" s="69"/>
    </row>
    <row r="18">
      <c r="A18" s="69"/>
      <c r="B18" s="28">
        <v>14.83</v>
      </c>
      <c r="C18" s="28">
        <v>-23.7</v>
      </c>
      <c r="D18" s="28">
        <v>13.2</v>
      </c>
      <c r="E18" s="28">
        <v>24.84</v>
      </c>
      <c r="F18" s="28">
        <v>24.24</v>
      </c>
      <c r="G18" s="28">
        <v>23.74</v>
      </c>
      <c r="H18" s="28">
        <v>17.39</v>
      </c>
      <c r="I18" s="28">
        <v>19.6</v>
      </c>
      <c r="J18" s="28">
        <v>33.38</v>
      </c>
      <c r="K18" s="28">
        <v>27.71</v>
      </c>
      <c r="L18" s="28">
        <v>29.02</v>
      </c>
      <c r="M18" s="28">
        <v>3.07</v>
      </c>
      <c r="N18" s="28">
        <v>13.68</v>
      </c>
      <c r="O18" s="28">
        <v>70.4</v>
      </c>
      <c r="P18" s="28">
        <v>8.19</v>
      </c>
      <c r="Q18" s="28">
        <v>9.12</v>
      </c>
      <c r="R18" s="28"/>
      <c r="S18" s="28">
        <v>-17.14</v>
      </c>
      <c r="T18" s="28">
        <v>-11.82</v>
      </c>
      <c r="U18" s="28">
        <v>1.78</v>
      </c>
      <c r="V18" s="28">
        <v>19.97</v>
      </c>
      <c r="W18" s="28">
        <v>-1.55</v>
      </c>
      <c r="X18" s="28">
        <v>-0.18</v>
      </c>
      <c r="Y18" s="28">
        <v>-1.68</v>
      </c>
      <c r="Z18" s="28">
        <v>14.42</v>
      </c>
      <c r="AA18" s="28">
        <v>-6.98</v>
      </c>
      <c r="AB18" s="28">
        <v>-14.26</v>
      </c>
      <c r="AC18" s="28">
        <v>-2.31</v>
      </c>
      <c r="AD18" s="28">
        <v>7.57</v>
      </c>
      <c r="AE18" s="28">
        <v>-0.94</v>
      </c>
      <c r="AF18" s="28">
        <v>-1.02</v>
      </c>
      <c r="AG18" s="28">
        <v>3.81</v>
      </c>
      <c r="AH18" s="28">
        <v>-7.1</v>
      </c>
      <c r="AJ18" s="28">
        <v>25.91</v>
      </c>
      <c r="AK18" s="28">
        <v>-4.86</v>
      </c>
      <c r="AL18" s="20">
        <v>-3.8</v>
      </c>
      <c r="AM18" s="20">
        <v>3.38</v>
      </c>
      <c r="AN18" s="28">
        <v>-4.03</v>
      </c>
      <c r="AO18" s="13">
        <v>5.44</v>
      </c>
      <c r="AP18" s="13">
        <v>11.7</v>
      </c>
      <c r="AQ18" s="13">
        <v>-26.44</v>
      </c>
      <c r="AR18" s="13">
        <v>5.33</v>
      </c>
      <c r="AS18" s="13">
        <v>-17.01</v>
      </c>
      <c r="AT18" s="13">
        <v>-42.89</v>
      </c>
      <c r="AU18" s="13">
        <v>32.84</v>
      </c>
      <c r="AV18" s="13">
        <v>0.52</v>
      </c>
      <c r="AW18" s="13">
        <v>-30.71</v>
      </c>
      <c r="AX18" s="13">
        <v>25.13</v>
      </c>
      <c r="AY18" s="13">
        <v>3.39</v>
      </c>
      <c r="AZ18" s="69"/>
      <c r="BA18" s="13">
        <v>-22.1</v>
      </c>
      <c r="BB18" s="13">
        <v>-33.32</v>
      </c>
      <c r="BC18" s="13">
        <v>-6.6</v>
      </c>
      <c r="BD18" s="13">
        <v>-12.07</v>
      </c>
      <c r="BE18" s="13">
        <v>2.7</v>
      </c>
      <c r="BF18" s="13">
        <v>-20.53</v>
      </c>
      <c r="BG18" s="13">
        <v>-19.17</v>
      </c>
      <c r="BH18" s="13">
        <v>-25.51</v>
      </c>
      <c r="BI18" s="13">
        <v>-16.67</v>
      </c>
      <c r="BJ18" s="13">
        <v>-17.24</v>
      </c>
      <c r="BK18" s="13">
        <v>-2.8</v>
      </c>
      <c r="BL18" s="13">
        <v>-13.15</v>
      </c>
      <c r="BM18" s="13">
        <v>-18.35</v>
      </c>
      <c r="BN18" s="13">
        <v>-38.8</v>
      </c>
      <c r="BO18" s="13">
        <v>-30.11</v>
      </c>
      <c r="BP18" s="13">
        <v>-14.99</v>
      </c>
      <c r="BQ18" s="69"/>
      <c r="BR18" s="13">
        <v>17.62</v>
      </c>
      <c r="BS18" s="13">
        <v>17.62</v>
      </c>
      <c r="BT18" s="13">
        <v>-9.77</v>
      </c>
      <c r="BU18" s="13">
        <v>11.96</v>
      </c>
      <c r="BV18" s="13">
        <v>-3.14</v>
      </c>
      <c r="BW18" s="13">
        <v>-18.04</v>
      </c>
      <c r="BX18" s="13">
        <v>16.67</v>
      </c>
      <c r="BY18" s="13">
        <v>-36.27</v>
      </c>
      <c r="BZ18" s="13">
        <v>-23.12</v>
      </c>
      <c r="CA18" s="13">
        <v>-10.36</v>
      </c>
      <c r="CB18" s="13">
        <v>-9.28</v>
      </c>
      <c r="CC18" s="13">
        <v>8.05</v>
      </c>
      <c r="CD18" s="13">
        <v>7.66</v>
      </c>
      <c r="CE18" s="13">
        <v>10.67</v>
      </c>
      <c r="CF18" s="13">
        <v>-2.23</v>
      </c>
      <c r="CG18" s="13">
        <v>-21.01</v>
      </c>
      <c r="CH18" s="69"/>
      <c r="CI18" s="69"/>
    </row>
    <row r="19">
      <c r="A19" s="69"/>
      <c r="B19" s="28">
        <v>3.29</v>
      </c>
      <c r="C19" s="28">
        <v>28.18</v>
      </c>
      <c r="D19" s="28">
        <v>0.2</v>
      </c>
      <c r="E19" s="28">
        <v>14.83</v>
      </c>
      <c r="F19" s="28">
        <v>2.28</v>
      </c>
      <c r="G19" s="28">
        <v>-4.35</v>
      </c>
      <c r="H19" s="28">
        <v>0.2</v>
      </c>
      <c r="I19" s="28">
        <v>26.96</v>
      </c>
      <c r="J19" s="28">
        <v>13.89</v>
      </c>
      <c r="K19" s="28">
        <v>16.15</v>
      </c>
      <c r="L19" s="28">
        <v>7.29</v>
      </c>
      <c r="M19" s="28">
        <v>22.22</v>
      </c>
      <c r="N19" s="28">
        <v>5.28</v>
      </c>
      <c r="O19" s="28">
        <v>38.76</v>
      </c>
      <c r="P19" s="28">
        <v>7.36</v>
      </c>
      <c r="Q19" s="28">
        <v>5.05</v>
      </c>
      <c r="R19" s="28"/>
      <c r="S19" s="28">
        <v>-10.19</v>
      </c>
      <c r="T19" s="28">
        <v>-11.56</v>
      </c>
      <c r="U19" s="28">
        <v>10.43</v>
      </c>
      <c r="V19" s="28">
        <v>0.91</v>
      </c>
      <c r="W19" s="28">
        <v>4.84</v>
      </c>
      <c r="X19" s="28">
        <v>-6.83</v>
      </c>
      <c r="Y19" s="28">
        <v>-5.27</v>
      </c>
      <c r="Z19" s="28">
        <v>-11.18</v>
      </c>
      <c r="AA19" s="28">
        <v>1.34</v>
      </c>
      <c r="AB19" s="28">
        <v>0.43</v>
      </c>
      <c r="AC19" s="28">
        <v>-1.93</v>
      </c>
      <c r="AD19" s="28">
        <v>16.02</v>
      </c>
      <c r="AE19" s="28">
        <v>11.46</v>
      </c>
      <c r="AF19" s="28">
        <v>-6.88</v>
      </c>
      <c r="AG19" s="28">
        <v>-10.15</v>
      </c>
      <c r="AH19" s="28">
        <v>-6.59</v>
      </c>
      <c r="AJ19" s="28">
        <v>-26.44</v>
      </c>
      <c r="AK19" s="28">
        <v>25.91</v>
      </c>
      <c r="AL19" s="20">
        <v>14.41</v>
      </c>
      <c r="AM19" s="20">
        <v>30.86</v>
      </c>
      <c r="AN19" s="28">
        <v>-33.22</v>
      </c>
      <c r="AO19" s="13">
        <v>5.04</v>
      </c>
      <c r="AP19" s="13">
        <v>-13.87</v>
      </c>
      <c r="AQ19" s="13">
        <v>-10.75</v>
      </c>
      <c r="AR19" s="13">
        <v>-15.09</v>
      </c>
      <c r="AS19" s="13">
        <v>26.28</v>
      </c>
      <c r="AT19" s="13">
        <v>-40.93</v>
      </c>
      <c r="AU19" s="13">
        <v>-26.63</v>
      </c>
      <c r="AV19" s="13">
        <v>4.89</v>
      </c>
      <c r="AW19" s="13">
        <v>-55.24</v>
      </c>
      <c r="AX19" s="13">
        <v>28.3</v>
      </c>
      <c r="AY19" s="13">
        <v>-2.45</v>
      </c>
      <c r="AZ19" s="69"/>
      <c r="BA19" s="13">
        <v>-25.1</v>
      </c>
      <c r="BB19" s="13">
        <v>-20.04</v>
      </c>
      <c r="BC19" s="13">
        <v>-7.11</v>
      </c>
      <c r="BD19" s="13">
        <v>-22.66</v>
      </c>
      <c r="BE19" s="13">
        <v>-30.7</v>
      </c>
      <c r="BF19" s="13">
        <v>-21.18</v>
      </c>
      <c r="BG19" s="13">
        <v>-13.13</v>
      </c>
      <c r="BH19" s="13">
        <v>-28.97</v>
      </c>
      <c r="BI19" s="13">
        <v>-27.91</v>
      </c>
      <c r="BJ19" s="13">
        <v>-14.38</v>
      </c>
      <c r="BK19" s="13">
        <v>-10.18</v>
      </c>
      <c r="BL19" s="13">
        <v>-12.37</v>
      </c>
      <c r="BM19" s="13">
        <v>-37.44</v>
      </c>
      <c r="BN19" s="13">
        <v>-13.84</v>
      </c>
      <c r="BO19" s="13">
        <v>-24.62</v>
      </c>
      <c r="BP19" s="13">
        <v>-32.1</v>
      </c>
      <c r="BQ19" s="69"/>
      <c r="BR19" s="13">
        <v>5.96</v>
      </c>
      <c r="BS19" s="13">
        <v>-9.77</v>
      </c>
      <c r="BT19" s="13">
        <v>8.39</v>
      </c>
      <c r="BU19" s="13">
        <v>11.16</v>
      </c>
      <c r="BV19" s="13">
        <v>-9.13</v>
      </c>
      <c r="BW19" s="13">
        <v>23.07</v>
      </c>
      <c r="BX19" s="13">
        <v>-8.05</v>
      </c>
      <c r="BY19" s="13">
        <v>10.61</v>
      </c>
      <c r="BZ19" s="13">
        <v>49.32</v>
      </c>
      <c r="CA19" s="13">
        <v>49.32</v>
      </c>
      <c r="CB19" s="13">
        <v>89.78</v>
      </c>
      <c r="CC19" s="13">
        <v>4.07</v>
      </c>
      <c r="CD19" s="13">
        <v>-9.92</v>
      </c>
      <c r="CE19" s="13">
        <v>-19.22</v>
      </c>
      <c r="CF19" s="13">
        <v>7.37</v>
      </c>
      <c r="CG19" s="13">
        <v>23.07</v>
      </c>
      <c r="CH19" s="69"/>
      <c r="CI19" s="69"/>
    </row>
    <row r="20">
      <c r="A20" s="69"/>
      <c r="B20" s="28">
        <v>2.89</v>
      </c>
      <c r="C20" s="28">
        <v>23.66</v>
      </c>
      <c r="D20" s="28">
        <v>2.89</v>
      </c>
      <c r="E20" s="28">
        <v>13.79</v>
      </c>
      <c r="F20" s="28">
        <v>15.28</v>
      </c>
      <c r="G20" s="28">
        <v>8.09</v>
      </c>
      <c r="H20" s="28">
        <v>29.52</v>
      </c>
      <c r="I20" s="28">
        <v>12.49</v>
      </c>
      <c r="J20" s="28">
        <v>22.22</v>
      </c>
      <c r="K20" s="28">
        <v>7.83</v>
      </c>
      <c r="L20" s="28">
        <v>39.94</v>
      </c>
      <c r="M20" s="28">
        <v>19.86</v>
      </c>
      <c r="N20" s="28">
        <v>42.55</v>
      </c>
      <c r="O20" s="28">
        <v>15.79</v>
      </c>
      <c r="P20" s="28">
        <v>16.38</v>
      </c>
      <c r="Q20" s="28">
        <v>13.78</v>
      </c>
      <c r="R20" s="28"/>
      <c r="S20" s="28">
        <v>-7.54</v>
      </c>
      <c r="T20" s="28">
        <v>-13.79</v>
      </c>
      <c r="U20" s="28">
        <v>-8.91</v>
      </c>
      <c r="V20" s="28">
        <v>-11.76</v>
      </c>
      <c r="W20" s="28">
        <v>-7.65</v>
      </c>
      <c r="X20" s="28">
        <v>-0.63</v>
      </c>
      <c r="Y20" s="28">
        <v>-18.52</v>
      </c>
      <c r="Z20" s="28">
        <v>-2.26</v>
      </c>
      <c r="AA20" s="28">
        <v>16.52</v>
      </c>
      <c r="AB20" s="28">
        <v>-11.51</v>
      </c>
      <c r="AC20" s="28">
        <v>0.91</v>
      </c>
      <c r="AD20" s="28">
        <v>-18.26</v>
      </c>
      <c r="AE20" s="28">
        <v>-0.48</v>
      </c>
      <c r="AF20" s="28">
        <v>-11.15</v>
      </c>
      <c r="AG20" s="28">
        <v>10.43</v>
      </c>
      <c r="AH20" s="28">
        <v>-6.88</v>
      </c>
      <c r="AJ20" s="28">
        <v>-34.54</v>
      </c>
      <c r="AK20" s="28">
        <v>-0.01</v>
      </c>
      <c r="AL20" s="20">
        <v>19.76</v>
      </c>
      <c r="AM20" s="20">
        <v>-36.5</v>
      </c>
      <c r="AN20" s="28">
        <v>-8.77</v>
      </c>
      <c r="AO20" s="13">
        <v>21.7</v>
      </c>
      <c r="AP20" s="13">
        <v>28.98</v>
      </c>
      <c r="AQ20" s="13">
        <v>-27.24</v>
      </c>
      <c r="AR20" s="13">
        <v>3.38</v>
      </c>
      <c r="AS20" s="13">
        <v>-14.78</v>
      </c>
      <c r="AT20" s="13">
        <v>-24.45</v>
      </c>
      <c r="AU20" s="13">
        <v>3.85</v>
      </c>
      <c r="AV20" s="13">
        <v>12.71</v>
      </c>
      <c r="AW20" s="13">
        <v>-24.49</v>
      </c>
      <c r="AX20" s="13">
        <v>-14.39</v>
      </c>
      <c r="AY20" s="13">
        <v>-33.45</v>
      </c>
      <c r="AZ20" s="69"/>
      <c r="BA20" s="13">
        <v>-16.88</v>
      </c>
      <c r="BB20" s="13">
        <v>-25.51</v>
      </c>
      <c r="BC20" s="13">
        <v>5.64</v>
      </c>
      <c r="BD20" s="13">
        <v>-16.93</v>
      </c>
      <c r="BE20" s="13">
        <v>1.74</v>
      </c>
      <c r="BF20" s="13">
        <v>-14.88</v>
      </c>
      <c r="BG20" s="13">
        <v>-16.35</v>
      </c>
      <c r="BH20" s="13">
        <v>-14.38</v>
      </c>
      <c r="BI20" s="13">
        <v>-22.17</v>
      </c>
      <c r="BJ20" s="13">
        <v>-16.88</v>
      </c>
      <c r="BK20" s="13">
        <v>-32.74</v>
      </c>
      <c r="BL20" s="13">
        <v>-22.17</v>
      </c>
      <c r="BM20" s="13">
        <v>-16.35</v>
      </c>
      <c r="BN20" s="13">
        <v>-18.2</v>
      </c>
      <c r="BO20" s="13">
        <v>-24.17</v>
      </c>
      <c r="BP20" s="13">
        <v>-22.78</v>
      </c>
      <c r="BQ20" s="69"/>
      <c r="BR20" s="13">
        <v>-11.98</v>
      </c>
      <c r="BS20" s="13">
        <v>-30.84</v>
      </c>
      <c r="BT20" s="13">
        <v>-18.03</v>
      </c>
      <c r="BU20" s="13">
        <v>3.35</v>
      </c>
      <c r="BV20" s="13">
        <v>6.38</v>
      </c>
      <c r="BW20" s="13">
        <v>11.64</v>
      </c>
      <c r="BX20" s="13">
        <v>22.29</v>
      </c>
      <c r="BY20" s="13">
        <v>5.96</v>
      </c>
      <c r="BZ20" s="13">
        <v>-3.85</v>
      </c>
      <c r="CA20" s="13">
        <v>50.8</v>
      </c>
      <c r="CB20" s="13">
        <v>3.35</v>
      </c>
      <c r="CC20" s="13">
        <v>21.88</v>
      </c>
      <c r="CD20" s="13">
        <v>3.75</v>
      </c>
      <c r="CE20" s="13">
        <v>-27.55</v>
      </c>
      <c r="CF20" s="13">
        <v>35.81</v>
      </c>
      <c r="CG20" s="13">
        <v>7.86</v>
      </c>
      <c r="CH20" s="69"/>
      <c r="CI20" s="69"/>
    </row>
    <row r="21">
      <c r="A21" s="69"/>
      <c r="B21" s="28">
        <v>7.29</v>
      </c>
      <c r="C21" s="28">
        <v>13.2</v>
      </c>
      <c r="D21" s="28">
        <v>5.64</v>
      </c>
      <c r="E21" s="28">
        <v>13.68</v>
      </c>
      <c r="F21" s="28">
        <v>23.07</v>
      </c>
      <c r="G21" s="28">
        <v>24.24</v>
      </c>
      <c r="H21" s="28">
        <v>14.26</v>
      </c>
      <c r="I21" s="28">
        <v>26.5</v>
      </c>
      <c r="J21" s="28">
        <v>17.61</v>
      </c>
      <c r="K21" s="28">
        <v>27.02</v>
      </c>
      <c r="L21" s="28">
        <v>16.33</v>
      </c>
      <c r="M21" s="28">
        <v>5.52</v>
      </c>
      <c r="N21" s="28">
        <v>21.79</v>
      </c>
      <c r="O21" s="28">
        <v>13.26</v>
      </c>
      <c r="P21" s="28">
        <v>41.08</v>
      </c>
      <c r="Q21" s="28">
        <v>45.64</v>
      </c>
      <c r="R21" s="28"/>
      <c r="S21" s="28">
        <v>-11.82</v>
      </c>
      <c r="T21" s="28">
        <v>-24.38</v>
      </c>
      <c r="U21" s="28">
        <v>1.7</v>
      </c>
      <c r="V21" s="28">
        <v>-7.32</v>
      </c>
      <c r="W21" s="28">
        <v>4.75</v>
      </c>
      <c r="X21" s="28">
        <v>-0.95</v>
      </c>
      <c r="Y21" s="28">
        <v>-13.66</v>
      </c>
      <c r="Z21" s="28">
        <v>-11.87</v>
      </c>
      <c r="AA21" s="28">
        <v>4.93</v>
      </c>
      <c r="AB21" s="28">
        <v>2.5</v>
      </c>
      <c r="AC21" s="28">
        <v>-1.64</v>
      </c>
      <c r="AD21" s="28">
        <v>-4.95</v>
      </c>
      <c r="AE21" s="28">
        <v>0.15</v>
      </c>
      <c r="AF21" s="28">
        <v>7.34</v>
      </c>
      <c r="AG21" s="28">
        <v>-3.39</v>
      </c>
      <c r="AH21" s="28">
        <v>-18.52</v>
      </c>
      <c r="AJ21" s="28">
        <v>14.12</v>
      </c>
      <c r="AK21" s="28">
        <v>-24.18</v>
      </c>
      <c r="AL21" s="20">
        <v>-2.8</v>
      </c>
      <c r="AM21" s="20">
        <v>-3.05</v>
      </c>
      <c r="AN21" s="28">
        <v>-36.68</v>
      </c>
      <c r="AO21" s="13">
        <v>2.5</v>
      </c>
      <c r="AP21" s="13">
        <v>48.03</v>
      </c>
      <c r="AQ21" s="13">
        <v>-21.3</v>
      </c>
      <c r="AR21" s="13">
        <v>-2.8</v>
      </c>
      <c r="AS21" s="13">
        <v>-32.32</v>
      </c>
      <c r="AT21" s="13">
        <v>-41.18</v>
      </c>
      <c r="AU21" s="13">
        <v>-15.24</v>
      </c>
      <c r="AV21" s="13">
        <v>-10.61</v>
      </c>
      <c r="AW21" s="13">
        <v>-32.25</v>
      </c>
      <c r="AX21" s="13">
        <v>3.12</v>
      </c>
      <c r="AY21" s="13">
        <v>5.65</v>
      </c>
      <c r="AZ21" s="69"/>
      <c r="BA21" s="13">
        <v>-22.17</v>
      </c>
      <c r="BB21" s="13">
        <v>-8.81</v>
      </c>
      <c r="BC21" s="13">
        <v>-17.23</v>
      </c>
      <c r="BD21" s="13">
        <v>-14.42</v>
      </c>
      <c r="BE21" s="13">
        <v>-13.99</v>
      </c>
      <c r="BF21" s="13">
        <v>-12.5</v>
      </c>
      <c r="BG21" s="13">
        <v>-7.06</v>
      </c>
      <c r="BH21" s="13">
        <v>-1.65</v>
      </c>
      <c r="BI21" s="13">
        <v>-20.81</v>
      </c>
      <c r="BJ21" s="13">
        <v>-30.11</v>
      </c>
      <c r="BK21" s="13">
        <v>21.11</v>
      </c>
      <c r="BL21" s="13">
        <v>-8.81</v>
      </c>
      <c r="BM21" s="13">
        <v>-13.13</v>
      </c>
      <c r="BN21" s="13">
        <v>-9.53</v>
      </c>
      <c r="BO21" s="13">
        <v>-29.01</v>
      </c>
      <c r="BP21" s="13">
        <v>-32.13</v>
      </c>
      <c r="BQ21" s="69"/>
      <c r="BR21" s="13">
        <v>-9.28</v>
      </c>
      <c r="BS21" s="13">
        <v>-10.36</v>
      </c>
      <c r="BT21" s="13">
        <v>32.06</v>
      </c>
      <c r="BU21" s="13">
        <v>-10.36</v>
      </c>
      <c r="BV21" s="13">
        <v>-1.98</v>
      </c>
      <c r="BW21" s="13">
        <v>44.33</v>
      </c>
      <c r="BX21" s="13">
        <v>-25.7</v>
      </c>
      <c r="BY21" s="13">
        <v>-12.89</v>
      </c>
      <c r="BZ21" s="13">
        <v>5.79</v>
      </c>
      <c r="CA21" s="13">
        <v>32.7</v>
      </c>
      <c r="CB21" s="13">
        <v>-11.68</v>
      </c>
      <c r="CC21" s="13">
        <v>-21.19</v>
      </c>
      <c r="CD21" s="13">
        <v>5.07</v>
      </c>
      <c r="CE21" s="13">
        <v>-20.31</v>
      </c>
      <c r="CF21" s="13">
        <v>17.08</v>
      </c>
      <c r="CG21" s="13">
        <v>7.17</v>
      </c>
      <c r="CH21" s="69"/>
      <c r="CI21" s="69"/>
    </row>
    <row r="22">
      <c r="A22" s="69"/>
      <c r="B22" s="28">
        <v>11.96</v>
      </c>
      <c r="C22" s="28">
        <v>13.2</v>
      </c>
      <c r="D22" s="28">
        <v>3.29</v>
      </c>
      <c r="E22" s="28">
        <v>19.72</v>
      </c>
      <c r="F22" s="28">
        <v>-5.24</v>
      </c>
      <c r="G22" s="28">
        <v>8.18</v>
      </c>
      <c r="H22" s="28">
        <v>8.06</v>
      </c>
      <c r="I22" s="28">
        <v>27.56</v>
      </c>
      <c r="J22" s="28">
        <v>28.8</v>
      </c>
      <c r="K22" s="28">
        <v>10.73</v>
      </c>
      <c r="L22" s="28">
        <v>41.22</v>
      </c>
      <c r="M22" s="28">
        <v>19.72</v>
      </c>
      <c r="N22" s="28">
        <v>18.68</v>
      </c>
      <c r="O22" s="28">
        <v>38.46</v>
      </c>
      <c r="P22" s="28">
        <v>18.92</v>
      </c>
      <c r="Q22" s="28">
        <v>14.2</v>
      </c>
      <c r="R22" s="28"/>
      <c r="S22" s="28">
        <v>7.57</v>
      </c>
      <c r="T22" s="28">
        <v>-10.19</v>
      </c>
      <c r="U22" s="28">
        <v>-16.86</v>
      </c>
      <c r="V22" s="28">
        <v>-16.18</v>
      </c>
      <c r="W22" s="28">
        <v>-5.39</v>
      </c>
      <c r="X22" s="28">
        <v>-6.21</v>
      </c>
      <c r="Y22" s="28">
        <v>-9.54</v>
      </c>
      <c r="Z22" s="28">
        <v>-12.57</v>
      </c>
      <c r="AA22" s="28">
        <v>1.87</v>
      </c>
      <c r="AB22" s="28">
        <v>-2.33</v>
      </c>
      <c r="AC22" s="28">
        <v>-1.65</v>
      </c>
      <c r="AD22" s="28">
        <v>4.94</v>
      </c>
      <c r="AE22" s="28">
        <v>-0.46</v>
      </c>
      <c r="AF22" s="28">
        <v>-6.39</v>
      </c>
      <c r="AG22" s="28">
        <v>-9.49</v>
      </c>
      <c r="AH22" s="28">
        <v>-1.08</v>
      </c>
      <c r="AJ22" s="28">
        <v>-35.65</v>
      </c>
      <c r="AK22" s="28">
        <v>-14.68</v>
      </c>
      <c r="AL22" s="20">
        <v>-24.16</v>
      </c>
      <c r="AM22" s="20">
        <v>14.82</v>
      </c>
      <c r="AN22" s="28">
        <v>-6.05</v>
      </c>
      <c r="AO22" s="13">
        <v>0.43</v>
      </c>
      <c r="AP22" s="13">
        <v>-3.76</v>
      </c>
      <c r="AQ22" s="13">
        <v>-41.18</v>
      </c>
      <c r="AR22" s="13">
        <v>13.14</v>
      </c>
      <c r="AS22" s="13">
        <v>-4.97</v>
      </c>
      <c r="AT22" s="13">
        <v>1.61</v>
      </c>
      <c r="AU22" s="13">
        <v>-21.24</v>
      </c>
      <c r="AV22" s="13">
        <v>6.5</v>
      </c>
      <c r="AW22" s="13">
        <v>-13.98</v>
      </c>
      <c r="AX22" s="13">
        <v>2.62</v>
      </c>
      <c r="AY22" s="13">
        <v>28.42</v>
      </c>
      <c r="AZ22" s="69"/>
      <c r="BA22" s="13">
        <v>37.11</v>
      </c>
      <c r="BB22" s="13">
        <v>-28.57</v>
      </c>
      <c r="BC22" s="13">
        <v>-22.21</v>
      </c>
      <c r="BD22" s="13">
        <v>-28.35</v>
      </c>
      <c r="BE22" s="13">
        <v>-38.44</v>
      </c>
      <c r="BF22" s="13">
        <v>-15.35</v>
      </c>
      <c r="BG22" s="13">
        <v>-16.88</v>
      </c>
      <c r="BH22" s="13">
        <v>-33.32</v>
      </c>
      <c r="BI22" s="13">
        <v>-16.88</v>
      </c>
      <c r="BJ22" s="13">
        <v>10.31</v>
      </c>
      <c r="BK22" s="13">
        <v>-28.97</v>
      </c>
      <c r="BL22" s="13">
        <v>-26.43</v>
      </c>
      <c r="BM22" s="13">
        <v>-28.31</v>
      </c>
      <c r="BN22" s="13">
        <v>-22.7</v>
      </c>
      <c r="BO22" s="13">
        <v>-26.5</v>
      </c>
      <c r="BP22" s="13">
        <v>-25.06</v>
      </c>
      <c r="BQ22" s="69"/>
      <c r="BR22" s="13">
        <v>-27.17</v>
      </c>
      <c r="BS22" s="13">
        <v>11.16</v>
      </c>
      <c r="BT22" s="13">
        <v>34.7</v>
      </c>
      <c r="BU22" s="13">
        <v>-11.98</v>
      </c>
      <c r="BV22" s="13">
        <v>8.37</v>
      </c>
      <c r="BW22" s="13">
        <v>-9.39</v>
      </c>
      <c r="BX22" s="13">
        <v>7.25</v>
      </c>
      <c r="BY22" s="13">
        <v>11.16</v>
      </c>
      <c r="BZ22" s="13">
        <v>6.44</v>
      </c>
      <c r="CA22" s="13">
        <v>7.25</v>
      </c>
      <c r="CB22" s="13">
        <v>2.91</v>
      </c>
      <c r="CC22" s="13">
        <v>-23.12</v>
      </c>
      <c r="CD22" s="13">
        <v>15.97</v>
      </c>
      <c r="CE22" s="13">
        <v>-16.69</v>
      </c>
      <c r="CF22" s="13">
        <v>12.13</v>
      </c>
      <c r="CG22" s="13">
        <v>8.39</v>
      </c>
      <c r="CH22" s="69"/>
      <c r="CI22" s="69"/>
    </row>
    <row r="23">
      <c r="A23" s="69"/>
      <c r="B23" s="28">
        <v>13.79</v>
      </c>
      <c r="C23" s="28">
        <v>31.17</v>
      </c>
      <c r="D23" s="28">
        <v>14.26</v>
      </c>
      <c r="E23" s="28">
        <v>19.86</v>
      </c>
      <c r="F23" s="28">
        <v>6.43</v>
      </c>
      <c r="G23" s="28">
        <v>7.5</v>
      </c>
      <c r="H23" s="28">
        <v>13.63</v>
      </c>
      <c r="I23" s="28">
        <v>53.83</v>
      </c>
      <c r="J23" s="28">
        <v>13.53</v>
      </c>
      <c r="K23" s="28">
        <v>11.55</v>
      </c>
      <c r="L23" s="28">
        <v>28.18</v>
      </c>
      <c r="M23" s="28">
        <v>-16.31</v>
      </c>
      <c r="N23" s="28">
        <v>16.57</v>
      </c>
      <c r="O23" s="28">
        <v>5.67</v>
      </c>
      <c r="P23" s="28">
        <v>5.3</v>
      </c>
      <c r="Q23" s="28">
        <v>3.64</v>
      </c>
      <c r="R23" s="28"/>
      <c r="S23" s="28">
        <v>19.97</v>
      </c>
      <c r="T23" s="28">
        <v>-12.5</v>
      </c>
      <c r="U23" s="28">
        <v>-25.97</v>
      </c>
      <c r="V23" s="28">
        <v>-1.67</v>
      </c>
      <c r="W23" s="28">
        <v>4.82</v>
      </c>
      <c r="X23" s="28">
        <v>-1.05</v>
      </c>
      <c r="Y23" s="28">
        <v>-16.18</v>
      </c>
      <c r="Z23" s="28">
        <v>-12.5</v>
      </c>
      <c r="AA23" s="28">
        <v>-18.26</v>
      </c>
      <c r="AB23" s="28">
        <v>4.04</v>
      </c>
      <c r="AC23" s="28">
        <v>-1.35</v>
      </c>
      <c r="AD23" s="28">
        <v>8.99</v>
      </c>
      <c r="AE23" s="28">
        <v>-1.13</v>
      </c>
      <c r="AF23" s="28">
        <v>-0.81</v>
      </c>
      <c r="AG23" s="28">
        <v>-14.67</v>
      </c>
      <c r="AH23" s="28">
        <v>-13.83</v>
      </c>
      <c r="AJ23" s="28">
        <v>-26.63</v>
      </c>
      <c r="AK23" s="28">
        <v>5.2</v>
      </c>
      <c r="AL23" s="20">
        <v>-7.27</v>
      </c>
      <c r="AM23" s="20">
        <v>4.64</v>
      </c>
      <c r="AN23" s="28">
        <v>17.53</v>
      </c>
      <c r="AO23" s="13">
        <v>7.94</v>
      </c>
      <c r="AP23" s="13">
        <v>-27.98</v>
      </c>
      <c r="AQ23" s="13">
        <v>-24.45</v>
      </c>
      <c r="AR23" s="13">
        <v>-5.09</v>
      </c>
      <c r="AS23" s="13">
        <v>-21.3</v>
      </c>
      <c r="AT23" s="13">
        <v>-21.72</v>
      </c>
      <c r="AU23" s="13">
        <v>15.74</v>
      </c>
      <c r="AV23" s="13">
        <v>-27.5</v>
      </c>
      <c r="AW23" s="13">
        <v>-28.8</v>
      </c>
      <c r="AX23" s="13">
        <v>13.77</v>
      </c>
      <c r="AY23" s="13">
        <v>34.76</v>
      </c>
      <c r="AZ23" s="69"/>
      <c r="BA23" s="13">
        <v>-10.18</v>
      </c>
      <c r="BB23" s="13">
        <v>-22.1</v>
      </c>
      <c r="BC23" s="13">
        <v>-23.73</v>
      </c>
      <c r="BD23" s="13">
        <v>-22.17</v>
      </c>
      <c r="BE23" s="13">
        <v>-21.35</v>
      </c>
      <c r="BF23" s="13">
        <v>-12.54</v>
      </c>
      <c r="BG23" s="13">
        <v>-12.33</v>
      </c>
      <c r="BH23" s="13">
        <v>-9.34</v>
      </c>
      <c r="BI23" s="13">
        <v>-41.38</v>
      </c>
      <c r="BJ23" s="13">
        <v>-15.84</v>
      </c>
      <c r="BK23" s="13">
        <v>-28.85</v>
      </c>
      <c r="BL23" s="13">
        <v>-26.67</v>
      </c>
      <c r="BM23" s="13">
        <v>-30.51</v>
      </c>
      <c r="BN23" s="13">
        <v>6.53</v>
      </c>
      <c r="BO23" s="13">
        <v>-29.82</v>
      </c>
      <c r="BP23" s="13">
        <v>-14.42</v>
      </c>
      <c r="BQ23" s="69"/>
      <c r="BR23" s="13">
        <v>23.16</v>
      </c>
      <c r="BS23" s="13">
        <v>-9.28</v>
      </c>
      <c r="BT23" s="13">
        <v>23.07</v>
      </c>
      <c r="BU23" s="13">
        <v>3.33</v>
      </c>
      <c r="BV23" s="13">
        <v>27.69</v>
      </c>
      <c r="BW23" s="13">
        <v>-9.98</v>
      </c>
      <c r="BX23" s="13">
        <v>-21.01</v>
      </c>
      <c r="BY23" s="13">
        <v>-23.85</v>
      </c>
      <c r="BZ23" s="13">
        <v>9.05</v>
      </c>
      <c r="CA23" s="13">
        <v>-8.05</v>
      </c>
      <c r="CB23" s="13">
        <v>-21.52</v>
      </c>
      <c r="CC23" s="13">
        <v>-10.91</v>
      </c>
      <c r="CD23" s="13">
        <v>-0.96</v>
      </c>
      <c r="CE23" s="13">
        <v>-9.26</v>
      </c>
      <c r="CF23" s="13">
        <v>4.91</v>
      </c>
      <c r="CG23" s="13">
        <v>29.88</v>
      </c>
      <c r="CH23" s="69"/>
      <c r="CI23" s="69"/>
    </row>
    <row r="24">
      <c r="A24" s="69"/>
      <c r="B24" s="28">
        <v>-16.31</v>
      </c>
      <c r="C24" s="28">
        <v>16.59</v>
      </c>
      <c r="D24" s="28">
        <v>18.68</v>
      </c>
      <c r="E24" s="28">
        <v>13.54</v>
      </c>
      <c r="F24" s="28">
        <v>14.32</v>
      </c>
      <c r="G24" s="28">
        <v>14.32</v>
      </c>
      <c r="H24" s="28">
        <v>16.57</v>
      </c>
      <c r="I24" s="28">
        <v>13.09</v>
      </c>
      <c r="J24" s="28">
        <v>28.35</v>
      </c>
      <c r="K24" s="28">
        <v>55.61</v>
      </c>
      <c r="L24" s="28">
        <v>16.15</v>
      </c>
      <c r="M24" s="28">
        <v>14.5</v>
      </c>
      <c r="N24" s="28">
        <v>14.31</v>
      </c>
      <c r="O24" s="28">
        <v>39.17</v>
      </c>
      <c r="P24" s="28">
        <v>6.6</v>
      </c>
      <c r="Q24" s="28">
        <v>10.73</v>
      </c>
      <c r="R24" s="28"/>
      <c r="S24" s="28">
        <v>-8.1</v>
      </c>
      <c r="T24" s="28">
        <v>-8.1</v>
      </c>
      <c r="U24" s="28">
        <v>-1.55</v>
      </c>
      <c r="V24" s="28">
        <v>-2.17</v>
      </c>
      <c r="W24" s="28">
        <v>-19.24</v>
      </c>
      <c r="X24" s="28">
        <v>-23.22</v>
      </c>
      <c r="Y24" s="28">
        <v>-11.82</v>
      </c>
      <c r="Z24" s="28">
        <v>13.35</v>
      </c>
      <c r="AA24" s="28">
        <v>-13.66</v>
      </c>
      <c r="AB24" s="28">
        <v>8.46</v>
      </c>
      <c r="AC24" s="28">
        <v>2.14</v>
      </c>
      <c r="AD24" s="28">
        <v>4.3</v>
      </c>
      <c r="AE24" s="28">
        <v>-1.34</v>
      </c>
      <c r="AF24" s="28">
        <v>-8.56</v>
      </c>
      <c r="AG24" s="28">
        <v>4.3</v>
      </c>
      <c r="AH24" s="28">
        <v>-6.01</v>
      </c>
      <c r="AJ24" s="28">
        <v>-55.24</v>
      </c>
      <c r="AK24" s="28">
        <v>-3.43</v>
      </c>
      <c r="AL24" s="20">
        <v>-20.89</v>
      </c>
      <c r="AM24" s="20">
        <v>0.11</v>
      </c>
      <c r="AN24" s="28">
        <v>37.01</v>
      </c>
      <c r="AO24" s="13">
        <v>14.5</v>
      </c>
      <c r="AP24" s="13">
        <v>5.99</v>
      </c>
      <c r="AQ24" s="13">
        <v>-30.53</v>
      </c>
      <c r="AR24" s="13">
        <v>-10.13</v>
      </c>
      <c r="AS24" s="13">
        <v>18.68</v>
      </c>
      <c r="AT24" s="13">
        <v>-23.86</v>
      </c>
      <c r="AU24" s="13">
        <v>17.22</v>
      </c>
      <c r="AV24" s="13">
        <v>-9.97</v>
      </c>
      <c r="AW24" s="13">
        <v>-32.32</v>
      </c>
      <c r="AX24" s="13">
        <v>2.38</v>
      </c>
      <c r="AY24" s="13">
        <v>-33.7</v>
      </c>
      <c r="AZ24" s="69"/>
      <c r="BA24" s="13">
        <v>-31.32</v>
      </c>
      <c r="BB24" s="13">
        <v>-4.73</v>
      </c>
      <c r="BC24" s="13">
        <v>-25.06</v>
      </c>
      <c r="BD24" s="13">
        <v>-35.41</v>
      </c>
      <c r="BE24" s="13">
        <v>-35.17</v>
      </c>
      <c r="BF24" s="13">
        <v>-20.69</v>
      </c>
      <c r="BG24" s="13">
        <v>-29.82</v>
      </c>
      <c r="BH24" s="13">
        <v>-28.24</v>
      </c>
      <c r="BI24" s="13">
        <v>-8.81</v>
      </c>
      <c r="BJ24" s="13">
        <v>-22.28</v>
      </c>
      <c r="BK24" s="13">
        <v>-9.34</v>
      </c>
      <c r="BL24" s="13">
        <v>-33.21</v>
      </c>
      <c r="BM24" s="13">
        <v>-28.2</v>
      </c>
      <c r="BN24" s="13">
        <v>2.32</v>
      </c>
      <c r="BO24" s="13">
        <v>-33.64</v>
      </c>
      <c r="BP24" s="13">
        <v>-22.61</v>
      </c>
      <c r="BQ24" s="69"/>
      <c r="BR24" s="13">
        <v>-14.54</v>
      </c>
      <c r="BS24" s="13">
        <v>-11.98</v>
      </c>
      <c r="BT24" s="13">
        <v>6.3</v>
      </c>
      <c r="BU24" s="13">
        <v>-7.42</v>
      </c>
      <c r="BV24" s="13">
        <v>19.84</v>
      </c>
      <c r="BW24" s="13">
        <v>2.17</v>
      </c>
      <c r="BX24" s="13">
        <v>-19.22</v>
      </c>
      <c r="BY24" s="13">
        <v>-13.43</v>
      </c>
      <c r="BZ24" s="13">
        <v>-13.18</v>
      </c>
      <c r="CA24" s="13">
        <v>-11.68</v>
      </c>
      <c r="CB24" s="13">
        <v>-5.37</v>
      </c>
      <c r="CC24" s="13">
        <v>-9.35</v>
      </c>
      <c r="CD24" s="13">
        <v>27.66</v>
      </c>
      <c r="CE24" s="13">
        <v>-7.42</v>
      </c>
      <c r="CF24" s="13">
        <v>-12.32</v>
      </c>
      <c r="CG24" s="13">
        <v>-19.22</v>
      </c>
      <c r="CH24" s="69"/>
      <c r="CI24" s="69"/>
    </row>
    <row r="25">
      <c r="A25" s="69"/>
      <c r="AJ25" s="17"/>
    </row>
    <row r="26">
      <c r="A26" s="69"/>
      <c r="B26" s="265">
        <v>-4.7780000000000005</v>
      </c>
      <c r="C26" s="265">
        <v>-1.8045000000000002</v>
      </c>
      <c r="D26" s="109">
        <v>-3.1354999999999995</v>
      </c>
      <c r="E26" s="109">
        <v>-0.5320000000000001</v>
      </c>
      <c r="F26" s="109">
        <v>0.5814999999999998</v>
      </c>
      <c r="G26" s="109">
        <v>-0.07449999999999965</v>
      </c>
      <c r="H26" s="109">
        <v>1.5549999999999997</v>
      </c>
      <c r="I26" s="109">
        <v>3.788499999999999</v>
      </c>
      <c r="J26" s="109">
        <v>4.3340000000000005</v>
      </c>
      <c r="K26" s="109">
        <v>1.2039999999999995</v>
      </c>
      <c r="L26" s="109">
        <v>-4.728999999999999</v>
      </c>
      <c r="M26" s="109">
        <v>-8.059</v>
      </c>
      <c r="N26" s="109">
        <v>1.6905000000000001</v>
      </c>
      <c r="O26" s="109">
        <v>-6.0184999999999995</v>
      </c>
      <c r="P26" s="109"/>
      <c r="Q26" s="109"/>
      <c r="R26" s="109"/>
    </row>
    <row r="27">
      <c r="A27" s="69"/>
      <c r="B27" s="69"/>
      <c r="C27" s="69"/>
    </row>
    <row r="28">
      <c r="A28" s="266" t="s">
        <v>448</v>
      </c>
      <c r="B28" s="267" t="s">
        <v>44</v>
      </c>
      <c r="C28" s="267" t="s">
        <v>316</v>
      </c>
      <c r="D28" s="267" t="s">
        <v>355</v>
      </c>
      <c r="E28" s="267" t="s">
        <v>357</v>
      </c>
      <c r="F28" s="267" t="s">
        <v>359</v>
      </c>
      <c r="G28" s="268" t="s">
        <v>209</v>
      </c>
      <c r="J28" s="28" t="s">
        <v>44</v>
      </c>
      <c r="K28" s="28" t="s">
        <v>316</v>
      </c>
      <c r="L28" s="28" t="s">
        <v>355</v>
      </c>
      <c r="M28" s="28" t="s">
        <v>357</v>
      </c>
      <c r="N28" s="28" t="s">
        <v>359</v>
      </c>
      <c r="O28" s="28" t="s">
        <v>209</v>
      </c>
      <c r="Q28" s="269" t="s">
        <v>449</v>
      </c>
      <c r="R28" s="270" t="s">
        <v>44</v>
      </c>
      <c r="S28" s="270" t="s">
        <v>316</v>
      </c>
      <c r="T28" s="270" t="s">
        <v>355</v>
      </c>
      <c r="U28" s="270" t="s">
        <v>357</v>
      </c>
      <c r="V28" s="270" t="s">
        <v>359</v>
      </c>
      <c r="W28" s="270" t="s">
        <v>209</v>
      </c>
      <c r="X28" s="271" t="s">
        <v>358</v>
      </c>
      <c r="AA28" s="28" t="s">
        <v>44</v>
      </c>
      <c r="AB28" s="28" t="s">
        <v>316</v>
      </c>
      <c r="AC28" s="28" t="s">
        <v>355</v>
      </c>
      <c r="AD28" s="28" t="s">
        <v>357</v>
      </c>
      <c r="AE28" s="28" t="s">
        <v>359</v>
      </c>
    </row>
    <row r="29">
      <c r="A29" s="272" t="s">
        <v>444</v>
      </c>
      <c r="B29" s="273">
        <v>9.821</v>
      </c>
      <c r="C29" s="274">
        <v>1.5255</v>
      </c>
      <c r="D29" s="275">
        <v>6.5565000000000015</v>
      </c>
      <c r="E29" s="276">
        <v>-29.363999999999997</v>
      </c>
      <c r="F29" s="277">
        <v>20.0</v>
      </c>
      <c r="G29" s="278">
        <f t="shared" ref="G29:G44" si="13">AVERAGE(B29:F29)</f>
        <v>1.7078</v>
      </c>
      <c r="I29" s="28" t="s">
        <v>444</v>
      </c>
      <c r="J29" s="40">
        <f t="shared" ref="J29:N29" si="11">B$52*B29+B$53</f>
        <v>0.1697435309</v>
      </c>
      <c r="K29" s="40">
        <f t="shared" si="11"/>
        <v>1</v>
      </c>
      <c r="L29" s="40">
        <f t="shared" si="11"/>
        <v>0.9717305267</v>
      </c>
      <c r="M29" s="40">
        <f t="shared" si="11"/>
        <v>0</v>
      </c>
      <c r="N29" s="40">
        <f t="shared" si="11"/>
        <v>1</v>
      </c>
      <c r="O29" s="40">
        <f t="shared" ref="O29:O44" si="15">AVERAGE(J29:N29)</f>
        <v>0.6282948115</v>
      </c>
      <c r="Q29" s="279" t="s">
        <v>387</v>
      </c>
      <c r="R29" s="280">
        <v>0.8437488055651112</v>
      </c>
      <c r="S29" s="281">
        <v>0.507548828498261</v>
      </c>
      <c r="T29" s="282">
        <v>1.0</v>
      </c>
      <c r="U29" s="283">
        <v>0.392503800433623</v>
      </c>
      <c r="V29" s="284">
        <v>0.4416764674436009</v>
      </c>
      <c r="W29" s="282">
        <v>0.6370955803881192</v>
      </c>
      <c r="X29" s="285">
        <f t="shared" ref="X29:X44" si="16">STDEV(R29:V29)</f>
        <v>0.2688871988</v>
      </c>
      <c r="AA29" s="40">
        <f t="shared" ref="AA29:AE29" si="12">R30+R33+R41+R34</f>
        <v>2.002102205</v>
      </c>
      <c r="AB29" s="40">
        <f t="shared" si="12"/>
        <v>2.737262546</v>
      </c>
      <c r="AC29" s="40">
        <f t="shared" si="12"/>
        <v>2.536989519</v>
      </c>
      <c r="AD29" s="40">
        <f t="shared" si="12"/>
        <v>2.003738131</v>
      </c>
      <c r="AE29" s="40">
        <f t="shared" si="12"/>
        <v>1.70474714</v>
      </c>
    </row>
    <row r="30">
      <c r="A30" s="286" t="s">
        <v>387</v>
      </c>
      <c r="B30" s="287">
        <v>18.638</v>
      </c>
      <c r="C30" s="288">
        <v>-4.9165</v>
      </c>
      <c r="D30" s="274">
        <v>7.5314999999999985</v>
      </c>
      <c r="E30" s="289">
        <v>-21.489</v>
      </c>
      <c r="F30" s="290">
        <v>4.3340000000000005</v>
      </c>
      <c r="G30" s="291">
        <f t="shared" si="13"/>
        <v>0.8196</v>
      </c>
      <c r="I30" s="28" t="s">
        <v>387</v>
      </c>
      <c r="J30" s="40">
        <f t="shared" ref="J30:N30" si="14">B$52*B30+B$53</f>
        <v>0.8437488056</v>
      </c>
      <c r="K30" s="40">
        <f t="shared" si="14"/>
        <v>0.5075488285</v>
      </c>
      <c r="L30" s="40">
        <f t="shared" si="14"/>
        <v>1</v>
      </c>
      <c r="M30" s="40">
        <f t="shared" si="14"/>
        <v>0.3925038004</v>
      </c>
      <c r="N30" s="40">
        <f t="shared" si="14"/>
        <v>0.4416764674</v>
      </c>
      <c r="O30" s="40">
        <f t="shared" si="15"/>
        <v>0.6370955804</v>
      </c>
      <c r="Q30" s="279" t="s">
        <v>444</v>
      </c>
      <c r="R30" s="292">
        <v>0.16974353094064143</v>
      </c>
      <c r="S30" s="282">
        <v>1.0</v>
      </c>
      <c r="T30" s="293">
        <v>0.9717305266820337</v>
      </c>
      <c r="U30" s="294">
        <v>-2.220446049250313E-16</v>
      </c>
      <c r="V30" s="282">
        <v>1.0</v>
      </c>
      <c r="W30" s="293">
        <v>0.628294811524535</v>
      </c>
      <c r="X30" s="295">
        <f t="shared" si="16"/>
        <v>0.4998252774</v>
      </c>
      <c r="Z30" s="28" t="s">
        <v>442</v>
      </c>
      <c r="AA30" s="296">
        <f t="shared" ref="AA30:AE30" si="17">R33/AA$29</f>
        <v>0.284435196</v>
      </c>
      <c r="AB30" s="296">
        <f t="shared" si="17"/>
        <v>0.3517419535</v>
      </c>
      <c r="AC30" s="296">
        <f t="shared" si="17"/>
        <v>0.2920245259</v>
      </c>
      <c r="AD30" s="296">
        <f t="shared" si="17"/>
        <v>0.1296204169</v>
      </c>
      <c r="AE30" s="296">
        <f t="shared" si="17"/>
        <v>0.2038215895</v>
      </c>
    </row>
    <row r="31">
      <c r="A31" s="272" t="s">
        <v>438</v>
      </c>
      <c r="B31" s="297">
        <v>14.198999999999998</v>
      </c>
      <c r="C31" s="298">
        <v>-4.078</v>
      </c>
      <c r="D31" s="299">
        <v>7.411000000000001</v>
      </c>
      <c r="E31" s="300">
        <v>-15.849499999999997</v>
      </c>
      <c r="F31" s="301">
        <v>1.5549999999999997</v>
      </c>
      <c r="G31" s="302">
        <f t="shared" si="13"/>
        <v>0.6475</v>
      </c>
      <c r="I31" s="28" t="s">
        <v>438</v>
      </c>
      <c r="J31" s="40">
        <f t="shared" ref="J31:N31" si="18">B$52*B31+B$53</f>
        <v>0.5044146313</v>
      </c>
      <c r="K31" s="40">
        <f t="shared" si="18"/>
        <v>0.5716469824</v>
      </c>
      <c r="L31" s="40">
        <f t="shared" si="18"/>
        <v>0.996506183</v>
      </c>
      <c r="M31" s="40">
        <f t="shared" si="18"/>
        <v>0.6735863633</v>
      </c>
      <c r="N31" s="40">
        <f t="shared" si="18"/>
        <v>0.3426351616</v>
      </c>
      <c r="O31" s="40">
        <f t="shared" si="15"/>
        <v>0.6177578643</v>
      </c>
      <c r="Q31" s="279" t="s">
        <v>438</v>
      </c>
      <c r="R31" s="303">
        <v>0.5044146313496158</v>
      </c>
      <c r="S31" s="304">
        <v>0.5716469823796966</v>
      </c>
      <c r="T31" s="305">
        <v>0.9965061830412154</v>
      </c>
      <c r="U31" s="306">
        <v>0.6735863632965334</v>
      </c>
      <c r="V31" s="307">
        <v>0.3426351616237213</v>
      </c>
      <c r="W31" s="308">
        <v>0.6177578643381565</v>
      </c>
      <c r="X31" s="309">
        <f t="shared" si="16"/>
        <v>0.2435326024</v>
      </c>
      <c r="Z31" s="28" t="s">
        <v>443</v>
      </c>
      <c r="AA31" s="296">
        <f t="shared" ref="AA31:AE31" si="19">R41/AA$29</f>
        <v>0.4622859434</v>
      </c>
      <c r="AB31" s="296">
        <f t="shared" si="19"/>
        <v>0.07166096488</v>
      </c>
      <c r="AC31" s="296">
        <f t="shared" si="19"/>
        <v>0</v>
      </c>
      <c r="AD31" s="296">
        <f t="shared" si="19"/>
        <v>0.4990672106</v>
      </c>
      <c r="AE31" s="296">
        <f t="shared" si="19"/>
        <v>0.04265838795</v>
      </c>
      <c r="AL31" s="28"/>
      <c r="AM31" s="28"/>
    </row>
    <row r="32">
      <c r="A32" s="286" t="s">
        <v>437</v>
      </c>
      <c r="B32" s="310">
        <v>12.013500000000002</v>
      </c>
      <c r="C32" s="311">
        <v>-3.9909999999999997</v>
      </c>
      <c r="D32" s="312">
        <v>1.475</v>
      </c>
      <c r="E32" s="313">
        <v>-14.4365</v>
      </c>
      <c r="F32" s="314">
        <v>-0.07449999999999965</v>
      </c>
      <c r="G32" s="315">
        <f t="shared" si="13"/>
        <v>-1.0027</v>
      </c>
      <c r="I32" s="28" t="s">
        <v>437</v>
      </c>
      <c r="J32" s="40">
        <f t="shared" ref="J32:N32" si="20">B$52*B32+B$53</f>
        <v>0.3373466346</v>
      </c>
      <c r="K32" s="40">
        <f t="shared" si="20"/>
        <v>0.5782975958</v>
      </c>
      <c r="L32" s="40">
        <f t="shared" si="20"/>
        <v>0.8243958306</v>
      </c>
      <c r="M32" s="40">
        <f t="shared" si="20"/>
        <v>0.7440127595</v>
      </c>
      <c r="N32" s="40">
        <f t="shared" si="20"/>
        <v>0.2845611034</v>
      </c>
      <c r="O32" s="40">
        <f t="shared" si="15"/>
        <v>0.5537227848</v>
      </c>
      <c r="Q32" s="316" t="s">
        <v>439</v>
      </c>
      <c r="R32" s="317">
        <v>0.5614799526048238</v>
      </c>
      <c r="S32" s="318">
        <v>0.5803233574131408</v>
      </c>
      <c r="T32" s="319">
        <v>0.657562446541701</v>
      </c>
      <c r="U32" s="320">
        <v>0.7510902883345377</v>
      </c>
      <c r="V32" s="321">
        <v>0.3301258063366477</v>
      </c>
      <c r="W32" s="322">
        <v>0.5761163702461701</v>
      </c>
      <c r="X32" s="323">
        <f t="shared" si="16"/>
        <v>0.1565188618</v>
      </c>
      <c r="Z32" s="28" t="s">
        <v>444</v>
      </c>
      <c r="AA32" s="296">
        <f t="shared" ref="AA32:AE32" si="21">R30/AA$29</f>
        <v>0.0847826502</v>
      </c>
      <c r="AB32" s="296">
        <f t="shared" si="21"/>
        <v>0.3653284926</v>
      </c>
      <c r="AC32" s="296">
        <f t="shared" si="21"/>
        <v>0.3830250459</v>
      </c>
      <c r="AD32" s="296">
        <f t="shared" si="21"/>
        <v>0</v>
      </c>
      <c r="AE32" s="296">
        <f t="shared" si="21"/>
        <v>0.5865972592</v>
      </c>
    </row>
    <row r="33">
      <c r="A33" s="272" t="s">
        <v>439</v>
      </c>
      <c r="B33" s="324">
        <v>14.945500000000001</v>
      </c>
      <c r="C33" s="311">
        <v>-3.9644999999999997</v>
      </c>
      <c r="D33" s="325">
        <v>-4.279000000000001</v>
      </c>
      <c r="E33" s="326">
        <v>-14.2945</v>
      </c>
      <c r="F33" s="327">
        <v>1.2039999999999995</v>
      </c>
      <c r="G33" s="328">
        <f t="shared" si="13"/>
        <v>-1.2777</v>
      </c>
      <c r="I33" s="28" t="s">
        <v>439</v>
      </c>
      <c r="J33" s="40">
        <f t="shared" ref="J33:N33" si="22">B$52*B33+B$53</f>
        <v>0.5614799526</v>
      </c>
      <c r="K33" s="40">
        <f t="shared" si="22"/>
        <v>0.5803233574</v>
      </c>
      <c r="L33" s="40">
        <f t="shared" si="22"/>
        <v>0.6575624465</v>
      </c>
      <c r="M33" s="40">
        <f t="shared" si="22"/>
        <v>0.7510902883</v>
      </c>
      <c r="N33" s="40">
        <f t="shared" si="22"/>
        <v>0.3301258063</v>
      </c>
      <c r="O33" s="40">
        <f t="shared" si="15"/>
        <v>0.5761163702</v>
      </c>
      <c r="Q33" s="329" t="s">
        <v>442</v>
      </c>
      <c r="R33" s="330">
        <v>0.5694683331422234</v>
      </c>
      <c r="S33" s="331">
        <v>0.9628100752971754</v>
      </c>
      <c r="T33" s="332">
        <v>0.7408631612519753</v>
      </c>
      <c r="U33" s="333">
        <v>0.2597253719440773</v>
      </c>
      <c r="V33" s="334">
        <v>0.34746427171317573</v>
      </c>
      <c r="W33" s="322">
        <v>0.5760662426697255</v>
      </c>
      <c r="X33" s="335">
        <f t="shared" si="16"/>
        <v>0.2868373914</v>
      </c>
      <c r="Z33" s="54" t="s">
        <v>437</v>
      </c>
      <c r="AA33" s="296">
        <f t="shared" ref="AA33:AE33" si="23">R34/AA$29</f>
        <v>0.1684962105</v>
      </c>
      <c r="AB33" s="296">
        <f t="shared" si="23"/>
        <v>0.211268589</v>
      </c>
      <c r="AC33" s="296">
        <f t="shared" si="23"/>
        <v>0.3249504283</v>
      </c>
      <c r="AD33" s="296">
        <f t="shared" si="23"/>
        <v>0.3713123725</v>
      </c>
      <c r="AE33" s="296">
        <f t="shared" si="23"/>
        <v>0.1669227633</v>
      </c>
    </row>
    <row r="34">
      <c r="A34" s="286" t="s">
        <v>442</v>
      </c>
      <c r="B34" s="336">
        <v>15.049999999999997</v>
      </c>
      <c r="C34" s="337">
        <v>1.0390000000000001</v>
      </c>
      <c r="D34" s="338">
        <v>-1.406</v>
      </c>
      <c r="E34" s="339">
        <v>-24.153</v>
      </c>
      <c r="F34" s="340">
        <v>1.6905000000000001</v>
      </c>
      <c r="G34" s="341">
        <f t="shared" si="13"/>
        <v>-1.5559</v>
      </c>
      <c r="I34" s="28" t="s">
        <v>442</v>
      </c>
      <c r="J34" s="40">
        <f t="shared" ref="J34:N34" si="24">B$52*B34+B$53</f>
        <v>0.5694683331</v>
      </c>
      <c r="K34" s="40">
        <f t="shared" si="24"/>
        <v>0.9628100753</v>
      </c>
      <c r="L34" s="40">
        <f t="shared" si="24"/>
        <v>0.7408631613</v>
      </c>
      <c r="M34" s="40">
        <f t="shared" si="24"/>
        <v>0.2597253719</v>
      </c>
      <c r="N34" s="40">
        <f t="shared" si="24"/>
        <v>0.3474642717</v>
      </c>
      <c r="O34" s="40">
        <f t="shared" si="15"/>
        <v>0.5760662427</v>
      </c>
      <c r="Q34" s="342" t="s">
        <v>437</v>
      </c>
      <c r="R34" s="343">
        <v>0.33734663456025715</v>
      </c>
      <c r="S34" s="318">
        <v>0.5782975958414556</v>
      </c>
      <c r="T34" s="344">
        <v>0.8243958306151147</v>
      </c>
      <c r="U34" s="345">
        <v>0.7440127594886234</v>
      </c>
      <c r="V34" s="346">
        <v>0.2845611033892868</v>
      </c>
      <c r="W34" s="347">
        <v>0.5537227847789475</v>
      </c>
      <c r="X34" s="348">
        <f t="shared" si="16"/>
        <v>0.239449756</v>
      </c>
    </row>
    <row r="35">
      <c r="A35" s="272" t="s">
        <v>445</v>
      </c>
      <c r="B35" s="349">
        <v>17.915999999999997</v>
      </c>
      <c r="C35" s="350">
        <v>-7.530500000000001</v>
      </c>
      <c r="D35" s="351">
        <v>-0.8740000000000002</v>
      </c>
      <c r="E35" s="352">
        <v>-21.378000000000004</v>
      </c>
      <c r="F35" s="353">
        <v>2.8</v>
      </c>
      <c r="G35" s="354">
        <f t="shared" si="13"/>
        <v>-1.8133</v>
      </c>
      <c r="I35" s="28" t="s">
        <v>445</v>
      </c>
      <c r="J35" s="40">
        <f t="shared" ref="J35:N35" si="25">B$52*B35+B$53</f>
        <v>0.7885563582</v>
      </c>
      <c r="K35" s="40">
        <f t="shared" si="25"/>
        <v>0.3077246493</v>
      </c>
      <c r="L35" s="40">
        <f t="shared" si="25"/>
        <v>0.7562881457</v>
      </c>
      <c r="M35" s="40">
        <f t="shared" si="25"/>
        <v>0.398036235</v>
      </c>
      <c r="N35" s="40">
        <f t="shared" si="25"/>
        <v>0.3870059517</v>
      </c>
      <c r="O35" s="40">
        <f t="shared" si="15"/>
        <v>0.527522268</v>
      </c>
      <c r="Q35" s="329" t="s">
        <v>445</v>
      </c>
      <c r="R35" s="355">
        <v>0.7885563582158006</v>
      </c>
      <c r="S35" s="356">
        <v>0.30772464931391663</v>
      </c>
      <c r="T35" s="357">
        <v>0.756288145667522</v>
      </c>
      <c r="U35" s="358">
        <v>0.3980362349540205</v>
      </c>
      <c r="V35" s="283">
        <v>0.3870059517445382</v>
      </c>
      <c r="W35" s="359">
        <v>0.5275222679791596</v>
      </c>
      <c r="X35" s="360">
        <f t="shared" si="16"/>
        <v>0.2265475028</v>
      </c>
    </row>
    <row r="36">
      <c r="A36" s="286" t="s">
        <v>436</v>
      </c>
      <c r="B36" s="361">
        <v>8.2845</v>
      </c>
      <c r="C36" s="362">
        <v>0.22299999999999986</v>
      </c>
      <c r="D36" s="363">
        <v>-1.7254999999999998</v>
      </c>
      <c r="E36" s="364">
        <v>-19.266000000000002</v>
      </c>
      <c r="F36" s="350">
        <v>0.5814999999999998</v>
      </c>
      <c r="G36" s="365">
        <f t="shared" si="13"/>
        <v>-2.3805</v>
      </c>
      <c r="I36" s="28" t="s">
        <v>436</v>
      </c>
      <c r="J36" s="40">
        <f t="shared" ref="J36:N36" si="26">B$52*B36+B$53</f>
        <v>0.0522875817</v>
      </c>
      <c r="K36" s="40">
        <f t="shared" si="26"/>
        <v>0.9004319077</v>
      </c>
      <c r="L36" s="40">
        <f t="shared" si="26"/>
        <v>0.7315994723</v>
      </c>
      <c r="M36" s="40">
        <f t="shared" si="26"/>
        <v>0.5033020161</v>
      </c>
      <c r="N36" s="40">
        <f t="shared" si="26"/>
        <v>0.3079404113</v>
      </c>
      <c r="O36" s="40">
        <f t="shared" si="15"/>
        <v>0.4991122778</v>
      </c>
      <c r="Q36" s="316" t="s">
        <v>440</v>
      </c>
      <c r="R36" s="282">
        <v>1.0</v>
      </c>
      <c r="S36" s="366">
        <v>0.5754309521079387</v>
      </c>
      <c r="T36" s="292">
        <v>0.16867452413053263</v>
      </c>
      <c r="U36" s="367">
        <v>0.7671144117427168</v>
      </c>
      <c r="V36" s="368">
        <v>0.11867849887736548</v>
      </c>
      <c r="W36" s="306">
        <v>0.5259796773717106</v>
      </c>
      <c r="X36" s="369">
        <f t="shared" si="16"/>
        <v>0.3804102645</v>
      </c>
      <c r="Z36" s="54" t="s">
        <v>450</v>
      </c>
    </row>
    <row r="37">
      <c r="A37" s="272" t="s">
        <v>52</v>
      </c>
      <c r="B37" s="370">
        <v>15.570000000000002</v>
      </c>
      <c r="C37" s="371">
        <v>-5.383000000000001</v>
      </c>
      <c r="D37" s="372">
        <v>-3.434</v>
      </c>
      <c r="E37" s="373">
        <v>-19.584000000000003</v>
      </c>
      <c r="F37" s="374">
        <v>-0.5320000000000001</v>
      </c>
      <c r="G37" s="375">
        <f t="shared" si="13"/>
        <v>-2.6726</v>
      </c>
      <c r="I37" s="28" t="s">
        <v>52</v>
      </c>
      <c r="J37" s="40">
        <f t="shared" ref="J37:N37" si="27">B$52*B37+B$53</f>
        <v>0.6092191262</v>
      </c>
      <c r="K37" s="40">
        <f t="shared" si="27"/>
        <v>0.4718877805</v>
      </c>
      <c r="L37" s="40">
        <f t="shared" si="27"/>
        <v>0.6820626568</v>
      </c>
      <c r="M37" s="40">
        <f t="shared" si="27"/>
        <v>0.4874523388</v>
      </c>
      <c r="N37" s="40">
        <f t="shared" si="27"/>
        <v>0.2682561745</v>
      </c>
      <c r="O37" s="40">
        <f t="shared" si="15"/>
        <v>0.5037756154</v>
      </c>
      <c r="P37" s="249"/>
      <c r="Q37" s="329" t="s">
        <v>432</v>
      </c>
      <c r="R37" s="355">
        <v>0.7865305966441156</v>
      </c>
      <c r="S37" s="376">
        <v>0.3248480678821237</v>
      </c>
      <c r="T37" s="377">
        <v>0.68388929964192</v>
      </c>
      <c r="U37" s="304">
        <v>0.5724076058514214</v>
      </c>
      <c r="V37" s="378">
        <v>0.17546954631312583</v>
      </c>
      <c r="W37" s="379">
        <v>0.5086290232665414</v>
      </c>
      <c r="X37" s="380">
        <f t="shared" si="16"/>
        <v>0.2533692134</v>
      </c>
      <c r="Y37" s="249"/>
      <c r="Z37" s="249"/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49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</row>
    <row r="38">
      <c r="A38" s="286" t="s">
        <v>432</v>
      </c>
      <c r="B38" s="349">
        <v>17.889499999999998</v>
      </c>
      <c r="C38" s="381">
        <v>-7.3065</v>
      </c>
      <c r="D38" s="382">
        <v>-3.3709999999999996</v>
      </c>
      <c r="E38" s="298">
        <v>-17.879500000000004</v>
      </c>
      <c r="F38" s="383">
        <v>-3.1354999999999995</v>
      </c>
      <c r="G38" s="384">
        <f t="shared" si="13"/>
        <v>-2.7606</v>
      </c>
      <c r="I38" s="28" t="s">
        <v>432</v>
      </c>
      <c r="J38" s="40">
        <f t="shared" ref="J38:N38" si="28">B$52*B38+B$53</f>
        <v>0.7865305966</v>
      </c>
      <c r="K38" s="40">
        <f t="shared" si="28"/>
        <v>0.3248480679</v>
      </c>
      <c r="L38" s="40">
        <f t="shared" si="28"/>
        <v>0.6838892996</v>
      </c>
      <c r="M38" s="40">
        <f t="shared" si="28"/>
        <v>0.5724076059</v>
      </c>
      <c r="N38" s="40">
        <f t="shared" si="28"/>
        <v>0.1754695463</v>
      </c>
      <c r="O38" s="40">
        <f t="shared" si="15"/>
        <v>0.5086290233</v>
      </c>
      <c r="Q38" s="385" t="s">
        <v>52</v>
      </c>
      <c r="R38" s="386">
        <v>0.6092191262469902</v>
      </c>
      <c r="S38" s="387">
        <v>0.4718877804533119</v>
      </c>
      <c r="T38" s="388">
        <v>0.6820626567506052</v>
      </c>
      <c r="U38" s="389">
        <v>0.48745233882423267</v>
      </c>
      <c r="V38" s="390">
        <v>0.26825617448946854</v>
      </c>
      <c r="W38" s="386">
        <v>0.5037756153529217</v>
      </c>
      <c r="X38" s="323">
        <f t="shared" si="16"/>
        <v>0.1578427172</v>
      </c>
    </row>
    <row r="39">
      <c r="A39" s="272" t="s">
        <v>440</v>
      </c>
      <c r="B39" s="274">
        <v>20.682000000000002</v>
      </c>
      <c r="C39" s="391">
        <v>-4.0285</v>
      </c>
      <c r="D39" s="273">
        <v>-21.140499999999996</v>
      </c>
      <c r="E39" s="392">
        <v>-13.972999999999999</v>
      </c>
      <c r="F39" s="393">
        <v>-4.728999999999999</v>
      </c>
      <c r="G39" s="394">
        <f t="shared" si="13"/>
        <v>-4.6378</v>
      </c>
      <c r="I39" s="28" t="s">
        <v>440</v>
      </c>
      <c r="J39" s="40">
        <f t="shared" ref="J39:N39" si="29">B$52*B39+B$53</f>
        <v>1</v>
      </c>
      <c r="K39" s="40">
        <f t="shared" si="29"/>
        <v>0.5754309521</v>
      </c>
      <c r="L39" s="40">
        <f t="shared" si="29"/>
        <v>0.1686745241</v>
      </c>
      <c r="M39" s="40">
        <f t="shared" si="29"/>
        <v>0.7671144117</v>
      </c>
      <c r="N39" s="40">
        <f t="shared" si="29"/>
        <v>0.1186784989</v>
      </c>
      <c r="O39" s="40">
        <f t="shared" si="15"/>
        <v>0.5259796774</v>
      </c>
      <c r="Q39" s="395" t="s">
        <v>436</v>
      </c>
      <c r="R39" s="396">
        <v>0.05228758169934655</v>
      </c>
      <c r="S39" s="397">
        <v>0.9004319076558499</v>
      </c>
      <c r="T39" s="398">
        <v>0.7315994723031647</v>
      </c>
      <c r="U39" s="399">
        <v>0.5033020160988857</v>
      </c>
      <c r="V39" s="356">
        <v>0.3079404112762393</v>
      </c>
      <c r="W39" s="400">
        <v>0.49911227780669715</v>
      </c>
      <c r="X39" s="401">
        <f t="shared" si="16"/>
        <v>0.3359033665</v>
      </c>
    </row>
    <row r="40">
      <c r="A40" s="286" t="s">
        <v>386</v>
      </c>
      <c r="B40" s="402">
        <v>18.777</v>
      </c>
      <c r="C40" s="403">
        <v>-8.564499999999999</v>
      </c>
      <c r="D40" s="404">
        <v>-20.615500000000004</v>
      </c>
      <c r="E40" s="405">
        <v>-16.996</v>
      </c>
      <c r="F40" s="406">
        <v>3.788499999999999</v>
      </c>
      <c r="G40" s="407">
        <f t="shared" si="13"/>
        <v>-4.7221</v>
      </c>
      <c r="I40" s="28" t="s">
        <v>386</v>
      </c>
      <c r="J40" s="40">
        <f t="shared" ref="J40:N40" si="30">B$52*B40+B$53</f>
        <v>0.8543744983</v>
      </c>
      <c r="K40" s="40">
        <f t="shared" si="30"/>
        <v>0.2286817261</v>
      </c>
      <c r="L40" s="40">
        <f t="shared" si="30"/>
        <v>0.1838965482</v>
      </c>
      <c r="M40" s="40">
        <f t="shared" si="30"/>
        <v>0.6164427941</v>
      </c>
      <c r="N40" s="40">
        <f t="shared" si="30"/>
        <v>0.4222352899</v>
      </c>
      <c r="O40" s="40">
        <f t="shared" si="15"/>
        <v>0.4611261713</v>
      </c>
      <c r="Q40" s="316" t="s">
        <v>386</v>
      </c>
      <c r="R40" s="408">
        <v>0.8543744983373467</v>
      </c>
      <c r="S40" s="409">
        <v>0.22868172610174686</v>
      </c>
      <c r="T40" s="410">
        <v>0.18389654822482193</v>
      </c>
      <c r="U40" s="411">
        <v>0.6164427941286414</v>
      </c>
      <c r="V40" s="412">
        <v>0.4222352899248012</v>
      </c>
      <c r="W40" s="413">
        <v>0.46112617134347167</v>
      </c>
      <c r="X40" s="414">
        <f t="shared" si="16"/>
        <v>0.2789115831</v>
      </c>
    </row>
    <row r="41">
      <c r="A41" s="272" t="s">
        <v>441</v>
      </c>
      <c r="B41" s="415">
        <v>12.574999999999998</v>
      </c>
      <c r="C41" s="416">
        <v>-4.825000000000001</v>
      </c>
      <c r="D41" s="417">
        <v>-6.465499999999999</v>
      </c>
      <c r="E41" s="418">
        <v>-21.201500000000003</v>
      </c>
      <c r="F41" s="276">
        <v>-8.059</v>
      </c>
      <c r="G41" s="419">
        <f t="shared" si="13"/>
        <v>-5.5952</v>
      </c>
      <c r="I41" s="28" t="s">
        <v>441</v>
      </c>
      <c r="J41" s="40">
        <f t="shared" ref="J41:N41" si="31">B$52*B41+B$53</f>
        <v>0.3802698467</v>
      </c>
      <c r="K41" s="40">
        <f t="shared" si="31"/>
        <v>0.5145434392</v>
      </c>
      <c r="L41" s="40">
        <f t="shared" si="31"/>
        <v>0.5941663405</v>
      </c>
      <c r="M41" s="40">
        <f t="shared" si="31"/>
        <v>0.4068333043</v>
      </c>
      <c r="N41" s="40">
        <f t="shared" si="31"/>
        <v>0</v>
      </c>
      <c r="O41" s="40">
        <f t="shared" si="15"/>
        <v>0.3791625861</v>
      </c>
      <c r="Q41" s="395" t="s">
        <v>443</v>
      </c>
      <c r="R41" s="420">
        <v>0.9255437067614574</v>
      </c>
      <c r="S41" s="421">
        <v>0.19615487520544272</v>
      </c>
      <c r="T41" s="294">
        <v>0.0</v>
      </c>
      <c r="U41" s="305">
        <v>0.9999999999999999</v>
      </c>
      <c r="V41" s="422">
        <v>0.07272176485263188</v>
      </c>
      <c r="W41" s="412">
        <v>0.43888406936390634</v>
      </c>
      <c r="X41" s="423">
        <f t="shared" si="16"/>
        <v>0.4840713304</v>
      </c>
    </row>
    <row r="42">
      <c r="A42" s="424" t="s">
        <v>51</v>
      </c>
      <c r="B42" s="425">
        <v>10.918499999999998</v>
      </c>
      <c r="C42" s="276">
        <v>-11.556000000000001</v>
      </c>
      <c r="D42" s="416">
        <v>-9.255500000000001</v>
      </c>
      <c r="E42" s="426">
        <v>-19.555500000000002</v>
      </c>
      <c r="F42" s="427">
        <v>-1.8045000000000002</v>
      </c>
      <c r="G42" s="428">
        <f t="shared" si="13"/>
        <v>-6.2506</v>
      </c>
      <c r="I42" s="28" t="s">
        <v>51</v>
      </c>
      <c r="J42" s="40">
        <f t="shared" ref="J42:N42" si="32">B$52*B42+B$53</f>
        <v>0.2536406375</v>
      </c>
      <c r="K42" s="40">
        <f t="shared" si="32"/>
        <v>0</v>
      </c>
      <c r="L42" s="40">
        <f t="shared" si="32"/>
        <v>0.5132721553</v>
      </c>
      <c r="M42" s="40">
        <f t="shared" si="32"/>
        <v>0.4888728288</v>
      </c>
      <c r="N42" s="40">
        <f t="shared" si="32"/>
        <v>0.2229053067</v>
      </c>
      <c r="O42" s="40">
        <f t="shared" si="15"/>
        <v>0.2957381857</v>
      </c>
      <c r="Q42" s="316" t="s">
        <v>441</v>
      </c>
      <c r="R42" s="429">
        <v>0.3802698467301149</v>
      </c>
      <c r="S42" s="430">
        <v>0.5145434392080419</v>
      </c>
      <c r="T42" s="431">
        <v>0.594166340480436</v>
      </c>
      <c r="U42" s="432">
        <v>0.40683330425897735</v>
      </c>
      <c r="V42" s="294">
        <v>-5.551115123125783E-17</v>
      </c>
      <c r="W42" s="433">
        <v>0.379162586135514</v>
      </c>
      <c r="X42" s="434">
        <f t="shared" si="16"/>
        <v>0.2286294771</v>
      </c>
    </row>
    <row r="43">
      <c r="A43" s="435" t="s">
        <v>443</v>
      </c>
      <c r="B43" s="436">
        <v>19.708000000000006</v>
      </c>
      <c r="C43" s="437">
        <v>-8.990000000000002</v>
      </c>
      <c r="D43" s="276">
        <v>-26.958</v>
      </c>
      <c r="E43" s="274">
        <v>-9.3005</v>
      </c>
      <c r="F43" s="438">
        <v>-6.0184999999999995</v>
      </c>
      <c r="G43" s="439">
        <f t="shared" si="13"/>
        <v>-6.3118</v>
      </c>
      <c r="I43" s="28" t="s">
        <v>443</v>
      </c>
      <c r="J43" s="40">
        <f t="shared" ref="J43:N43" si="33">B$52*B43+B$53</f>
        <v>0.9255437068</v>
      </c>
      <c r="K43" s="40">
        <f t="shared" si="33"/>
        <v>0.1961548752</v>
      </c>
      <c r="L43" s="40">
        <f t="shared" si="33"/>
        <v>0</v>
      </c>
      <c r="M43" s="40">
        <f t="shared" si="33"/>
        <v>1</v>
      </c>
      <c r="N43" s="40">
        <f t="shared" si="33"/>
        <v>0.07272176485</v>
      </c>
      <c r="O43" s="40">
        <f t="shared" si="15"/>
        <v>0.4388840694</v>
      </c>
      <c r="Q43" s="395" t="s">
        <v>199</v>
      </c>
      <c r="R43" s="294">
        <v>1.1102230246251565E-16</v>
      </c>
      <c r="S43" s="440">
        <v>0.37228146619271507</v>
      </c>
      <c r="T43" s="441">
        <v>0.2882181533510198</v>
      </c>
      <c r="U43" s="442">
        <v>0.7191666458992697</v>
      </c>
      <c r="V43" s="443">
        <v>0.11693217862361441</v>
      </c>
      <c r="W43" s="444">
        <v>0.2993196888133238</v>
      </c>
      <c r="X43" s="445">
        <f t="shared" si="16"/>
        <v>0.2759418473</v>
      </c>
    </row>
    <row r="44">
      <c r="A44" s="424" t="s">
        <v>199</v>
      </c>
      <c r="B44" s="446">
        <v>7.6004999999999985</v>
      </c>
      <c r="C44" s="447">
        <v>-6.685999999999998</v>
      </c>
      <c r="D44" s="448">
        <v>-17.017500000000002</v>
      </c>
      <c r="E44" s="449">
        <v>-14.934999999999999</v>
      </c>
      <c r="F44" s="450">
        <v>-4.7780000000000005</v>
      </c>
      <c r="G44" s="451">
        <f t="shared" si="13"/>
        <v>-7.1632</v>
      </c>
      <c r="I44" s="28" t="s">
        <v>199</v>
      </c>
      <c r="J44" s="40">
        <f t="shared" ref="J44:N44" si="34">B$52*B44+B$53</f>
        <v>0</v>
      </c>
      <c r="K44" s="40">
        <f t="shared" si="34"/>
        <v>0.3722814662</v>
      </c>
      <c r="L44" s="40">
        <f t="shared" si="34"/>
        <v>0.2882181534</v>
      </c>
      <c r="M44" s="40">
        <f t="shared" si="34"/>
        <v>0.7191666459</v>
      </c>
      <c r="N44" s="40">
        <f t="shared" si="34"/>
        <v>0.1169321786</v>
      </c>
      <c r="O44" s="40">
        <f t="shared" si="15"/>
        <v>0.2993196888</v>
      </c>
      <c r="Q44" s="452" t="s">
        <v>51</v>
      </c>
      <c r="R44" s="453">
        <v>0.2536406375415663</v>
      </c>
      <c r="S44" s="454">
        <v>0.0</v>
      </c>
      <c r="T44" s="455">
        <v>0.5132721552936401</v>
      </c>
      <c r="U44" s="456">
        <v>0.48887282876865923</v>
      </c>
      <c r="V44" s="457">
        <v>0.22290530667521996</v>
      </c>
      <c r="W44" s="454">
        <v>0.2957381856558171</v>
      </c>
      <c r="X44" s="458">
        <f t="shared" si="16"/>
        <v>0.2116364362</v>
      </c>
    </row>
    <row r="45">
      <c r="A45" s="69"/>
      <c r="B45" s="69"/>
      <c r="C45" s="69"/>
    </row>
    <row r="46">
      <c r="A46" s="69"/>
      <c r="B46" s="69"/>
      <c r="C46" s="69"/>
    </row>
    <row r="47">
      <c r="A47" s="28" t="s">
        <v>451</v>
      </c>
      <c r="B47" s="109">
        <f>MIN(Table1[eng])</f>
        <v>7.6005</v>
      </c>
      <c r="C47" s="109">
        <f>MIN(Table1[fra])</f>
        <v>-11.556</v>
      </c>
      <c r="D47" s="109">
        <f>MIN(Table1[ger])</f>
        <v>-26.958</v>
      </c>
      <c r="E47" s="109">
        <f>MIN(Table1[ita])</f>
        <v>-29.364</v>
      </c>
      <c r="F47" s="40">
        <f>MIN(Table1[spa])</f>
        <v>-8.059</v>
      </c>
      <c r="Q47" s="28" t="s">
        <v>452</v>
      </c>
    </row>
    <row r="48">
      <c r="A48" s="28" t="s">
        <v>453</v>
      </c>
      <c r="B48" s="28">
        <v>0.0</v>
      </c>
      <c r="C48" s="28">
        <v>0.0</v>
      </c>
      <c r="D48" s="28">
        <v>0.0</v>
      </c>
      <c r="E48" s="28">
        <v>0.0</v>
      </c>
      <c r="F48" s="28">
        <v>0.0</v>
      </c>
    </row>
    <row r="49">
      <c r="A49" s="28" t="s">
        <v>454</v>
      </c>
      <c r="B49" s="109">
        <f>MAX(Table1[eng])</f>
        <v>20.682</v>
      </c>
      <c r="C49" s="109">
        <f>MAX(Table1[fra])</f>
        <v>1.5255</v>
      </c>
      <c r="D49" s="109">
        <f>MAX(Table1[ger])</f>
        <v>7.5315</v>
      </c>
      <c r="E49" s="109">
        <f>MAX(Table1[ita])</f>
        <v>-9.3005</v>
      </c>
      <c r="F49" s="40">
        <f>MAX(Table1[spa])</f>
        <v>20</v>
      </c>
    </row>
    <row r="50">
      <c r="A50" s="28" t="s">
        <v>455</v>
      </c>
      <c r="B50" s="28">
        <v>1.0</v>
      </c>
      <c r="C50" s="28">
        <v>1.0</v>
      </c>
      <c r="D50" s="28">
        <v>1.0</v>
      </c>
      <c r="E50" s="28">
        <v>1.0</v>
      </c>
      <c r="F50" s="28">
        <v>1.0</v>
      </c>
    </row>
    <row r="52">
      <c r="A52" s="28" t="s">
        <v>63</v>
      </c>
      <c r="B52" s="40">
        <f t="shared" ref="B52:F52" si="35">(B50-B48)/(B49-B47)</f>
        <v>0.07644383289</v>
      </c>
      <c r="C52" s="40">
        <f t="shared" si="35"/>
        <v>0.07644383289</v>
      </c>
      <c r="D52" s="40">
        <f t="shared" si="35"/>
        <v>0.02899433161</v>
      </c>
      <c r="E52" s="40">
        <f t="shared" si="35"/>
        <v>0.04984175244</v>
      </c>
      <c r="F52" s="40">
        <f t="shared" si="35"/>
        <v>0.03563918885</v>
      </c>
    </row>
    <row r="53">
      <c r="A53" s="28" t="s">
        <v>430</v>
      </c>
      <c r="B53" s="40">
        <f t="shared" ref="B53:F53" si="36">B50-B52*B49</f>
        <v>-0.5810113519</v>
      </c>
      <c r="C53" s="40">
        <f t="shared" si="36"/>
        <v>0.8833849329</v>
      </c>
      <c r="D53" s="40">
        <f t="shared" si="36"/>
        <v>0.7816291915</v>
      </c>
      <c r="E53" s="40">
        <f t="shared" si="36"/>
        <v>1.463553219</v>
      </c>
      <c r="F53" s="40">
        <f t="shared" si="36"/>
        <v>0.287216223</v>
      </c>
    </row>
  </sheetData>
  <conditionalFormatting sqref="B4:Q4">
    <cfRule type="colorScale" priority="1">
      <colorScale>
        <cfvo type="min"/>
        <cfvo type="max"/>
        <color rgb="FFFFFFFF"/>
        <color rgb="FFE67C73"/>
      </colorScale>
    </cfRule>
  </conditionalFormatting>
  <conditionalFormatting sqref="AG4:AH4">
    <cfRule type="colorScale" priority="2">
      <colorScale>
        <cfvo type="min"/>
        <cfvo type="max"/>
        <color rgb="FFFFFFFF"/>
        <color rgb="FFE67C73"/>
      </colorScale>
    </cfRule>
  </conditionalFormatting>
  <conditionalFormatting sqref="B3:Q3">
    <cfRule type="colorScale" priority="3">
      <colorScale>
        <cfvo type="min"/>
        <cfvo type="max"/>
        <color rgb="FFFFFFFF"/>
        <color rgb="FF57BB8A"/>
      </colorScale>
    </cfRule>
  </conditionalFormatting>
  <conditionalFormatting sqref="G29:G44">
    <cfRule type="colorScale" priority="4">
      <colorScale>
        <cfvo type="min"/>
        <cfvo type="max"/>
        <color rgb="FFFFFFFF"/>
        <color rgb="FF57BB8A"/>
      </colorScale>
    </cfRule>
  </conditionalFormatting>
  <conditionalFormatting sqref="S3:AH3">
    <cfRule type="colorScale" priority="5">
      <colorScale>
        <cfvo type="min"/>
        <cfvo type="max"/>
        <color rgb="FFFFFFFF"/>
        <color rgb="FF57BB8A"/>
      </colorScale>
    </cfRule>
  </conditionalFormatting>
  <conditionalFormatting sqref="AJ3:AY3">
    <cfRule type="colorScale" priority="6">
      <colorScale>
        <cfvo type="min"/>
        <cfvo type="max"/>
        <color rgb="FFFFFFFF"/>
        <color rgb="FF57BB8A"/>
      </colorScale>
    </cfRule>
  </conditionalFormatting>
  <conditionalFormatting sqref="BA3:BP3">
    <cfRule type="colorScale" priority="7">
      <colorScale>
        <cfvo type="min"/>
        <cfvo type="max"/>
        <color rgb="FFFFFFFF"/>
        <color rgb="FF57BB8A"/>
      </colorScale>
    </cfRule>
  </conditionalFormatting>
  <conditionalFormatting sqref="BR3:CI3">
    <cfRule type="colorScale" priority="8">
      <colorScale>
        <cfvo type="min"/>
        <cfvo type="max"/>
        <color rgb="FFFFFFFF"/>
        <color rgb="FF57BB8A"/>
      </colorScale>
    </cfRule>
  </conditionalFormatting>
  <conditionalFormatting sqref="B29:B44">
    <cfRule type="colorScale" priority="9">
      <colorScale>
        <cfvo type="min"/>
        <cfvo type="max"/>
        <color rgb="FFFFFFFF"/>
        <color rgb="FF57BB8A"/>
      </colorScale>
    </cfRule>
  </conditionalFormatting>
  <conditionalFormatting sqref="C29:C44">
    <cfRule type="colorScale" priority="10">
      <colorScale>
        <cfvo type="min"/>
        <cfvo type="max"/>
        <color rgb="FFFFFFFF"/>
        <color rgb="FF57BB8A"/>
      </colorScale>
    </cfRule>
  </conditionalFormatting>
  <conditionalFormatting sqref="D29:D44">
    <cfRule type="colorScale" priority="11">
      <colorScale>
        <cfvo type="min"/>
        <cfvo type="max"/>
        <color rgb="FFFFFFFF"/>
        <color rgb="FF57BB8A"/>
      </colorScale>
    </cfRule>
  </conditionalFormatting>
  <conditionalFormatting sqref="E29:E44">
    <cfRule type="colorScale" priority="12">
      <colorScale>
        <cfvo type="min"/>
        <cfvo type="max"/>
        <color rgb="FFFFFFFF"/>
        <color rgb="FF57BB8A"/>
      </colorScale>
    </cfRule>
  </conditionalFormatting>
  <conditionalFormatting sqref="F29:F44">
    <cfRule type="colorScale" priority="13">
      <colorScale>
        <cfvo type="min"/>
        <cfvo type="max"/>
        <color rgb="FFFFFFFF"/>
        <color rgb="FF57BB8A"/>
      </colorScale>
    </cfRule>
  </conditionalFormatting>
  <conditionalFormatting sqref="W29:W44">
    <cfRule type="colorScale" priority="14">
      <colorScale>
        <cfvo type="min"/>
        <cfvo type="max"/>
        <color rgb="FFFFFFFF"/>
        <color rgb="FF57BB8A"/>
      </colorScale>
    </cfRule>
  </conditionalFormatting>
  <conditionalFormatting sqref="R29:V44">
    <cfRule type="colorScale" priority="15">
      <colorScale>
        <cfvo type="min"/>
        <cfvo type="max"/>
        <color rgb="FFFFFFFF"/>
        <color rgb="FF57BB8A"/>
      </colorScale>
    </cfRule>
  </conditionalFormatting>
  <conditionalFormatting sqref="X29:X44">
    <cfRule type="colorScale" priority="16">
      <colorScale>
        <cfvo type="min"/>
        <cfvo type="max"/>
        <color rgb="FFFFFFFF"/>
        <color rgb="FFE67C73"/>
      </colorScale>
    </cfRule>
  </conditionalFormatting>
  <conditionalFormatting sqref="AJ4:AY4">
    <cfRule type="colorScale" priority="17">
      <colorScale>
        <cfvo type="min"/>
        <cfvo type="max"/>
        <color rgb="FFFFFFFF"/>
        <color rgb="FFE67C73"/>
      </colorScale>
    </cfRule>
  </conditionalFormatting>
  <conditionalFormatting sqref="BA4:BP4">
    <cfRule type="colorScale" priority="18">
      <colorScale>
        <cfvo type="min"/>
        <cfvo type="max"/>
        <color rgb="FFFFFFFF"/>
        <color rgb="FFE67C73"/>
      </colorScale>
    </cfRule>
  </conditionalFormatting>
  <conditionalFormatting sqref="BR4:CG4">
    <cfRule type="colorScale" priority="19">
      <colorScale>
        <cfvo type="min"/>
        <cfvo type="max"/>
        <color rgb="FFFFFFFF"/>
        <color rgb="FFE67C73"/>
      </colorScale>
    </cfRule>
  </conditionalFormatting>
  <dataValidations>
    <dataValidation type="custom" allowBlank="1" showDropDown="1" sqref="B29:B44 G29:G44 R29:X44">
      <formula1>AND(ISNUMBER(B29),(NOT(OR(NOT(ISERROR(DATEVALUE(B29))), AND(ISNUMBER(B29), LEFT(CELL("format", B29))="D")))))</formula1>
    </dataValidation>
  </dataValidation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25"/>
    <col customWidth="1" min="7" max="7" width="12.88"/>
    <col customWidth="1" min="17" max="17" width="16.13"/>
    <col customWidth="1" min="18" max="21" width="13.0"/>
    <col customWidth="1" min="22" max="22" width="13.88"/>
    <col customWidth="1" min="23" max="23" width="13.0"/>
  </cols>
  <sheetData>
    <row r="1">
      <c r="A1" s="196"/>
      <c r="B1" s="106" t="s">
        <v>58</v>
      </c>
      <c r="C1" s="197"/>
      <c r="D1" s="197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 t="s">
        <v>57</v>
      </c>
      <c r="T1" s="197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H1" s="197"/>
      <c r="AJ1" s="106" t="s">
        <v>48</v>
      </c>
      <c r="AK1" s="197"/>
      <c r="AN1" s="197"/>
      <c r="AO1" s="202"/>
      <c r="AP1" s="202"/>
      <c r="AQ1" s="202"/>
      <c r="AR1" s="202"/>
      <c r="AS1" s="202"/>
      <c r="AT1" s="202"/>
      <c r="AU1" s="202"/>
      <c r="AX1" s="202"/>
      <c r="AY1" s="202"/>
      <c r="AZ1" s="202"/>
      <c r="BA1" s="106" t="s">
        <v>49</v>
      </c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106" t="s">
        <v>45</v>
      </c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</row>
    <row r="2">
      <c r="A2" s="173"/>
      <c r="B2" s="105" t="s">
        <v>199</v>
      </c>
      <c r="C2" s="105" t="s">
        <v>51</v>
      </c>
      <c r="D2" s="264" t="s">
        <v>432</v>
      </c>
      <c r="E2" s="105" t="s">
        <v>52</v>
      </c>
      <c r="F2" s="105" t="s">
        <v>436</v>
      </c>
      <c r="G2" s="105" t="s">
        <v>437</v>
      </c>
      <c r="H2" s="105" t="s">
        <v>438</v>
      </c>
      <c r="I2" s="264" t="s">
        <v>386</v>
      </c>
      <c r="J2" s="264" t="s">
        <v>387</v>
      </c>
      <c r="K2" s="105" t="s">
        <v>439</v>
      </c>
      <c r="L2" s="264" t="s">
        <v>440</v>
      </c>
      <c r="M2" s="105" t="s">
        <v>441</v>
      </c>
      <c r="N2" s="105" t="s">
        <v>442</v>
      </c>
      <c r="O2" s="264" t="s">
        <v>443</v>
      </c>
      <c r="P2" s="105" t="s">
        <v>444</v>
      </c>
      <c r="Q2" s="264" t="s">
        <v>445</v>
      </c>
      <c r="R2" s="204"/>
      <c r="S2" s="105" t="s">
        <v>199</v>
      </c>
      <c r="T2" s="105" t="s">
        <v>51</v>
      </c>
      <c r="U2" s="105" t="s">
        <v>432</v>
      </c>
      <c r="V2" s="105" t="s">
        <v>52</v>
      </c>
      <c r="W2" s="264" t="s">
        <v>436</v>
      </c>
      <c r="X2" s="105" t="s">
        <v>437</v>
      </c>
      <c r="Y2" s="105" t="s">
        <v>438</v>
      </c>
      <c r="Z2" s="105" t="s">
        <v>386</v>
      </c>
      <c r="AA2" s="105" t="s">
        <v>387</v>
      </c>
      <c r="AB2" s="105" t="s">
        <v>439</v>
      </c>
      <c r="AC2" s="105" t="s">
        <v>440</v>
      </c>
      <c r="AD2" s="105" t="s">
        <v>441</v>
      </c>
      <c r="AE2" s="264" t="s">
        <v>442</v>
      </c>
      <c r="AF2" s="105" t="s">
        <v>443</v>
      </c>
      <c r="AG2" s="264" t="s">
        <v>444</v>
      </c>
      <c r="AH2" s="105" t="s">
        <v>445</v>
      </c>
      <c r="AI2" s="87"/>
      <c r="AJ2" s="105" t="s">
        <v>199</v>
      </c>
      <c r="AK2" s="105" t="s">
        <v>51</v>
      </c>
      <c r="AL2" s="105" t="s">
        <v>432</v>
      </c>
      <c r="AM2" s="105" t="s">
        <v>52</v>
      </c>
      <c r="AN2" s="105" t="s">
        <v>436</v>
      </c>
      <c r="AO2" s="105" t="s">
        <v>437</v>
      </c>
      <c r="AP2" s="264" t="s">
        <v>438</v>
      </c>
      <c r="AQ2" s="105" t="s">
        <v>386</v>
      </c>
      <c r="AR2" s="264" t="s">
        <v>387</v>
      </c>
      <c r="AS2" s="105" t="s">
        <v>439</v>
      </c>
      <c r="AT2" s="105" t="s">
        <v>440</v>
      </c>
      <c r="AU2" s="105" t="s">
        <v>441</v>
      </c>
      <c r="AV2" s="105" t="s">
        <v>442</v>
      </c>
      <c r="AW2" s="105" t="s">
        <v>443</v>
      </c>
      <c r="AX2" s="264" t="s">
        <v>444</v>
      </c>
      <c r="AY2" s="105" t="s">
        <v>445</v>
      </c>
      <c r="AZ2" s="105"/>
      <c r="BA2" s="264" t="s">
        <v>199</v>
      </c>
      <c r="BB2" s="105" t="s">
        <v>51</v>
      </c>
      <c r="BC2" s="105" t="s">
        <v>432</v>
      </c>
      <c r="BD2" s="105" t="s">
        <v>52</v>
      </c>
      <c r="BE2" s="105" t="s">
        <v>436</v>
      </c>
      <c r="BF2" s="264" t="s">
        <v>437</v>
      </c>
      <c r="BG2" s="264" t="s">
        <v>438</v>
      </c>
      <c r="BH2" s="105" t="s">
        <v>386</v>
      </c>
      <c r="BI2" s="105" t="s">
        <v>387</v>
      </c>
      <c r="BJ2" s="264" t="s">
        <v>439</v>
      </c>
      <c r="BK2" s="264" t="s">
        <v>440</v>
      </c>
      <c r="BL2" s="105" t="s">
        <v>441</v>
      </c>
      <c r="BM2" s="105" t="s">
        <v>442</v>
      </c>
      <c r="BN2" s="264" t="s">
        <v>443</v>
      </c>
      <c r="BO2" s="105" t="s">
        <v>444</v>
      </c>
      <c r="BP2" s="105" t="s">
        <v>445</v>
      </c>
      <c r="BQ2" s="105"/>
      <c r="BR2" s="105" t="s">
        <v>199</v>
      </c>
      <c r="BS2" s="105" t="s">
        <v>51</v>
      </c>
      <c r="BT2" s="105" t="s">
        <v>432</v>
      </c>
      <c r="BU2" s="105" t="s">
        <v>52</v>
      </c>
      <c r="BV2" s="105" t="s">
        <v>436</v>
      </c>
      <c r="BW2" s="105" t="s">
        <v>437</v>
      </c>
      <c r="BX2" s="105" t="s">
        <v>438</v>
      </c>
      <c r="BY2" s="264" t="s">
        <v>386</v>
      </c>
      <c r="BZ2" s="264" t="s">
        <v>387</v>
      </c>
      <c r="CA2" s="105" t="s">
        <v>439</v>
      </c>
      <c r="CB2" s="105" t="s">
        <v>440</v>
      </c>
      <c r="CC2" s="105" t="s">
        <v>441</v>
      </c>
      <c r="CD2" s="105" t="s">
        <v>442</v>
      </c>
      <c r="CE2" s="105" t="s">
        <v>443</v>
      </c>
      <c r="CF2" s="105" t="s">
        <v>444</v>
      </c>
      <c r="CG2" s="105" t="s">
        <v>445</v>
      </c>
      <c r="CH2" s="105"/>
      <c r="CI2" s="105"/>
    </row>
    <row r="3">
      <c r="A3" s="227" t="s">
        <v>456</v>
      </c>
      <c r="B3" s="228">
        <f t="shared" ref="B3:Q3" si="1">AVERAGE(B5:B24)</f>
        <v>43.3825</v>
      </c>
      <c r="C3" s="228">
        <f t="shared" si="1"/>
        <v>45.8475</v>
      </c>
      <c r="D3" s="228">
        <f t="shared" si="1"/>
        <v>46.6455</v>
      </c>
      <c r="E3" s="228">
        <f t="shared" si="1"/>
        <v>44.675</v>
      </c>
      <c r="F3" s="228">
        <f t="shared" si="1"/>
        <v>44.7335</v>
      </c>
      <c r="G3" s="228">
        <f t="shared" si="1"/>
        <v>45.0135</v>
      </c>
      <c r="H3" s="228">
        <f t="shared" si="1"/>
        <v>46.7155</v>
      </c>
      <c r="I3" s="228">
        <f t="shared" si="1"/>
        <v>49.5395</v>
      </c>
      <c r="J3" s="228">
        <f t="shared" si="1"/>
        <v>46.989</v>
      </c>
      <c r="K3" s="228">
        <f t="shared" si="1"/>
        <v>47.93</v>
      </c>
      <c r="L3" s="228">
        <f t="shared" si="1"/>
        <v>48.8755</v>
      </c>
      <c r="M3" s="228">
        <f t="shared" si="1"/>
        <v>44.628</v>
      </c>
      <c r="N3" s="228">
        <f t="shared" si="1"/>
        <v>45.142</v>
      </c>
      <c r="O3" s="228">
        <f t="shared" si="1"/>
        <v>49.9815</v>
      </c>
      <c r="P3" s="228">
        <f t="shared" si="1"/>
        <v>44.039</v>
      </c>
      <c r="Q3" s="228">
        <f t="shared" si="1"/>
        <v>47.897</v>
      </c>
      <c r="R3" s="228"/>
      <c r="S3" s="228">
        <f t="shared" ref="S3:AH3" si="2">AVERAGE(S5:S24)</f>
        <v>37.665</v>
      </c>
      <c r="T3" s="228">
        <f t="shared" si="2"/>
        <v>36.732</v>
      </c>
      <c r="U3" s="228">
        <f t="shared" si="2"/>
        <v>37.9485</v>
      </c>
      <c r="V3" s="228">
        <f t="shared" si="2"/>
        <v>37.477</v>
      </c>
      <c r="W3" s="228">
        <f t="shared" si="2"/>
        <v>38.437</v>
      </c>
      <c r="X3" s="228">
        <f t="shared" si="2"/>
        <v>38.2215</v>
      </c>
      <c r="Y3" s="228">
        <f t="shared" si="2"/>
        <v>38.2205</v>
      </c>
      <c r="Z3" s="228">
        <f t="shared" si="2"/>
        <v>37.6485</v>
      </c>
      <c r="AA3" s="228">
        <f t="shared" si="2"/>
        <v>37.2155</v>
      </c>
      <c r="AB3" s="228">
        <f t="shared" si="2"/>
        <v>37.914</v>
      </c>
      <c r="AC3" s="228">
        <f t="shared" si="2"/>
        <v>38.443</v>
      </c>
      <c r="AD3" s="228">
        <f t="shared" si="2"/>
        <v>37.9065</v>
      </c>
      <c r="AE3" s="228">
        <f t="shared" si="2"/>
        <v>39.5915</v>
      </c>
      <c r="AF3" s="228">
        <f t="shared" si="2"/>
        <v>38.8065</v>
      </c>
      <c r="AG3" s="228">
        <f t="shared" si="2"/>
        <v>38.6575</v>
      </c>
      <c r="AH3" s="228">
        <f t="shared" si="2"/>
        <v>38.054</v>
      </c>
      <c r="AJ3" s="228">
        <f t="shared" ref="AJ3:AY3" si="3">AVERAGE(AJ5:AJ24)</f>
        <v>36.4675</v>
      </c>
      <c r="AK3" s="228">
        <f t="shared" si="3"/>
        <v>40.2245</v>
      </c>
      <c r="AL3" s="228">
        <f t="shared" si="3"/>
        <v>41.493</v>
      </c>
      <c r="AM3" s="228">
        <f t="shared" si="3"/>
        <v>41.615</v>
      </c>
      <c r="AN3" s="228">
        <f t="shared" si="3"/>
        <v>41.733</v>
      </c>
      <c r="AO3" s="228">
        <f t="shared" si="3"/>
        <v>41.758</v>
      </c>
      <c r="AP3" s="228">
        <f t="shared" si="3"/>
        <v>44.9875</v>
      </c>
      <c r="AQ3" s="228">
        <f t="shared" si="3"/>
        <v>35.6675</v>
      </c>
      <c r="AR3" s="228">
        <f t="shared" si="3"/>
        <v>43.6815</v>
      </c>
      <c r="AS3" s="228">
        <f t="shared" si="3"/>
        <v>40.967</v>
      </c>
      <c r="AT3" s="228">
        <f t="shared" si="3"/>
        <v>35.503</v>
      </c>
      <c r="AU3" s="228">
        <f t="shared" si="3"/>
        <v>38.6825</v>
      </c>
      <c r="AV3" s="228">
        <f t="shared" si="3"/>
        <v>40.4025</v>
      </c>
      <c r="AW3" s="228">
        <f t="shared" si="3"/>
        <v>32.3265</v>
      </c>
      <c r="AX3" s="228">
        <f t="shared" si="3"/>
        <v>43.3255</v>
      </c>
      <c r="AY3" s="228">
        <f t="shared" si="3"/>
        <v>42.79</v>
      </c>
      <c r="AZ3" s="228"/>
      <c r="BA3" s="228">
        <f t="shared" ref="BA3:BP3" si="4">AVERAGE(BA5:BA24)</f>
        <v>41.4005</v>
      </c>
      <c r="BB3" s="228">
        <f t="shared" si="4"/>
        <v>39.1235</v>
      </c>
      <c r="BC3" s="228">
        <f t="shared" si="4"/>
        <v>39.624</v>
      </c>
      <c r="BD3" s="228">
        <f t="shared" si="4"/>
        <v>39.631</v>
      </c>
      <c r="BE3" s="228">
        <f t="shared" si="4"/>
        <v>40.391</v>
      </c>
      <c r="BF3" s="228">
        <f t="shared" si="4"/>
        <v>42.9255</v>
      </c>
      <c r="BG3" s="228">
        <f t="shared" si="4"/>
        <v>41.785</v>
      </c>
      <c r="BH3" s="228">
        <f t="shared" si="4"/>
        <v>39.5765</v>
      </c>
      <c r="BI3" s="228">
        <f t="shared" si="4"/>
        <v>39.117</v>
      </c>
      <c r="BJ3" s="228">
        <f t="shared" si="4"/>
        <v>41.7855</v>
      </c>
      <c r="BK3" s="228">
        <f t="shared" si="4"/>
        <v>39.932</v>
      </c>
      <c r="BL3" s="228">
        <f t="shared" si="4"/>
        <v>39.3955</v>
      </c>
      <c r="BM3" s="228">
        <f t="shared" si="4"/>
        <v>35.66</v>
      </c>
      <c r="BN3" s="228">
        <f t="shared" si="4"/>
        <v>41.7035</v>
      </c>
      <c r="BO3" s="228">
        <f t="shared" si="4"/>
        <v>32.4215</v>
      </c>
      <c r="BP3" s="228">
        <f t="shared" si="4"/>
        <v>38.253</v>
      </c>
      <c r="BQ3" s="228"/>
      <c r="BR3" s="228">
        <f t="shared" ref="BR3:CG3" si="5">AVERAGE(BR5:BR24)</f>
        <v>42.417</v>
      </c>
      <c r="BS3" s="228">
        <f t="shared" si="5"/>
        <v>42.9755</v>
      </c>
      <c r="BT3" s="228">
        <f t="shared" si="5"/>
        <v>42.928</v>
      </c>
      <c r="BU3" s="228">
        <f t="shared" si="5"/>
        <v>42.8075</v>
      </c>
      <c r="BV3" s="228">
        <f t="shared" si="5"/>
        <v>42.173</v>
      </c>
      <c r="BW3" s="228">
        <f t="shared" si="5"/>
        <v>44.4</v>
      </c>
      <c r="BX3" s="228">
        <f t="shared" si="5"/>
        <v>43.9905</v>
      </c>
      <c r="BY3" s="228">
        <f t="shared" si="5"/>
        <v>43.114</v>
      </c>
      <c r="BZ3" s="228">
        <f t="shared" si="5"/>
        <v>43.4975</v>
      </c>
      <c r="CA3" s="228">
        <f t="shared" si="5"/>
        <v>44.456</v>
      </c>
      <c r="CB3" s="228">
        <f t="shared" si="5"/>
        <v>42.3295</v>
      </c>
      <c r="CC3" s="228">
        <f t="shared" si="5"/>
        <v>40.398</v>
      </c>
      <c r="CD3" s="228">
        <f t="shared" si="5"/>
        <v>41.48</v>
      </c>
      <c r="CE3" s="228">
        <f t="shared" si="5"/>
        <v>43.546</v>
      </c>
      <c r="CF3" s="228">
        <f t="shared" si="5"/>
        <v>45.374</v>
      </c>
      <c r="CG3" s="228">
        <f t="shared" si="5"/>
        <v>44.6675</v>
      </c>
      <c r="CH3" s="228"/>
      <c r="CI3" s="228"/>
    </row>
    <row r="4">
      <c r="A4" s="227" t="s">
        <v>457</v>
      </c>
      <c r="B4" s="228">
        <f t="shared" ref="B4:Q4" si="6">STDEV(B5:B24)</f>
        <v>2.968015241</v>
      </c>
      <c r="C4" s="228">
        <f t="shared" si="6"/>
        <v>5.726364581</v>
      </c>
      <c r="D4" s="228">
        <f t="shared" si="6"/>
        <v>5.924186353</v>
      </c>
      <c r="E4" s="228">
        <f t="shared" si="6"/>
        <v>2.72939843</v>
      </c>
      <c r="F4" s="228">
        <f t="shared" si="6"/>
        <v>4.714963052</v>
      </c>
      <c r="G4" s="228">
        <f t="shared" si="6"/>
        <v>4.048031718</v>
      </c>
      <c r="H4" s="228">
        <f t="shared" si="6"/>
        <v>5.707104045</v>
      </c>
      <c r="I4" s="228">
        <f t="shared" si="6"/>
        <v>6.625286866</v>
      </c>
      <c r="J4" s="228">
        <f t="shared" si="6"/>
        <v>4.517973346</v>
      </c>
      <c r="K4" s="228">
        <f t="shared" si="6"/>
        <v>6.615624249</v>
      </c>
      <c r="L4" s="228">
        <f t="shared" si="6"/>
        <v>5.636170289</v>
      </c>
      <c r="M4" s="228">
        <f t="shared" si="6"/>
        <v>4.04906305</v>
      </c>
      <c r="N4" s="228">
        <f t="shared" si="6"/>
        <v>4.33302204</v>
      </c>
      <c r="O4" s="228">
        <f t="shared" si="6"/>
        <v>5.978670223</v>
      </c>
      <c r="P4" s="228">
        <f t="shared" si="6"/>
        <v>4.226429251</v>
      </c>
      <c r="Q4" s="228">
        <f t="shared" si="6"/>
        <v>7.051294842</v>
      </c>
      <c r="R4" s="228"/>
      <c r="S4" s="228">
        <f t="shared" ref="S4:AH4" si="7">STDEV(S5:S24)</f>
        <v>5.594145906</v>
      </c>
      <c r="T4" s="228">
        <f t="shared" si="7"/>
        <v>5.126386436</v>
      </c>
      <c r="U4" s="228">
        <f t="shared" si="7"/>
        <v>4.424363499</v>
      </c>
      <c r="V4" s="228">
        <f t="shared" si="7"/>
        <v>3.039040881</v>
      </c>
      <c r="W4" s="228">
        <f t="shared" si="7"/>
        <v>2.251519019</v>
      </c>
      <c r="X4" s="228">
        <f t="shared" si="7"/>
        <v>2.604595685</v>
      </c>
      <c r="Y4" s="228">
        <f t="shared" si="7"/>
        <v>4.37867016</v>
      </c>
      <c r="Z4" s="228">
        <f t="shared" si="7"/>
        <v>5.733953605</v>
      </c>
      <c r="AA4" s="228">
        <f t="shared" si="7"/>
        <v>4.734908964</v>
      </c>
      <c r="AB4" s="228">
        <f t="shared" si="7"/>
        <v>4.563109974</v>
      </c>
      <c r="AC4" s="228">
        <f t="shared" si="7"/>
        <v>5.145361836</v>
      </c>
      <c r="AD4" s="228">
        <f t="shared" si="7"/>
        <v>6.154515907</v>
      </c>
      <c r="AE4" s="228">
        <f t="shared" si="7"/>
        <v>1.398214181</v>
      </c>
      <c r="AF4" s="228">
        <f t="shared" si="7"/>
        <v>6.776156553</v>
      </c>
      <c r="AG4" s="228">
        <f t="shared" si="7"/>
        <v>3.230450311</v>
      </c>
      <c r="AH4" s="228">
        <f t="shared" si="7"/>
        <v>4.601674066</v>
      </c>
      <c r="AJ4" s="228">
        <f t="shared" ref="AJ4:AY4" si="8">STDEV(AJ5:AJ24)</f>
        <v>6.93567655</v>
      </c>
      <c r="AK4" s="228">
        <f t="shared" si="8"/>
        <v>5.01167844</v>
      </c>
      <c r="AL4" s="228">
        <f t="shared" si="8"/>
        <v>6.341604562</v>
      </c>
      <c r="AM4" s="228">
        <f t="shared" si="8"/>
        <v>6.173934598</v>
      </c>
      <c r="AN4" s="228">
        <f t="shared" si="8"/>
        <v>6.506409876</v>
      </c>
      <c r="AO4" s="228">
        <f t="shared" si="8"/>
        <v>5.139006252</v>
      </c>
      <c r="AP4" s="228">
        <f t="shared" si="8"/>
        <v>6.488031795</v>
      </c>
      <c r="AQ4" s="228">
        <f t="shared" si="8"/>
        <v>6.906270892</v>
      </c>
      <c r="AR4" s="228">
        <f t="shared" si="8"/>
        <v>7.142872248</v>
      </c>
      <c r="AS4" s="228">
        <f t="shared" si="8"/>
        <v>7.716063286</v>
      </c>
      <c r="AT4" s="228">
        <f t="shared" si="8"/>
        <v>7.926632058</v>
      </c>
      <c r="AU4" s="228">
        <f t="shared" si="8"/>
        <v>7.107730317</v>
      </c>
      <c r="AV4" s="228">
        <f t="shared" si="8"/>
        <v>5.497049807</v>
      </c>
      <c r="AW4" s="228">
        <f t="shared" si="8"/>
        <v>6.858171672</v>
      </c>
      <c r="AX4" s="228">
        <f t="shared" si="8"/>
        <v>7.761632679</v>
      </c>
      <c r="AY4" s="228">
        <f t="shared" si="8"/>
        <v>7.428149164</v>
      </c>
      <c r="AZ4" s="228"/>
      <c r="BA4" s="228">
        <f t="shared" ref="BA4:BP4" si="9">STDEV(BA5:BA24)</f>
        <v>5.71962317</v>
      </c>
      <c r="BB4" s="228">
        <f t="shared" si="9"/>
        <v>4.822592964</v>
      </c>
      <c r="BC4" s="228">
        <f t="shared" si="9"/>
        <v>4.59562538</v>
      </c>
      <c r="BD4" s="228">
        <f t="shared" si="9"/>
        <v>5.036136677</v>
      </c>
      <c r="BE4" s="228">
        <f t="shared" si="9"/>
        <v>6.067325692</v>
      </c>
      <c r="BF4" s="228">
        <f t="shared" si="9"/>
        <v>2.964087638</v>
      </c>
      <c r="BG4" s="228">
        <f t="shared" si="9"/>
        <v>3.973356661</v>
      </c>
      <c r="BH4" s="228">
        <f t="shared" si="9"/>
        <v>5.037061879</v>
      </c>
      <c r="BI4" s="228">
        <f t="shared" si="9"/>
        <v>4.478440871</v>
      </c>
      <c r="BJ4" s="228">
        <f t="shared" si="9"/>
        <v>5.445309401</v>
      </c>
      <c r="BK4" s="228">
        <f t="shared" si="9"/>
        <v>6.571584444</v>
      </c>
      <c r="BL4" s="228">
        <f t="shared" si="9"/>
        <v>4.631061575</v>
      </c>
      <c r="BM4" s="228">
        <f t="shared" si="9"/>
        <v>5.452722159</v>
      </c>
      <c r="BN4" s="228">
        <f t="shared" si="9"/>
        <v>6.014023327</v>
      </c>
      <c r="BO4" s="228">
        <f t="shared" si="9"/>
        <v>2.368291134</v>
      </c>
      <c r="BP4" s="228">
        <f t="shared" si="9"/>
        <v>4.732135492</v>
      </c>
      <c r="BQ4" s="228"/>
      <c r="BR4" s="228">
        <f t="shared" ref="BR4:CG4" si="10">STDEV(BR5:BR24)</f>
        <v>5.982043393</v>
      </c>
      <c r="BS4" s="228">
        <f t="shared" si="10"/>
        <v>5.527389671</v>
      </c>
      <c r="BT4" s="228">
        <f t="shared" si="10"/>
        <v>6.600068261</v>
      </c>
      <c r="BU4" s="228">
        <f t="shared" si="10"/>
        <v>5.617175611</v>
      </c>
      <c r="BV4" s="228">
        <f t="shared" si="10"/>
        <v>5.01065927</v>
      </c>
      <c r="BW4" s="228">
        <f t="shared" si="10"/>
        <v>5.471967798</v>
      </c>
      <c r="BX4" s="228">
        <f t="shared" si="10"/>
        <v>6.466176349</v>
      </c>
      <c r="BY4" s="228">
        <f t="shared" si="10"/>
        <v>5.847211121</v>
      </c>
      <c r="BZ4" s="228">
        <f t="shared" si="10"/>
        <v>4.646655702</v>
      </c>
      <c r="CA4" s="228">
        <f t="shared" si="10"/>
        <v>6.106457669</v>
      </c>
      <c r="CB4" s="228">
        <f t="shared" si="10"/>
        <v>5.075944791</v>
      </c>
      <c r="CC4" s="228">
        <f t="shared" si="10"/>
        <v>3.085312575</v>
      </c>
      <c r="CD4" s="228">
        <f t="shared" si="10"/>
        <v>2.271435901</v>
      </c>
      <c r="CE4" s="228">
        <f t="shared" si="10"/>
        <v>3.760392477</v>
      </c>
      <c r="CF4" s="228">
        <f t="shared" si="10"/>
        <v>5.14200391</v>
      </c>
      <c r="CG4" s="228">
        <f t="shared" si="10"/>
        <v>7.400918773</v>
      </c>
      <c r="CH4" s="228"/>
      <c r="CI4" s="228"/>
    </row>
    <row r="5">
      <c r="A5" s="13"/>
      <c r="B5" s="28">
        <v>43.83</v>
      </c>
      <c r="C5" s="28">
        <v>42.59</v>
      </c>
      <c r="D5" s="28">
        <v>43.73</v>
      </c>
      <c r="E5" s="28">
        <v>43.83</v>
      </c>
      <c r="F5" s="28">
        <v>54.02</v>
      </c>
      <c r="G5" s="28">
        <v>54.02</v>
      </c>
      <c r="H5" s="28">
        <v>49.28</v>
      </c>
      <c r="I5" s="28">
        <v>42.59</v>
      </c>
      <c r="J5" s="28">
        <v>43.83</v>
      </c>
      <c r="K5" s="28">
        <v>39.87</v>
      </c>
      <c r="L5" s="28">
        <v>42.59</v>
      </c>
      <c r="M5" s="28">
        <v>53.91</v>
      </c>
      <c r="N5" s="28">
        <v>43.73</v>
      </c>
      <c r="O5" s="28">
        <v>44.69</v>
      </c>
      <c r="P5" s="28">
        <v>40.79</v>
      </c>
      <c r="Q5" s="28">
        <v>42.24</v>
      </c>
      <c r="S5" s="28">
        <v>32.35</v>
      </c>
      <c r="T5" s="28">
        <v>32.35</v>
      </c>
      <c r="U5" s="28">
        <v>42.75</v>
      </c>
      <c r="V5" s="28">
        <v>31.52</v>
      </c>
      <c r="W5" s="28">
        <v>40.26</v>
      </c>
      <c r="X5" s="28">
        <v>38.99</v>
      </c>
      <c r="Y5" s="28">
        <v>41.27</v>
      </c>
      <c r="Z5" s="28">
        <v>56.43</v>
      </c>
      <c r="AA5" s="28">
        <v>32.35</v>
      </c>
      <c r="AB5" s="28">
        <v>46.03</v>
      </c>
      <c r="AC5" s="28">
        <v>56.43</v>
      </c>
      <c r="AD5" s="28">
        <v>56.43</v>
      </c>
      <c r="AE5" s="28">
        <v>42.24</v>
      </c>
      <c r="AF5" s="28">
        <v>34.21</v>
      </c>
      <c r="AG5" s="28">
        <v>38.1</v>
      </c>
      <c r="AH5" s="28">
        <v>42.75</v>
      </c>
      <c r="AJ5" s="28">
        <v>35.13</v>
      </c>
      <c r="AK5" s="28">
        <v>46.4</v>
      </c>
      <c r="AL5" s="20">
        <v>42.85</v>
      </c>
      <c r="AM5" s="20">
        <v>46.4</v>
      </c>
      <c r="AN5" s="28">
        <v>38.99</v>
      </c>
      <c r="AO5" s="13">
        <v>41.52</v>
      </c>
      <c r="AP5" s="13">
        <v>42.51</v>
      </c>
      <c r="AQ5" s="13">
        <v>35.13</v>
      </c>
      <c r="AR5" s="13">
        <v>47.52</v>
      </c>
      <c r="AS5" s="13">
        <v>46.4</v>
      </c>
      <c r="AT5" s="13">
        <v>34.13</v>
      </c>
      <c r="AU5" s="13">
        <v>37.61</v>
      </c>
      <c r="AV5" s="13">
        <v>51.62</v>
      </c>
      <c r="AW5" s="13">
        <v>20.44</v>
      </c>
      <c r="AX5" s="13">
        <v>51.06</v>
      </c>
      <c r="AY5" s="13">
        <v>42.85</v>
      </c>
      <c r="AZ5" s="13"/>
      <c r="BA5" s="13">
        <v>46.79</v>
      </c>
      <c r="BB5" s="13">
        <v>31.99</v>
      </c>
      <c r="BC5" s="13">
        <v>42.76</v>
      </c>
      <c r="BD5" s="13">
        <v>45.63</v>
      </c>
      <c r="BE5" s="13">
        <v>45.63</v>
      </c>
      <c r="BF5" s="13">
        <v>36.2</v>
      </c>
      <c r="BG5" s="13">
        <v>45.63</v>
      </c>
      <c r="BH5" s="13">
        <v>37.48</v>
      </c>
      <c r="BI5" s="13">
        <v>37.46</v>
      </c>
      <c r="BJ5" s="13">
        <v>45.63</v>
      </c>
      <c r="BK5" s="13">
        <v>40.12</v>
      </c>
      <c r="BL5" s="13">
        <v>37.46</v>
      </c>
      <c r="BM5" s="13">
        <v>32.7</v>
      </c>
      <c r="BN5" s="13">
        <v>40.15</v>
      </c>
      <c r="BO5" s="13">
        <v>30.0</v>
      </c>
      <c r="BP5" s="13">
        <v>42.76</v>
      </c>
      <c r="BQ5" s="13"/>
      <c r="BR5" s="13">
        <v>36.0</v>
      </c>
      <c r="BS5" s="13">
        <v>55.08</v>
      </c>
      <c r="BT5" s="13">
        <v>36.0</v>
      </c>
      <c r="BU5" s="13">
        <v>55.08</v>
      </c>
      <c r="BV5" s="13">
        <v>44.66</v>
      </c>
      <c r="BW5" s="13">
        <v>39.73</v>
      </c>
      <c r="BX5" s="13">
        <v>39.56</v>
      </c>
      <c r="BY5" s="13">
        <v>36.0</v>
      </c>
      <c r="BZ5" s="13">
        <v>39.56</v>
      </c>
      <c r="CA5" s="13">
        <v>49.21</v>
      </c>
      <c r="CB5" s="13">
        <v>36.0</v>
      </c>
      <c r="CC5" s="13">
        <v>40.66</v>
      </c>
      <c r="CD5" s="13">
        <v>44.39</v>
      </c>
      <c r="CE5" s="13">
        <v>48.57</v>
      </c>
      <c r="CF5" s="13">
        <v>49.78</v>
      </c>
      <c r="CG5" s="13">
        <v>36.0</v>
      </c>
      <c r="CH5" s="13"/>
      <c r="CI5" s="13"/>
    </row>
    <row r="6">
      <c r="A6" s="69"/>
      <c r="B6" s="28">
        <v>43.73</v>
      </c>
      <c r="C6" s="28">
        <v>43.83</v>
      </c>
      <c r="D6" s="28">
        <v>46.1</v>
      </c>
      <c r="E6" s="28">
        <v>43.73</v>
      </c>
      <c r="F6" s="28">
        <v>33.33</v>
      </c>
      <c r="G6" s="28">
        <v>44.87</v>
      </c>
      <c r="H6" s="28">
        <v>50.92</v>
      </c>
      <c r="I6" s="28">
        <v>54.72</v>
      </c>
      <c r="J6" s="28">
        <v>43.83</v>
      </c>
      <c r="K6" s="28">
        <v>55.95</v>
      </c>
      <c r="L6" s="28">
        <v>54.72</v>
      </c>
      <c r="M6" s="28">
        <v>43.83</v>
      </c>
      <c r="N6" s="28">
        <v>43.73</v>
      </c>
      <c r="O6" s="28">
        <v>51.6</v>
      </c>
      <c r="P6" s="28">
        <v>50.64</v>
      </c>
      <c r="Q6" s="28">
        <v>60.49</v>
      </c>
      <c r="S6" s="28">
        <v>56.43</v>
      </c>
      <c r="T6" s="28">
        <v>35.71</v>
      </c>
      <c r="U6" s="28">
        <v>36.06</v>
      </c>
      <c r="V6" s="28">
        <v>35.67</v>
      </c>
      <c r="W6" s="28">
        <v>40.83</v>
      </c>
      <c r="X6" s="28">
        <v>38.57</v>
      </c>
      <c r="Y6" s="28">
        <v>42.75</v>
      </c>
      <c r="Z6" s="28">
        <v>32.35</v>
      </c>
      <c r="AA6" s="28">
        <v>43.06</v>
      </c>
      <c r="AB6" s="28">
        <v>34.44</v>
      </c>
      <c r="AC6" s="28">
        <v>35.71</v>
      </c>
      <c r="AD6" s="28">
        <v>35.38</v>
      </c>
      <c r="AE6" s="28">
        <v>38.99</v>
      </c>
      <c r="AF6" s="28">
        <v>27.45</v>
      </c>
      <c r="AG6" s="28">
        <v>36.06</v>
      </c>
      <c r="AH6" s="28">
        <v>32.05</v>
      </c>
      <c r="AJ6" s="28">
        <v>36.59</v>
      </c>
      <c r="AK6" s="28">
        <v>36.59</v>
      </c>
      <c r="AL6" s="20">
        <v>42.55</v>
      </c>
      <c r="AM6" s="20">
        <v>48.29</v>
      </c>
      <c r="AN6" s="28">
        <v>37.18</v>
      </c>
      <c r="AO6" s="13">
        <v>37.63</v>
      </c>
      <c r="AP6" s="13">
        <v>46.4</v>
      </c>
      <c r="AQ6" s="13">
        <v>46.4</v>
      </c>
      <c r="AR6" s="13">
        <v>51.06</v>
      </c>
      <c r="AS6" s="13">
        <v>42.85</v>
      </c>
      <c r="AT6" s="13">
        <v>19.38</v>
      </c>
      <c r="AU6" s="13">
        <v>35.13</v>
      </c>
      <c r="AV6" s="13">
        <v>50.79</v>
      </c>
      <c r="AW6" s="13">
        <v>35.13</v>
      </c>
      <c r="AX6" s="13">
        <v>53.71</v>
      </c>
      <c r="AY6" s="13">
        <v>42.55</v>
      </c>
      <c r="AZ6" s="13"/>
      <c r="BA6" s="13">
        <v>31.99</v>
      </c>
      <c r="BB6" s="13">
        <v>46.79</v>
      </c>
      <c r="BC6" s="13">
        <v>40.46</v>
      </c>
      <c r="BD6" s="13">
        <v>37.79</v>
      </c>
      <c r="BE6" s="13">
        <v>45.59</v>
      </c>
      <c r="BF6" s="13">
        <v>42.76</v>
      </c>
      <c r="BG6" s="13">
        <v>39.91</v>
      </c>
      <c r="BH6" s="13">
        <v>31.99</v>
      </c>
      <c r="BI6" s="13">
        <v>39.54</v>
      </c>
      <c r="BJ6" s="13">
        <v>43.13</v>
      </c>
      <c r="BK6" s="13">
        <v>37.48</v>
      </c>
      <c r="BL6" s="13">
        <v>32.7</v>
      </c>
      <c r="BM6" s="13">
        <v>50.56</v>
      </c>
      <c r="BN6" s="13">
        <v>43.98</v>
      </c>
      <c r="BO6" s="13">
        <v>30.0</v>
      </c>
      <c r="BP6" s="13">
        <v>40.05</v>
      </c>
      <c r="BQ6" s="13"/>
      <c r="BR6" s="13">
        <v>41.77</v>
      </c>
      <c r="BS6" s="13">
        <v>41.77</v>
      </c>
      <c r="BT6" s="13">
        <v>37.46</v>
      </c>
      <c r="BU6" s="13">
        <v>41.77</v>
      </c>
      <c r="BV6" s="13">
        <v>37.68</v>
      </c>
      <c r="BW6" s="13">
        <v>42.81</v>
      </c>
      <c r="BX6" s="13">
        <v>49.21</v>
      </c>
      <c r="BY6" s="13">
        <v>49.94</v>
      </c>
      <c r="BZ6" s="13">
        <v>39.73</v>
      </c>
      <c r="CA6" s="13">
        <v>42.81</v>
      </c>
      <c r="CB6" s="13">
        <v>36.85</v>
      </c>
      <c r="CC6" s="13">
        <v>39.73</v>
      </c>
      <c r="CD6" s="13">
        <v>42.51</v>
      </c>
      <c r="CE6" s="13">
        <v>44.44</v>
      </c>
      <c r="CF6" s="13">
        <v>60.32</v>
      </c>
      <c r="CG6" s="13">
        <v>38.8</v>
      </c>
      <c r="CH6" s="13"/>
      <c r="CI6" s="13"/>
    </row>
    <row r="7">
      <c r="A7" s="69"/>
      <c r="B7" s="28">
        <v>41.2</v>
      </c>
      <c r="C7" s="28">
        <v>39.87</v>
      </c>
      <c r="D7" s="28">
        <v>53.09</v>
      </c>
      <c r="E7" s="28">
        <v>43.83</v>
      </c>
      <c r="F7" s="28">
        <v>43.83</v>
      </c>
      <c r="G7" s="28">
        <v>44.7</v>
      </c>
      <c r="H7" s="28">
        <v>53.09</v>
      </c>
      <c r="I7" s="28">
        <v>37.02</v>
      </c>
      <c r="J7" s="28">
        <v>42.31</v>
      </c>
      <c r="K7" s="28">
        <v>33.33</v>
      </c>
      <c r="L7" s="28">
        <v>44.71</v>
      </c>
      <c r="M7" s="28">
        <v>41.2</v>
      </c>
      <c r="N7" s="28">
        <v>43.73</v>
      </c>
      <c r="O7" s="28">
        <v>47.22</v>
      </c>
      <c r="P7" s="28">
        <v>43.83</v>
      </c>
      <c r="Q7" s="28">
        <v>62.01</v>
      </c>
      <c r="S7" s="28">
        <v>34.21</v>
      </c>
      <c r="T7" s="28">
        <v>31.52</v>
      </c>
      <c r="U7" s="28">
        <v>32.05</v>
      </c>
      <c r="V7" s="28">
        <v>35.67</v>
      </c>
      <c r="W7" s="28">
        <v>39.86</v>
      </c>
      <c r="X7" s="28">
        <v>38.99</v>
      </c>
      <c r="Y7" s="28">
        <v>28.43</v>
      </c>
      <c r="Z7" s="28">
        <v>35.71</v>
      </c>
      <c r="AA7" s="28">
        <v>33.33</v>
      </c>
      <c r="AB7" s="28">
        <v>34.21</v>
      </c>
      <c r="AC7" s="28">
        <v>32.35</v>
      </c>
      <c r="AD7" s="28">
        <v>32.35</v>
      </c>
      <c r="AE7" s="28">
        <v>40.26</v>
      </c>
      <c r="AF7" s="28">
        <v>30.2</v>
      </c>
      <c r="AG7" s="28">
        <v>48.05</v>
      </c>
      <c r="AH7" s="28">
        <v>31.81</v>
      </c>
      <c r="AJ7" s="28">
        <v>46.4</v>
      </c>
      <c r="AK7" s="28">
        <v>45.11</v>
      </c>
      <c r="AL7" s="20">
        <v>48.18</v>
      </c>
      <c r="AM7" s="20">
        <v>36.59</v>
      </c>
      <c r="AN7" s="28">
        <v>50.89</v>
      </c>
      <c r="AO7" s="13">
        <v>34.78</v>
      </c>
      <c r="AP7" s="13">
        <v>47.78</v>
      </c>
      <c r="AQ7" s="13">
        <v>34.13</v>
      </c>
      <c r="AR7" s="13">
        <v>48.29</v>
      </c>
      <c r="AS7" s="13">
        <v>32.91</v>
      </c>
      <c r="AT7" s="13">
        <v>35.13</v>
      </c>
      <c r="AU7" s="13">
        <v>36.59</v>
      </c>
      <c r="AV7" s="13">
        <v>39.73</v>
      </c>
      <c r="AW7" s="13">
        <v>21.51</v>
      </c>
      <c r="AX7" s="13">
        <v>28.4</v>
      </c>
      <c r="AY7" s="13">
        <v>41.93</v>
      </c>
      <c r="AZ7" s="13"/>
      <c r="BA7" s="13">
        <v>45.63</v>
      </c>
      <c r="BB7" s="13">
        <v>34.44</v>
      </c>
      <c r="BC7" s="13">
        <v>37.79</v>
      </c>
      <c r="BD7" s="13">
        <v>33.63</v>
      </c>
      <c r="BE7" s="13">
        <v>37.46</v>
      </c>
      <c r="BF7" s="13">
        <v>44.95</v>
      </c>
      <c r="BG7" s="13">
        <v>47.72</v>
      </c>
      <c r="BH7" s="13">
        <v>46.79</v>
      </c>
      <c r="BI7" s="13">
        <v>34.94</v>
      </c>
      <c r="BJ7" s="13">
        <v>47.72</v>
      </c>
      <c r="BK7" s="13">
        <v>46.79</v>
      </c>
      <c r="BL7" s="13">
        <v>45.39</v>
      </c>
      <c r="BM7" s="13">
        <v>31.48</v>
      </c>
      <c r="BN7" s="13">
        <v>49.52</v>
      </c>
      <c r="BO7" s="13">
        <v>30.0</v>
      </c>
      <c r="BP7" s="13">
        <v>40.46</v>
      </c>
      <c r="BQ7" s="13"/>
      <c r="BR7" s="13">
        <v>41.55</v>
      </c>
      <c r="BS7" s="13">
        <v>36.0</v>
      </c>
      <c r="BT7" s="13">
        <v>36.8</v>
      </c>
      <c r="BU7" s="13">
        <v>36.0</v>
      </c>
      <c r="BV7" s="13">
        <v>35.05</v>
      </c>
      <c r="BW7" s="13">
        <v>39.88</v>
      </c>
      <c r="BX7" s="13">
        <v>55.08</v>
      </c>
      <c r="BY7" s="13">
        <v>49.59</v>
      </c>
      <c r="BZ7" s="13">
        <v>42.51</v>
      </c>
      <c r="CA7" s="13">
        <v>43.41</v>
      </c>
      <c r="CB7" s="13">
        <v>32.99</v>
      </c>
      <c r="CC7" s="13">
        <v>37.0</v>
      </c>
      <c r="CD7" s="13">
        <v>35.34</v>
      </c>
      <c r="CE7" s="13">
        <v>46.02</v>
      </c>
      <c r="CF7" s="13">
        <v>47.45</v>
      </c>
      <c r="CG7" s="13">
        <v>46.02</v>
      </c>
      <c r="CH7" s="13"/>
      <c r="CI7" s="13"/>
    </row>
    <row r="8">
      <c r="A8" s="69"/>
      <c r="B8" s="28">
        <v>43.83</v>
      </c>
      <c r="C8" s="28">
        <v>42.31</v>
      </c>
      <c r="D8" s="28">
        <v>46.12</v>
      </c>
      <c r="E8" s="28">
        <v>43.83</v>
      </c>
      <c r="F8" s="28">
        <v>44.87</v>
      </c>
      <c r="G8" s="28">
        <v>47.42</v>
      </c>
      <c r="H8" s="28">
        <v>39.87</v>
      </c>
      <c r="I8" s="28">
        <v>46.94</v>
      </c>
      <c r="J8" s="28">
        <v>49.38</v>
      </c>
      <c r="K8" s="28">
        <v>49.28</v>
      </c>
      <c r="L8" s="28">
        <v>55.95</v>
      </c>
      <c r="M8" s="28">
        <v>43.83</v>
      </c>
      <c r="N8" s="28">
        <v>41.36</v>
      </c>
      <c r="O8" s="28">
        <v>46.94</v>
      </c>
      <c r="P8" s="28">
        <v>41.36</v>
      </c>
      <c r="Q8" s="28">
        <v>48.15</v>
      </c>
      <c r="S8" s="28">
        <v>39.77</v>
      </c>
      <c r="T8" s="28">
        <v>56.43</v>
      </c>
      <c r="U8" s="28">
        <v>48.72</v>
      </c>
      <c r="V8" s="28">
        <v>39.86</v>
      </c>
      <c r="W8" s="28">
        <v>41.67</v>
      </c>
      <c r="X8" s="28">
        <v>30.95</v>
      </c>
      <c r="Y8" s="28">
        <v>35.32</v>
      </c>
      <c r="Z8" s="28">
        <v>34.44</v>
      </c>
      <c r="AA8" s="28">
        <v>37.78</v>
      </c>
      <c r="AB8" s="28">
        <v>28.43</v>
      </c>
      <c r="AC8" s="28">
        <v>36.6</v>
      </c>
      <c r="AD8" s="28">
        <v>24.26</v>
      </c>
      <c r="AE8" s="28">
        <v>39.86</v>
      </c>
      <c r="AF8" s="28">
        <v>38.1</v>
      </c>
      <c r="AG8" s="28">
        <v>37.61</v>
      </c>
      <c r="AH8" s="28">
        <v>41.35</v>
      </c>
      <c r="AJ8" s="28">
        <v>31.04</v>
      </c>
      <c r="AK8" s="28">
        <v>35.13</v>
      </c>
      <c r="AL8" s="20">
        <v>31.82</v>
      </c>
      <c r="AM8" s="20">
        <v>45.11</v>
      </c>
      <c r="AN8" s="28">
        <v>35.83</v>
      </c>
      <c r="AO8" s="13">
        <v>36.84</v>
      </c>
      <c r="AP8" s="13">
        <v>47.84</v>
      </c>
      <c r="AQ8" s="13">
        <v>19.38</v>
      </c>
      <c r="AR8" s="13">
        <v>36.59</v>
      </c>
      <c r="AS8" s="13">
        <v>47.99</v>
      </c>
      <c r="AT8" s="13">
        <v>30.95</v>
      </c>
      <c r="AU8" s="13">
        <v>33.95</v>
      </c>
      <c r="AV8" s="13">
        <v>31.82</v>
      </c>
      <c r="AW8" s="13">
        <v>35.71</v>
      </c>
      <c r="AX8" s="13">
        <v>36.42</v>
      </c>
      <c r="AY8" s="13">
        <v>41.77</v>
      </c>
      <c r="AZ8" s="13"/>
      <c r="BA8" s="13">
        <v>43.13</v>
      </c>
      <c r="BB8" s="13">
        <v>43.13</v>
      </c>
      <c r="BC8" s="13">
        <v>39.81</v>
      </c>
      <c r="BD8" s="13">
        <v>46.79</v>
      </c>
      <c r="BE8" s="13">
        <v>43.8</v>
      </c>
      <c r="BF8" s="13">
        <v>45.59</v>
      </c>
      <c r="BG8" s="13">
        <v>45.59</v>
      </c>
      <c r="BH8" s="13">
        <v>40.12</v>
      </c>
      <c r="BI8" s="13">
        <v>40.46</v>
      </c>
      <c r="BJ8" s="13">
        <v>29.24</v>
      </c>
      <c r="BK8" s="13">
        <v>34.85</v>
      </c>
      <c r="BL8" s="13">
        <v>39.49</v>
      </c>
      <c r="BM8" s="13">
        <v>31.48</v>
      </c>
      <c r="BN8" s="13">
        <v>36.19</v>
      </c>
      <c r="BO8" s="13">
        <v>30.0</v>
      </c>
      <c r="BP8" s="13">
        <v>37.79</v>
      </c>
      <c r="BQ8" s="13"/>
      <c r="BR8" s="13">
        <v>39.73</v>
      </c>
      <c r="BS8" s="13">
        <v>49.59</v>
      </c>
      <c r="BT8" s="13">
        <v>46.02</v>
      </c>
      <c r="BU8" s="13">
        <v>33.89</v>
      </c>
      <c r="BV8" s="13">
        <v>43.37</v>
      </c>
      <c r="BW8" s="13">
        <v>46.36</v>
      </c>
      <c r="BX8" s="13">
        <v>38.96</v>
      </c>
      <c r="BY8" s="13">
        <v>40.48</v>
      </c>
      <c r="BZ8" s="13">
        <v>37.95</v>
      </c>
      <c r="CA8" s="13">
        <v>36.59</v>
      </c>
      <c r="CB8" s="13">
        <v>44.66</v>
      </c>
      <c r="CC8" s="13">
        <v>43.27</v>
      </c>
      <c r="CD8" s="13">
        <v>42.51</v>
      </c>
      <c r="CE8" s="13">
        <v>44.44</v>
      </c>
      <c r="CF8" s="13">
        <v>40.8</v>
      </c>
      <c r="CG8" s="13">
        <v>36.8</v>
      </c>
      <c r="CH8" s="13"/>
      <c r="CI8" s="13"/>
    </row>
    <row r="9">
      <c r="A9" s="69"/>
      <c r="B9" s="28">
        <v>43.83</v>
      </c>
      <c r="C9" s="28">
        <v>44.7</v>
      </c>
      <c r="D9" s="28">
        <v>60.49</v>
      </c>
      <c r="E9" s="28">
        <v>41.2</v>
      </c>
      <c r="F9" s="28">
        <v>43.83</v>
      </c>
      <c r="G9" s="28">
        <v>41.88</v>
      </c>
      <c r="H9" s="28">
        <v>41.01</v>
      </c>
      <c r="I9" s="28">
        <v>44.69</v>
      </c>
      <c r="J9" s="28">
        <v>53.09</v>
      </c>
      <c r="K9" s="28">
        <v>48.94</v>
      </c>
      <c r="L9" s="28">
        <v>53.09</v>
      </c>
      <c r="M9" s="28">
        <v>43.83</v>
      </c>
      <c r="N9" s="28">
        <v>50.57</v>
      </c>
      <c r="O9" s="28">
        <v>44.79</v>
      </c>
      <c r="P9" s="28">
        <v>41.51</v>
      </c>
      <c r="Q9" s="28">
        <v>53.21</v>
      </c>
      <c r="S9" s="28">
        <v>34.44</v>
      </c>
      <c r="T9" s="28">
        <v>34.21</v>
      </c>
      <c r="U9" s="28">
        <v>35.71</v>
      </c>
      <c r="V9" s="28">
        <v>36.6</v>
      </c>
      <c r="W9" s="28">
        <v>37.15</v>
      </c>
      <c r="X9" s="28">
        <v>38.99</v>
      </c>
      <c r="Y9" s="28">
        <v>40.0</v>
      </c>
      <c r="Z9" s="28">
        <v>34.21</v>
      </c>
      <c r="AA9" s="28">
        <v>35.57</v>
      </c>
      <c r="AB9" s="28">
        <v>42.75</v>
      </c>
      <c r="AC9" s="28">
        <v>34.44</v>
      </c>
      <c r="AD9" s="28">
        <v>33.33</v>
      </c>
      <c r="AE9" s="28">
        <v>38.99</v>
      </c>
      <c r="AF9" s="28">
        <v>34.21</v>
      </c>
      <c r="AG9" s="28">
        <v>40.26</v>
      </c>
      <c r="AH9" s="28">
        <v>41.27</v>
      </c>
      <c r="AJ9" s="28">
        <v>34.13</v>
      </c>
      <c r="AK9" s="28">
        <v>41.6</v>
      </c>
      <c r="AL9" s="20">
        <v>39.34</v>
      </c>
      <c r="AM9" s="20">
        <v>41.17</v>
      </c>
      <c r="AN9" s="28">
        <v>44.96</v>
      </c>
      <c r="AO9" s="13">
        <v>44.64</v>
      </c>
      <c r="AP9" s="13">
        <v>39.56</v>
      </c>
      <c r="AQ9" s="13">
        <v>51.21</v>
      </c>
      <c r="AR9" s="13">
        <v>36.42</v>
      </c>
      <c r="AS9" s="13">
        <v>38.88</v>
      </c>
      <c r="AT9" s="13">
        <v>51.21</v>
      </c>
      <c r="AU9" s="13">
        <v>44.59</v>
      </c>
      <c r="AV9" s="13">
        <v>36.0</v>
      </c>
      <c r="AW9" s="13">
        <v>34.13</v>
      </c>
      <c r="AX9" s="13">
        <v>48.41</v>
      </c>
      <c r="AY9" s="13">
        <v>39.34</v>
      </c>
      <c r="AZ9" s="69"/>
      <c r="BA9" s="13">
        <v>44.69</v>
      </c>
      <c r="BB9" s="13">
        <v>43.5</v>
      </c>
      <c r="BC9" s="13">
        <v>40.05</v>
      </c>
      <c r="BD9" s="13">
        <v>31.99</v>
      </c>
      <c r="BE9" s="13">
        <v>40.46</v>
      </c>
      <c r="BF9" s="13">
        <v>40.46</v>
      </c>
      <c r="BG9" s="13">
        <v>39.54</v>
      </c>
      <c r="BH9" s="13">
        <v>34.85</v>
      </c>
      <c r="BI9" s="13">
        <v>39.49</v>
      </c>
      <c r="BJ9" s="13">
        <v>48.96</v>
      </c>
      <c r="BK9" s="13">
        <v>31.99</v>
      </c>
      <c r="BL9" s="13">
        <v>39.54</v>
      </c>
      <c r="BM9" s="13">
        <v>34.35</v>
      </c>
      <c r="BN9" s="13">
        <v>51.85</v>
      </c>
      <c r="BO9" s="13">
        <v>30.0</v>
      </c>
      <c r="BP9" s="13">
        <v>38.89</v>
      </c>
      <c r="BQ9" s="69"/>
      <c r="BR9" s="13">
        <v>42.85</v>
      </c>
      <c r="BS9" s="13">
        <v>39.73</v>
      </c>
      <c r="BT9" s="13">
        <v>38.8</v>
      </c>
      <c r="BU9" s="13">
        <v>42.51</v>
      </c>
      <c r="BV9" s="13">
        <v>41.99</v>
      </c>
      <c r="BW9" s="13">
        <v>37.68</v>
      </c>
      <c r="BX9" s="13">
        <v>59.08</v>
      </c>
      <c r="BY9" s="13">
        <v>48.57</v>
      </c>
      <c r="BZ9" s="13">
        <v>45.02</v>
      </c>
      <c r="CA9" s="13">
        <v>36.8</v>
      </c>
      <c r="CB9" s="13">
        <v>37.68</v>
      </c>
      <c r="CC9" s="13">
        <v>42.85</v>
      </c>
      <c r="CD9" s="13">
        <v>42.51</v>
      </c>
      <c r="CE9" s="13">
        <v>40.61</v>
      </c>
      <c r="CF9" s="13">
        <v>42.51</v>
      </c>
      <c r="CG9" s="13">
        <v>39.88</v>
      </c>
      <c r="CH9" s="69"/>
      <c r="CI9" s="69"/>
    </row>
    <row r="10">
      <c r="A10" s="69"/>
      <c r="B10" s="28">
        <v>42.59</v>
      </c>
      <c r="C10" s="28">
        <v>54.72</v>
      </c>
      <c r="D10" s="28">
        <v>43.83</v>
      </c>
      <c r="E10" s="28">
        <v>43.73</v>
      </c>
      <c r="F10" s="28">
        <v>40.79</v>
      </c>
      <c r="G10" s="28">
        <v>43.83</v>
      </c>
      <c r="H10" s="28">
        <v>43.83</v>
      </c>
      <c r="I10" s="28">
        <v>56.35</v>
      </c>
      <c r="J10" s="28">
        <v>43.83</v>
      </c>
      <c r="K10" s="28">
        <v>48.21</v>
      </c>
      <c r="L10" s="28">
        <v>53.04</v>
      </c>
      <c r="M10" s="28">
        <v>43.83</v>
      </c>
      <c r="N10" s="28">
        <v>50.64</v>
      </c>
      <c r="O10" s="28">
        <v>44.69</v>
      </c>
      <c r="P10" s="28">
        <v>41.54</v>
      </c>
      <c r="Q10" s="28">
        <v>41.51</v>
      </c>
      <c r="S10" s="28">
        <v>33.33</v>
      </c>
      <c r="T10" s="28">
        <v>35.71</v>
      </c>
      <c r="U10" s="28">
        <v>37.15</v>
      </c>
      <c r="V10" s="28">
        <v>40.0</v>
      </c>
      <c r="W10" s="28">
        <v>38.89</v>
      </c>
      <c r="X10" s="28">
        <v>40.26</v>
      </c>
      <c r="Y10" s="28">
        <v>46.03</v>
      </c>
      <c r="Z10" s="28">
        <v>38.99</v>
      </c>
      <c r="AA10" s="28">
        <v>40.0</v>
      </c>
      <c r="AB10" s="28">
        <v>33.33</v>
      </c>
      <c r="AC10" s="28">
        <v>38.57</v>
      </c>
      <c r="AD10" s="28">
        <v>43.06</v>
      </c>
      <c r="AE10" s="28">
        <v>36.6</v>
      </c>
      <c r="AF10" s="28">
        <v>34.85</v>
      </c>
      <c r="AG10" s="28">
        <v>41.67</v>
      </c>
      <c r="AH10" s="28">
        <v>42.24</v>
      </c>
      <c r="AJ10" s="28">
        <v>30.95</v>
      </c>
      <c r="AK10" s="28">
        <v>33.87</v>
      </c>
      <c r="AL10" s="20">
        <v>41.93</v>
      </c>
      <c r="AM10" s="20">
        <v>44.44</v>
      </c>
      <c r="AN10" s="28">
        <v>44.59</v>
      </c>
      <c r="AO10" s="13">
        <v>44.5</v>
      </c>
      <c r="AP10" s="13">
        <v>44.6</v>
      </c>
      <c r="AQ10" s="13">
        <v>33.87</v>
      </c>
      <c r="AR10" s="13">
        <v>37.21</v>
      </c>
      <c r="AS10" s="13">
        <v>36.85</v>
      </c>
      <c r="AT10" s="13">
        <v>35.25</v>
      </c>
      <c r="AU10" s="13">
        <v>31.94</v>
      </c>
      <c r="AV10" s="13">
        <v>34.78</v>
      </c>
      <c r="AW10" s="13">
        <v>28.33</v>
      </c>
      <c r="AX10" s="13">
        <v>35.33</v>
      </c>
      <c r="AY10" s="13">
        <v>35.1</v>
      </c>
      <c r="AZ10" s="69"/>
      <c r="BA10" s="13">
        <v>34.44</v>
      </c>
      <c r="BB10" s="13">
        <v>42.95</v>
      </c>
      <c r="BC10" s="13">
        <v>38.1</v>
      </c>
      <c r="BD10" s="13">
        <v>42.86</v>
      </c>
      <c r="BE10" s="13">
        <v>33.93</v>
      </c>
      <c r="BF10" s="13">
        <v>45.59</v>
      </c>
      <c r="BG10" s="13">
        <v>45.46</v>
      </c>
      <c r="BH10" s="13">
        <v>51.85</v>
      </c>
      <c r="BI10" s="13">
        <v>45.39</v>
      </c>
      <c r="BJ10" s="13">
        <v>39.91</v>
      </c>
      <c r="BK10" s="13">
        <v>37.84</v>
      </c>
      <c r="BL10" s="13">
        <v>40.46</v>
      </c>
      <c r="BM10" s="13">
        <v>32.76</v>
      </c>
      <c r="BN10" s="13">
        <v>32.43</v>
      </c>
      <c r="BO10" s="13">
        <v>32.7</v>
      </c>
      <c r="BP10" s="13">
        <v>38.1</v>
      </c>
      <c r="BQ10" s="69"/>
      <c r="BR10" s="13">
        <v>55.08</v>
      </c>
      <c r="BS10" s="13">
        <v>42.85</v>
      </c>
      <c r="BT10" s="13">
        <v>39.88</v>
      </c>
      <c r="BU10" s="13">
        <v>39.73</v>
      </c>
      <c r="BV10" s="13">
        <v>59.08</v>
      </c>
      <c r="BW10" s="13">
        <v>43.41</v>
      </c>
      <c r="BX10" s="13">
        <v>31.87</v>
      </c>
      <c r="BY10" s="13">
        <v>40.51</v>
      </c>
      <c r="BZ10" s="13">
        <v>47.14</v>
      </c>
      <c r="CA10" s="13">
        <v>39.56</v>
      </c>
      <c r="CB10" s="13">
        <v>49.94</v>
      </c>
      <c r="CC10" s="13">
        <v>36.0</v>
      </c>
      <c r="CD10" s="13">
        <v>39.96</v>
      </c>
      <c r="CE10" s="13">
        <v>42.52</v>
      </c>
      <c r="CF10" s="13">
        <v>45.09</v>
      </c>
      <c r="CG10" s="13">
        <v>34.85</v>
      </c>
      <c r="CH10" s="69"/>
      <c r="CI10" s="69"/>
    </row>
    <row r="11">
      <c r="A11" s="69"/>
      <c r="B11" s="28">
        <v>44.7</v>
      </c>
      <c r="C11" s="28">
        <v>39.77</v>
      </c>
      <c r="D11" s="28">
        <v>44.7</v>
      </c>
      <c r="E11" s="28">
        <v>43.83</v>
      </c>
      <c r="F11" s="28">
        <v>41.54</v>
      </c>
      <c r="G11" s="28">
        <v>43.18</v>
      </c>
      <c r="H11" s="28">
        <v>62.01</v>
      </c>
      <c r="I11" s="28">
        <v>60.1</v>
      </c>
      <c r="J11" s="28">
        <v>43.73</v>
      </c>
      <c r="K11" s="28">
        <v>50.92</v>
      </c>
      <c r="L11" s="28">
        <v>44.7</v>
      </c>
      <c r="M11" s="28">
        <v>41.51</v>
      </c>
      <c r="N11" s="28">
        <v>43.73</v>
      </c>
      <c r="O11" s="28">
        <v>51.62</v>
      </c>
      <c r="P11" s="28">
        <v>43.73</v>
      </c>
      <c r="Q11" s="28">
        <v>42.31</v>
      </c>
      <c r="S11" s="28">
        <v>36.6</v>
      </c>
      <c r="T11" s="28">
        <v>34.43</v>
      </c>
      <c r="U11" s="28">
        <v>38.99</v>
      </c>
      <c r="V11" s="28">
        <v>37.88</v>
      </c>
      <c r="W11" s="28">
        <v>37.88</v>
      </c>
      <c r="X11" s="28">
        <v>40.0</v>
      </c>
      <c r="Y11" s="28">
        <v>39.61</v>
      </c>
      <c r="Z11" s="28">
        <v>31.52</v>
      </c>
      <c r="AA11" s="28">
        <v>36.6</v>
      </c>
      <c r="AB11" s="28">
        <v>32.59</v>
      </c>
      <c r="AC11" s="28">
        <v>38.99</v>
      </c>
      <c r="AD11" s="28">
        <v>39.61</v>
      </c>
      <c r="AE11" s="28">
        <v>38.99</v>
      </c>
      <c r="AF11" s="28">
        <v>56.43</v>
      </c>
      <c r="AG11" s="28">
        <v>34.21</v>
      </c>
      <c r="AH11" s="28">
        <v>35.71</v>
      </c>
      <c r="AJ11" s="28">
        <v>37.61</v>
      </c>
      <c r="AK11" s="28">
        <v>38.89</v>
      </c>
      <c r="AL11" s="20">
        <v>41.77</v>
      </c>
      <c r="AM11" s="20">
        <v>41.6</v>
      </c>
      <c r="AN11" s="28">
        <v>42.26</v>
      </c>
      <c r="AO11" s="13">
        <v>51.03</v>
      </c>
      <c r="AP11" s="13">
        <v>42.85</v>
      </c>
      <c r="AQ11" s="13">
        <v>41.6</v>
      </c>
      <c r="AR11" s="13">
        <v>44.36</v>
      </c>
      <c r="AS11" s="13">
        <v>47.84</v>
      </c>
      <c r="AT11" s="13">
        <v>46.4</v>
      </c>
      <c r="AU11" s="13">
        <v>29.33</v>
      </c>
      <c r="AV11" s="13">
        <v>40.89</v>
      </c>
      <c r="AW11" s="13">
        <v>33.24</v>
      </c>
      <c r="AX11" s="13">
        <v>44.36</v>
      </c>
      <c r="AY11" s="13">
        <v>51.01</v>
      </c>
      <c r="AZ11" s="69"/>
      <c r="BA11" s="13">
        <v>41.67</v>
      </c>
      <c r="BB11" s="13">
        <v>31.99</v>
      </c>
      <c r="BC11" s="13">
        <v>30.7</v>
      </c>
      <c r="BD11" s="13">
        <v>39.91</v>
      </c>
      <c r="BE11" s="13">
        <v>40.87</v>
      </c>
      <c r="BF11" s="13">
        <v>48.21</v>
      </c>
      <c r="BG11" s="13">
        <v>42.26</v>
      </c>
      <c r="BH11" s="13">
        <v>43.98</v>
      </c>
      <c r="BI11" s="13">
        <v>32.7</v>
      </c>
      <c r="BJ11" s="13">
        <v>32.43</v>
      </c>
      <c r="BK11" s="13">
        <v>41.46</v>
      </c>
      <c r="BL11" s="13">
        <v>34.94</v>
      </c>
      <c r="BM11" s="13">
        <v>40.46</v>
      </c>
      <c r="BN11" s="13">
        <v>44.75</v>
      </c>
      <c r="BO11" s="13">
        <v>30.0</v>
      </c>
      <c r="BP11" s="13">
        <v>44.29</v>
      </c>
      <c r="BQ11" s="69"/>
      <c r="BR11" s="13">
        <v>49.21</v>
      </c>
      <c r="BS11" s="13">
        <v>41.43</v>
      </c>
      <c r="BT11" s="13">
        <v>42.81</v>
      </c>
      <c r="BU11" s="13">
        <v>49.94</v>
      </c>
      <c r="BV11" s="13">
        <v>39.73</v>
      </c>
      <c r="BW11" s="13">
        <v>51.99</v>
      </c>
      <c r="BX11" s="13">
        <v>41.99</v>
      </c>
      <c r="BY11" s="13">
        <v>46.02</v>
      </c>
      <c r="BZ11" s="13">
        <v>40.66</v>
      </c>
      <c r="CA11" s="13">
        <v>47.05</v>
      </c>
      <c r="CB11" s="13">
        <v>42.85</v>
      </c>
      <c r="CC11" s="13">
        <v>39.88</v>
      </c>
      <c r="CD11" s="13">
        <v>42.52</v>
      </c>
      <c r="CE11" s="13">
        <v>47.62</v>
      </c>
      <c r="CF11" s="13">
        <v>44.98</v>
      </c>
      <c r="CG11" s="13">
        <v>37.46</v>
      </c>
      <c r="CH11" s="69"/>
      <c r="CI11" s="69"/>
    </row>
    <row r="12">
      <c r="A12" s="69"/>
      <c r="B12" s="28">
        <v>42.31</v>
      </c>
      <c r="C12" s="28">
        <v>43.18</v>
      </c>
      <c r="D12" s="28">
        <v>43.18</v>
      </c>
      <c r="E12" s="28">
        <v>50.64</v>
      </c>
      <c r="F12" s="28">
        <v>50.92</v>
      </c>
      <c r="G12" s="28">
        <v>44.7</v>
      </c>
      <c r="H12" s="28">
        <v>50.64</v>
      </c>
      <c r="I12" s="28">
        <v>53.21</v>
      </c>
      <c r="J12" s="28">
        <v>43.83</v>
      </c>
      <c r="K12" s="28">
        <v>52.09</v>
      </c>
      <c r="L12" s="28">
        <v>41.36</v>
      </c>
      <c r="M12" s="28">
        <v>42.31</v>
      </c>
      <c r="N12" s="28">
        <v>41.36</v>
      </c>
      <c r="O12" s="28">
        <v>40.0</v>
      </c>
      <c r="P12" s="28">
        <v>42.31</v>
      </c>
      <c r="Q12" s="28">
        <v>53.09</v>
      </c>
      <c r="S12" s="28">
        <v>34.21</v>
      </c>
      <c r="T12" s="28">
        <v>39.77</v>
      </c>
      <c r="U12" s="28">
        <v>39.05</v>
      </c>
      <c r="V12" s="28">
        <v>38.1</v>
      </c>
      <c r="W12" s="28">
        <v>37.61</v>
      </c>
      <c r="X12" s="28">
        <v>38.99</v>
      </c>
      <c r="Y12" s="28">
        <v>45.64</v>
      </c>
      <c r="Z12" s="28">
        <v>38.57</v>
      </c>
      <c r="AA12" s="28">
        <v>34.29</v>
      </c>
      <c r="AB12" s="28">
        <v>35.57</v>
      </c>
      <c r="AC12" s="28">
        <v>31.52</v>
      </c>
      <c r="AD12" s="28">
        <v>36.6</v>
      </c>
      <c r="AE12" s="28">
        <v>40.67</v>
      </c>
      <c r="AF12" s="28">
        <v>43.7</v>
      </c>
      <c r="AG12" s="28">
        <v>38.89</v>
      </c>
      <c r="AH12" s="28">
        <v>30.95</v>
      </c>
      <c r="AJ12" s="28">
        <v>45.11</v>
      </c>
      <c r="AK12" s="28">
        <v>31.04</v>
      </c>
      <c r="AL12" s="20">
        <v>32.82</v>
      </c>
      <c r="AM12" s="20">
        <v>41.52</v>
      </c>
      <c r="AN12" s="28">
        <v>51.21</v>
      </c>
      <c r="AO12" s="13">
        <v>40.26</v>
      </c>
      <c r="AP12" s="13">
        <v>51.49</v>
      </c>
      <c r="AQ12" s="13">
        <v>32.64</v>
      </c>
      <c r="AR12" s="13">
        <v>41.27</v>
      </c>
      <c r="AS12" s="13">
        <v>47.84</v>
      </c>
      <c r="AT12" s="13">
        <v>32.64</v>
      </c>
      <c r="AU12" s="13">
        <v>47.52</v>
      </c>
      <c r="AV12" s="13">
        <v>34.78</v>
      </c>
      <c r="AW12" s="13">
        <v>38.63</v>
      </c>
      <c r="AX12" s="13">
        <v>40.4</v>
      </c>
      <c r="AY12" s="13">
        <v>47.58</v>
      </c>
      <c r="AZ12" s="69"/>
      <c r="BA12" s="13">
        <v>48.96</v>
      </c>
      <c r="BB12" s="13">
        <v>38.89</v>
      </c>
      <c r="BC12" s="13">
        <v>40.87</v>
      </c>
      <c r="BD12" s="13">
        <v>44.69</v>
      </c>
      <c r="BE12" s="13">
        <v>45.97</v>
      </c>
      <c r="BF12" s="13">
        <v>45.59</v>
      </c>
      <c r="BG12" s="13">
        <v>42.26</v>
      </c>
      <c r="BH12" s="13">
        <v>37.84</v>
      </c>
      <c r="BI12" s="13">
        <v>43.33</v>
      </c>
      <c r="BJ12" s="13">
        <v>45.59</v>
      </c>
      <c r="BK12" s="13">
        <v>32.21</v>
      </c>
      <c r="BL12" s="13">
        <v>43.33</v>
      </c>
      <c r="BM12" s="13">
        <v>40.85</v>
      </c>
      <c r="BN12" s="13">
        <v>39.15</v>
      </c>
      <c r="BO12" s="13">
        <v>35.44</v>
      </c>
      <c r="BP12" s="13">
        <v>30.7</v>
      </c>
      <c r="BQ12" s="69"/>
      <c r="BR12" s="13">
        <v>49.59</v>
      </c>
      <c r="BS12" s="13">
        <v>37.95</v>
      </c>
      <c r="BT12" s="13">
        <v>31.87</v>
      </c>
      <c r="BU12" s="13">
        <v>49.59</v>
      </c>
      <c r="BV12" s="13">
        <v>33.89</v>
      </c>
      <c r="BW12" s="13">
        <v>46.02</v>
      </c>
      <c r="BX12" s="13">
        <v>44.06</v>
      </c>
      <c r="BY12" s="13">
        <v>57.72</v>
      </c>
      <c r="BZ12" s="13">
        <v>39.88</v>
      </c>
      <c r="CA12" s="13">
        <v>44.06</v>
      </c>
      <c r="CB12" s="13">
        <v>46.02</v>
      </c>
      <c r="CC12" s="13">
        <v>38.6</v>
      </c>
      <c r="CD12" s="13">
        <v>40.8</v>
      </c>
      <c r="CE12" s="13">
        <v>46.07</v>
      </c>
      <c r="CF12" s="13">
        <v>42.51</v>
      </c>
      <c r="CG12" s="13">
        <v>44.06</v>
      </c>
      <c r="CH12" s="69"/>
      <c r="CI12" s="69"/>
    </row>
    <row r="13">
      <c r="A13" s="69"/>
      <c r="B13" s="28">
        <v>43.83</v>
      </c>
      <c r="C13" s="28">
        <v>41.2</v>
      </c>
      <c r="D13" s="28">
        <v>43.83</v>
      </c>
      <c r="E13" s="28">
        <v>43.83</v>
      </c>
      <c r="F13" s="28">
        <v>44.7</v>
      </c>
      <c r="G13" s="28">
        <v>39.77</v>
      </c>
      <c r="H13" s="28">
        <v>50.57</v>
      </c>
      <c r="I13" s="28">
        <v>43.18</v>
      </c>
      <c r="J13" s="28">
        <v>41.2</v>
      </c>
      <c r="K13" s="28">
        <v>41.01</v>
      </c>
      <c r="L13" s="28">
        <v>53.09</v>
      </c>
      <c r="M13" s="28">
        <v>41.51</v>
      </c>
      <c r="N13" s="28">
        <v>41.51</v>
      </c>
      <c r="O13" s="28">
        <v>40.38</v>
      </c>
      <c r="P13" s="28">
        <v>41.36</v>
      </c>
      <c r="Q13" s="28">
        <v>44.7</v>
      </c>
      <c r="S13" s="28">
        <v>31.52</v>
      </c>
      <c r="T13" s="28">
        <v>38.57</v>
      </c>
      <c r="U13" s="28">
        <v>36.59</v>
      </c>
      <c r="V13" s="28">
        <v>32.35</v>
      </c>
      <c r="W13" s="28">
        <v>40.67</v>
      </c>
      <c r="X13" s="28">
        <v>35.5</v>
      </c>
      <c r="Y13" s="28">
        <v>36.6</v>
      </c>
      <c r="Z13" s="28">
        <v>31.83</v>
      </c>
      <c r="AA13" s="28">
        <v>24.26</v>
      </c>
      <c r="AB13" s="28">
        <v>39.77</v>
      </c>
      <c r="AC13" s="28">
        <v>34.44</v>
      </c>
      <c r="AD13" s="28">
        <v>34.21</v>
      </c>
      <c r="AE13" s="28">
        <v>40.26</v>
      </c>
      <c r="AF13" s="28">
        <v>38.47</v>
      </c>
      <c r="AG13" s="28">
        <v>39.86</v>
      </c>
      <c r="AH13" s="28">
        <v>38.1</v>
      </c>
      <c r="AJ13" s="28">
        <v>41.6</v>
      </c>
      <c r="AK13" s="28">
        <v>38.89</v>
      </c>
      <c r="AL13" s="20">
        <v>35.1</v>
      </c>
      <c r="AM13" s="20">
        <v>38.89</v>
      </c>
      <c r="AN13" s="28">
        <v>41.59</v>
      </c>
      <c r="AO13" s="13">
        <v>36.44</v>
      </c>
      <c r="AP13" s="13">
        <v>41.37</v>
      </c>
      <c r="AQ13" s="13">
        <v>35.25</v>
      </c>
      <c r="AR13" s="13">
        <v>55.56</v>
      </c>
      <c r="AS13" s="13">
        <v>41.37</v>
      </c>
      <c r="AT13" s="13">
        <v>35.07</v>
      </c>
      <c r="AU13" s="13">
        <v>28.4</v>
      </c>
      <c r="AV13" s="13">
        <v>39.34</v>
      </c>
      <c r="AW13" s="13">
        <v>48.02</v>
      </c>
      <c r="AX13" s="13">
        <v>42.43</v>
      </c>
      <c r="AY13" s="13">
        <v>31.82</v>
      </c>
      <c r="AZ13" s="69"/>
      <c r="BA13" s="13">
        <v>43.5</v>
      </c>
      <c r="BB13" s="13">
        <v>41.67</v>
      </c>
      <c r="BC13" s="13">
        <v>36.79</v>
      </c>
      <c r="BD13" s="13">
        <v>43.33</v>
      </c>
      <c r="BE13" s="13">
        <v>30.56</v>
      </c>
      <c r="BF13" s="13">
        <v>44.95</v>
      </c>
      <c r="BG13" s="13">
        <v>39.91</v>
      </c>
      <c r="BH13" s="13">
        <v>40.69</v>
      </c>
      <c r="BI13" s="13">
        <v>37.79</v>
      </c>
      <c r="BJ13" s="13">
        <v>44.69</v>
      </c>
      <c r="BK13" s="13">
        <v>42.95</v>
      </c>
      <c r="BL13" s="13">
        <v>36.2</v>
      </c>
      <c r="BM13" s="13">
        <v>32.76</v>
      </c>
      <c r="BN13" s="13">
        <v>44.25</v>
      </c>
      <c r="BO13" s="13">
        <v>35.13</v>
      </c>
      <c r="BP13" s="13">
        <v>43.33</v>
      </c>
      <c r="BQ13" s="69"/>
      <c r="BR13" s="13">
        <v>33.89</v>
      </c>
      <c r="BS13" s="13">
        <v>42.51</v>
      </c>
      <c r="BT13" s="13">
        <v>50.0</v>
      </c>
      <c r="BU13" s="13">
        <v>42.85</v>
      </c>
      <c r="BV13" s="13">
        <v>43.41</v>
      </c>
      <c r="BW13" s="13">
        <v>40.0</v>
      </c>
      <c r="BX13" s="13">
        <v>47.05</v>
      </c>
      <c r="BY13" s="13">
        <v>36.85</v>
      </c>
      <c r="BZ13" s="13">
        <v>49.59</v>
      </c>
      <c r="CA13" s="13">
        <v>42.04</v>
      </c>
      <c r="CB13" s="13">
        <v>39.73</v>
      </c>
      <c r="CC13" s="13">
        <v>37.68</v>
      </c>
      <c r="CD13" s="13">
        <v>38.96</v>
      </c>
      <c r="CE13" s="13">
        <v>48.29</v>
      </c>
      <c r="CF13" s="13">
        <v>43.37</v>
      </c>
      <c r="CG13" s="13">
        <v>39.73</v>
      </c>
      <c r="CH13" s="69"/>
      <c r="CI13" s="69"/>
    </row>
    <row r="14">
      <c r="A14" s="69"/>
      <c r="B14" s="28">
        <v>53.09</v>
      </c>
      <c r="C14" s="28">
        <v>53.09</v>
      </c>
      <c r="D14" s="28">
        <v>42.24</v>
      </c>
      <c r="E14" s="28">
        <v>43.73</v>
      </c>
      <c r="F14" s="28">
        <v>44.7</v>
      </c>
      <c r="G14" s="28">
        <v>43.83</v>
      </c>
      <c r="H14" s="28">
        <v>41.36</v>
      </c>
      <c r="I14" s="28">
        <v>39.77</v>
      </c>
      <c r="J14" s="28">
        <v>50.97</v>
      </c>
      <c r="K14" s="28">
        <v>42.85</v>
      </c>
      <c r="L14" s="28">
        <v>39.77</v>
      </c>
      <c r="M14" s="28">
        <v>43.73</v>
      </c>
      <c r="N14" s="28">
        <v>41.51</v>
      </c>
      <c r="O14" s="28">
        <v>52.07</v>
      </c>
      <c r="P14" s="28">
        <v>50.64</v>
      </c>
      <c r="Q14" s="28">
        <v>43.83</v>
      </c>
      <c r="S14" s="28">
        <v>44.44</v>
      </c>
      <c r="T14" s="28">
        <v>36.67</v>
      </c>
      <c r="U14" s="28">
        <v>41.35</v>
      </c>
      <c r="V14" s="28">
        <v>43.29</v>
      </c>
      <c r="W14" s="28">
        <v>32.93</v>
      </c>
      <c r="X14" s="28">
        <v>42.24</v>
      </c>
      <c r="Y14" s="28">
        <v>36.59</v>
      </c>
      <c r="Z14" s="28">
        <v>30.2</v>
      </c>
      <c r="AA14" s="28">
        <v>40.26</v>
      </c>
      <c r="AB14" s="28">
        <v>36.67</v>
      </c>
      <c r="AC14" s="28">
        <v>34.43</v>
      </c>
      <c r="AD14" s="28">
        <v>35.57</v>
      </c>
      <c r="AE14" s="28">
        <v>38.99</v>
      </c>
      <c r="AF14" s="28">
        <v>38.38</v>
      </c>
      <c r="AG14" s="28">
        <v>37.61</v>
      </c>
      <c r="AH14" s="28">
        <v>36.59</v>
      </c>
      <c r="AJ14" s="28">
        <v>33.87</v>
      </c>
      <c r="AK14" s="28">
        <v>41.17</v>
      </c>
      <c r="AL14" s="20">
        <v>41.4</v>
      </c>
      <c r="AM14" s="20">
        <v>31.04</v>
      </c>
      <c r="AN14" s="28">
        <v>48.29</v>
      </c>
      <c r="AO14" s="13">
        <v>39.52</v>
      </c>
      <c r="AP14" s="13">
        <v>36.85</v>
      </c>
      <c r="AQ14" s="13">
        <v>45.11</v>
      </c>
      <c r="AR14" s="13">
        <v>47.58</v>
      </c>
      <c r="AS14" s="13">
        <v>47.78</v>
      </c>
      <c r="AT14" s="13">
        <v>41.6</v>
      </c>
      <c r="AU14" s="13">
        <v>35.33</v>
      </c>
      <c r="AV14" s="13">
        <v>44.64</v>
      </c>
      <c r="AW14" s="13">
        <v>29.54</v>
      </c>
      <c r="AX14" s="13">
        <v>56.06</v>
      </c>
      <c r="AY14" s="13">
        <v>48.29</v>
      </c>
      <c r="AZ14" s="69"/>
      <c r="BA14" s="13">
        <v>32.43</v>
      </c>
      <c r="BB14" s="13">
        <v>30.7</v>
      </c>
      <c r="BC14" s="13">
        <v>43.5</v>
      </c>
      <c r="BD14" s="13">
        <v>34.44</v>
      </c>
      <c r="BE14" s="13">
        <v>45.59</v>
      </c>
      <c r="BF14" s="13">
        <v>44.95</v>
      </c>
      <c r="BG14" s="13">
        <v>39.91</v>
      </c>
      <c r="BH14" s="13">
        <v>39.87</v>
      </c>
      <c r="BI14" s="13">
        <v>37.48</v>
      </c>
      <c r="BJ14" s="13">
        <v>42.26</v>
      </c>
      <c r="BK14" s="13">
        <v>54.55</v>
      </c>
      <c r="BL14" s="13">
        <v>37.48</v>
      </c>
      <c r="BM14" s="13">
        <v>30.7</v>
      </c>
      <c r="BN14" s="13">
        <v>44.28</v>
      </c>
      <c r="BO14" s="13">
        <v>30.7</v>
      </c>
      <c r="BP14" s="13">
        <v>39.52</v>
      </c>
      <c r="BQ14" s="69"/>
      <c r="BR14" s="13">
        <v>37.0</v>
      </c>
      <c r="BS14" s="13">
        <v>49.94</v>
      </c>
      <c r="BT14" s="13">
        <v>43.41</v>
      </c>
      <c r="BU14" s="13">
        <v>37.95</v>
      </c>
      <c r="BV14" s="13">
        <v>42.51</v>
      </c>
      <c r="BW14" s="13">
        <v>42.5</v>
      </c>
      <c r="BX14" s="13">
        <v>36.59</v>
      </c>
      <c r="BY14" s="13">
        <v>41.55</v>
      </c>
      <c r="BZ14" s="13">
        <v>42.74</v>
      </c>
      <c r="CA14" s="13">
        <v>46.07</v>
      </c>
      <c r="CB14" s="13">
        <v>44.66</v>
      </c>
      <c r="CC14" s="13">
        <v>42.04</v>
      </c>
      <c r="CD14" s="13">
        <v>40.8</v>
      </c>
      <c r="CE14" s="13">
        <v>36.36</v>
      </c>
      <c r="CF14" s="13">
        <v>42.51</v>
      </c>
      <c r="CG14" s="13">
        <v>60.03</v>
      </c>
      <c r="CH14" s="69"/>
      <c r="CI14" s="69"/>
    </row>
    <row r="15">
      <c r="A15" s="69"/>
      <c r="B15" s="28">
        <v>41.51</v>
      </c>
      <c r="C15" s="28">
        <v>49.38</v>
      </c>
      <c r="D15" s="28">
        <v>43.83</v>
      </c>
      <c r="E15" s="28">
        <v>41.36</v>
      </c>
      <c r="F15" s="28">
        <v>43.83</v>
      </c>
      <c r="G15" s="28">
        <v>43.83</v>
      </c>
      <c r="H15" s="28">
        <v>42.31</v>
      </c>
      <c r="I15" s="28">
        <v>55.95</v>
      </c>
      <c r="J15" s="28">
        <v>44.71</v>
      </c>
      <c r="K15" s="28">
        <v>42.31</v>
      </c>
      <c r="L15" s="28">
        <v>53.04</v>
      </c>
      <c r="M15" s="28">
        <v>53.42</v>
      </c>
      <c r="N15" s="28">
        <v>43.83</v>
      </c>
      <c r="O15" s="28">
        <v>54.29</v>
      </c>
      <c r="P15" s="28">
        <v>42.31</v>
      </c>
      <c r="Q15" s="28">
        <v>54.68</v>
      </c>
      <c r="S15" s="28">
        <v>35.57</v>
      </c>
      <c r="T15" s="28">
        <v>37.61</v>
      </c>
      <c r="U15" s="28">
        <v>39.05</v>
      </c>
      <c r="V15" s="28">
        <v>34.43</v>
      </c>
      <c r="W15" s="28">
        <v>39.86</v>
      </c>
      <c r="X15" s="28">
        <v>38.99</v>
      </c>
      <c r="Y15" s="28">
        <v>40.0</v>
      </c>
      <c r="Z15" s="28">
        <v>34.21</v>
      </c>
      <c r="AA15" s="28">
        <v>36.6</v>
      </c>
      <c r="AB15" s="28">
        <v>42.22</v>
      </c>
      <c r="AC15" s="28">
        <v>42.24</v>
      </c>
      <c r="AD15" s="28">
        <v>39.77</v>
      </c>
      <c r="AE15" s="28">
        <v>42.24</v>
      </c>
      <c r="AF15" s="28">
        <v>38.1</v>
      </c>
      <c r="AG15" s="28">
        <v>37.61</v>
      </c>
      <c r="AH15" s="28">
        <v>41.27</v>
      </c>
      <c r="AJ15" s="28">
        <v>38.89</v>
      </c>
      <c r="AK15" s="28">
        <v>35.82</v>
      </c>
      <c r="AL15" s="20">
        <v>58.1</v>
      </c>
      <c r="AM15" s="20">
        <v>42.85</v>
      </c>
      <c r="AN15" s="28">
        <v>31.04</v>
      </c>
      <c r="AO15" s="13">
        <v>44.76</v>
      </c>
      <c r="AP15" s="13">
        <v>47.99</v>
      </c>
      <c r="AQ15" s="13">
        <v>30.95</v>
      </c>
      <c r="AR15" s="13">
        <v>51.03</v>
      </c>
      <c r="AS15" s="13">
        <v>42.51</v>
      </c>
      <c r="AT15" s="13">
        <v>45.11</v>
      </c>
      <c r="AU15" s="13">
        <v>38.56</v>
      </c>
      <c r="AV15" s="13">
        <v>36.84</v>
      </c>
      <c r="AW15" s="13">
        <v>32.64</v>
      </c>
      <c r="AX15" s="13">
        <v>33.86</v>
      </c>
      <c r="AY15" s="13">
        <v>42.24</v>
      </c>
      <c r="AZ15" s="69"/>
      <c r="BA15" s="13">
        <v>42.95</v>
      </c>
      <c r="BB15" s="13">
        <v>40.69</v>
      </c>
      <c r="BC15" s="13">
        <v>45.59</v>
      </c>
      <c r="BD15" s="13">
        <v>43.13</v>
      </c>
      <c r="BE15" s="13">
        <v>37.88</v>
      </c>
      <c r="BF15" s="13">
        <v>37.91</v>
      </c>
      <c r="BG15" s="13">
        <v>39.54</v>
      </c>
      <c r="BH15" s="13">
        <v>34.44</v>
      </c>
      <c r="BI15" s="13">
        <v>34.1</v>
      </c>
      <c r="BJ15" s="13">
        <v>45.46</v>
      </c>
      <c r="BK15" s="13">
        <v>37.0</v>
      </c>
      <c r="BL15" s="13">
        <v>43.33</v>
      </c>
      <c r="BM15" s="13">
        <v>35.33</v>
      </c>
      <c r="BN15" s="13">
        <v>36.11</v>
      </c>
      <c r="BO15" s="13">
        <v>35.44</v>
      </c>
      <c r="BP15" s="13">
        <v>39.34</v>
      </c>
      <c r="BQ15" s="69"/>
      <c r="BR15" s="13">
        <v>44.66</v>
      </c>
      <c r="BS15" s="13">
        <v>44.66</v>
      </c>
      <c r="BT15" s="13">
        <v>44.06</v>
      </c>
      <c r="BU15" s="13">
        <v>41.43</v>
      </c>
      <c r="BV15" s="13">
        <v>44.66</v>
      </c>
      <c r="BW15" s="13">
        <v>45.17</v>
      </c>
      <c r="BX15" s="13">
        <v>46.36</v>
      </c>
      <c r="BY15" s="13">
        <v>44.73</v>
      </c>
      <c r="BZ15" s="13">
        <v>49.59</v>
      </c>
      <c r="CA15" s="13">
        <v>38.96</v>
      </c>
      <c r="CB15" s="13">
        <v>35.05</v>
      </c>
      <c r="CC15" s="13">
        <v>34.85</v>
      </c>
      <c r="CD15" s="13">
        <v>40.8</v>
      </c>
      <c r="CE15" s="13">
        <v>47.65</v>
      </c>
      <c r="CF15" s="13">
        <v>47.45</v>
      </c>
      <c r="CG15" s="13">
        <v>59.55</v>
      </c>
      <c r="CH15" s="69"/>
      <c r="CI15" s="69"/>
    </row>
    <row r="16">
      <c r="A16" s="69"/>
      <c r="B16" s="28">
        <v>39.87</v>
      </c>
      <c r="C16" s="28">
        <v>41.36</v>
      </c>
      <c r="D16" s="28">
        <v>62.01</v>
      </c>
      <c r="E16" s="28">
        <v>50.57</v>
      </c>
      <c r="F16" s="28">
        <v>44.21</v>
      </c>
      <c r="G16" s="28">
        <v>43.83</v>
      </c>
      <c r="H16" s="28">
        <v>42.31</v>
      </c>
      <c r="I16" s="28">
        <v>50.03</v>
      </c>
      <c r="J16" s="28">
        <v>53.09</v>
      </c>
      <c r="K16" s="28">
        <v>53.09</v>
      </c>
      <c r="L16" s="28">
        <v>49.38</v>
      </c>
      <c r="M16" s="28">
        <v>42.31</v>
      </c>
      <c r="N16" s="28">
        <v>41.51</v>
      </c>
      <c r="O16" s="28">
        <v>47.59</v>
      </c>
      <c r="P16" s="28">
        <v>43.83</v>
      </c>
      <c r="Q16" s="28">
        <v>53.04</v>
      </c>
      <c r="S16" s="28">
        <v>42.75</v>
      </c>
      <c r="T16" s="28">
        <v>36.6</v>
      </c>
      <c r="U16" s="28">
        <v>31.81</v>
      </c>
      <c r="V16" s="28">
        <v>35.67</v>
      </c>
      <c r="W16" s="28">
        <v>39.61</v>
      </c>
      <c r="X16" s="28">
        <v>38.99</v>
      </c>
      <c r="Y16" s="28">
        <v>42.24</v>
      </c>
      <c r="Z16" s="28">
        <v>39.77</v>
      </c>
      <c r="AA16" s="28">
        <v>41.27</v>
      </c>
      <c r="AB16" s="28">
        <v>44.44</v>
      </c>
      <c r="AC16" s="28">
        <v>38.57</v>
      </c>
      <c r="AD16" s="28">
        <v>37.61</v>
      </c>
      <c r="AE16" s="28">
        <v>38.99</v>
      </c>
      <c r="AF16" s="28">
        <v>39.05</v>
      </c>
      <c r="AG16" s="28">
        <v>37.61</v>
      </c>
      <c r="AH16" s="28">
        <v>32.05</v>
      </c>
      <c r="AJ16" s="28">
        <v>35.25</v>
      </c>
      <c r="AK16" s="28">
        <v>44.44</v>
      </c>
      <c r="AL16" s="20">
        <v>43.06</v>
      </c>
      <c r="AM16" s="20">
        <v>35.13</v>
      </c>
      <c r="AN16" s="28">
        <v>44.76</v>
      </c>
      <c r="AO16" s="13">
        <v>44.44</v>
      </c>
      <c r="AP16" s="13">
        <v>41.5</v>
      </c>
      <c r="AQ16" s="13">
        <v>36.59</v>
      </c>
      <c r="AR16" s="13">
        <v>53.71</v>
      </c>
      <c r="AS16" s="13">
        <v>20.44</v>
      </c>
      <c r="AT16" s="13">
        <v>31.04</v>
      </c>
      <c r="AU16" s="13">
        <v>47.84</v>
      </c>
      <c r="AV16" s="13">
        <v>42.55</v>
      </c>
      <c r="AW16" s="13">
        <v>40.35</v>
      </c>
      <c r="AX16" s="13">
        <v>36.39</v>
      </c>
      <c r="AY16" s="13">
        <v>35.46</v>
      </c>
      <c r="AZ16" s="69"/>
      <c r="BA16" s="13">
        <v>33.63</v>
      </c>
      <c r="BB16" s="13">
        <v>39.87</v>
      </c>
      <c r="BC16" s="13">
        <v>39.49</v>
      </c>
      <c r="BD16" s="13">
        <v>34.1</v>
      </c>
      <c r="BE16" s="13">
        <v>40.46</v>
      </c>
      <c r="BF16" s="13">
        <v>42.86</v>
      </c>
      <c r="BG16" s="13">
        <v>32.7</v>
      </c>
      <c r="BH16" s="13">
        <v>37.33</v>
      </c>
      <c r="BI16" s="13">
        <v>45.97</v>
      </c>
      <c r="BJ16" s="13">
        <v>42.26</v>
      </c>
      <c r="BK16" s="13">
        <v>37.33</v>
      </c>
      <c r="BL16" s="13">
        <v>45.59</v>
      </c>
      <c r="BM16" s="13">
        <v>32.7</v>
      </c>
      <c r="BN16" s="13">
        <v>37.41</v>
      </c>
      <c r="BO16" s="13">
        <v>33.48</v>
      </c>
      <c r="BP16" s="13">
        <v>31.43</v>
      </c>
      <c r="BQ16" s="69"/>
      <c r="BR16" s="13">
        <v>41.43</v>
      </c>
      <c r="BS16" s="13">
        <v>40.48</v>
      </c>
      <c r="BT16" s="13">
        <v>34.85</v>
      </c>
      <c r="BU16" s="13">
        <v>39.73</v>
      </c>
      <c r="BV16" s="13">
        <v>42.52</v>
      </c>
      <c r="BW16" s="13">
        <v>43.37</v>
      </c>
      <c r="BX16" s="13">
        <v>42.51</v>
      </c>
      <c r="BY16" s="13">
        <v>38.8</v>
      </c>
      <c r="BZ16" s="13">
        <v>45.02</v>
      </c>
      <c r="CA16" s="13">
        <v>40.61</v>
      </c>
      <c r="CB16" s="13">
        <v>49.59</v>
      </c>
      <c r="CC16" s="13">
        <v>37.95</v>
      </c>
      <c r="CD16" s="13">
        <v>42.51</v>
      </c>
      <c r="CE16" s="13">
        <v>41.16</v>
      </c>
      <c r="CF16" s="13">
        <v>42.04</v>
      </c>
      <c r="CG16" s="13">
        <v>55.78</v>
      </c>
      <c r="CH16" s="69"/>
      <c r="CI16" s="69"/>
    </row>
    <row r="17">
      <c r="A17" s="69"/>
      <c r="B17" s="28">
        <v>39.77</v>
      </c>
      <c r="C17" s="28">
        <v>42.31</v>
      </c>
      <c r="D17" s="28">
        <v>53.21</v>
      </c>
      <c r="E17" s="28">
        <v>43.83</v>
      </c>
      <c r="F17" s="28">
        <v>41.51</v>
      </c>
      <c r="G17" s="28">
        <v>53.09</v>
      </c>
      <c r="H17" s="28">
        <v>42.31</v>
      </c>
      <c r="I17" s="28">
        <v>49.01</v>
      </c>
      <c r="J17" s="28">
        <v>43.73</v>
      </c>
      <c r="K17" s="28">
        <v>53.09</v>
      </c>
      <c r="L17" s="28">
        <v>43.83</v>
      </c>
      <c r="M17" s="28">
        <v>42.31</v>
      </c>
      <c r="N17" s="28">
        <v>53.04</v>
      </c>
      <c r="O17" s="28">
        <v>56.24</v>
      </c>
      <c r="P17" s="28">
        <v>40.67</v>
      </c>
      <c r="Q17" s="28">
        <v>42.59</v>
      </c>
      <c r="S17" s="28">
        <v>34.43</v>
      </c>
      <c r="T17" s="28">
        <v>34.44</v>
      </c>
      <c r="U17" s="28">
        <v>32.59</v>
      </c>
      <c r="V17" s="28">
        <v>40.26</v>
      </c>
      <c r="W17" s="28">
        <v>36.6</v>
      </c>
      <c r="X17" s="28">
        <v>36.83</v>
      </c>
      <c r="Y17" s="28">
        <v>40.26</v>
      </c>
      <c r="Z17" s="28">
        <v>38.1</v>
      </c>
      <c r="AA17" s="28">
        <v>43.06</v>
      </c>
      <c r="AB17" s="28">
        <v>34.21</v>
      </c>
      <c r="AC17" s="28">
        <v>42.24</v>
      </c>
      <c r="AD17" s="28">
        <v>39.05</v>
      </c>
      <c r="AE17" s="28">
        <v>38.99</v>
      </c>
      <c r="AF17" s="28">
        <v>32.93</v>
      </c>
      <c r="AG17" s="28">
        <v>38.99</v>
      </c>
      <c r="AH17" s="28">
        <v>40.26</v>
      </c>
      <c r="AJ17" s="28">
        <v>35.83</v>
      </c>
      <c r="AK17" s="28">
        <v>35.07</v>
      </c>
      <c r="AL17" s="20">
        <v>42.24</v>
      </c>
      <c r="AM17" s="20">
        <v>38.89</v>
      </c>
      <c r="AN17" s="28">
        <v>44.64</v>
      </c>
      <c r="AO17" s="13">
        <v>31.82</v>
      </c>
      <c r="AP17" s="13">
        <v>55.07</v>
      </c>
      <c r="AQ17" s="13">
        <v>32.64</v>
      </c>
      <c r="AR17" s="13">
        <v>28.4</v>
      </c>
      <c r="AS17" s="13">
        <v>35.13</v>
      </c>
      <c r="AT17" s="13">
        <v>36.59</v>
      </c>
      <c r="AU17" s="13">
        <v>31.04</v>
      </c>
      <c r="AV17" s="13">
        <v>36.84</v>
      </c>
      <c r="AW17" s="13">
        <v>28.48</v>
      </c>
      <c r="AX17" s="13">
        <v>40.5</v>
      </c>
      <c r="AY17" s="13">
        <v>48.18</v>
      </c>
      <c r="AZ17" s="69"/>
      <c r="BA17" s="13">
        <v>42.86</v>
      </c>
      <c r="BB17" s="13">
        <v>44.28</v>
      </c>
      <c r="BC17" s="13">
        <v>30.7</v>
      </c>
      <c r="BD17" s="13">
        <v>41.67</v>
      </c>
      <c r="BE17" s="13">
        <v>44.69</v>
      </c>
      <c r="BF17" s="13">
        <v>43.33</v>
      </c>
      <c r="BG17" s="13">
        <v>43.33</v>
      </c>
      <c r="BH17" s="13">
        <v>44.28</v>
      </c>
      <c r="BI17" s="13">
        <v>45.59</v>
      </c>
      <c r="BJ17" s="13">
        <v>40.15</v>
      </c>
      <c r="BK17" s="13">
        <v>34.94</v>
      </c>
      <c r="BL17" s="13">
        <v>31.48</v>
      </c>
      <c r="BM17" s="13">
        <v>32.7</v>
      </c>
      <c r="BN17" s="13">
        <v>39.02</v>
      </c>
      <c r="BO17" s="13">
        <v>30.7</v>
      </c>
      <c r="BP17" s="13">
        <v>42.95</v>
      </c>
      <c r="BQ17" s="69"/>
      <c r="BR17" s="13">
        <v>35.05</v>
      </c>
      <c r="BS17" s="13">
        <v>41.55</v>
      </c>
      <c r="BT17" s="13">
        <v>50.52</v>
      </c>
      <c r="BU17" s="13">
        <v>47.05</v>
      </c>
      <c r="BV17" s="13">
        <v>40.0</v>
      </c>
      <c r="BW17" s="13">
        <v>44.66</v>
      </c>
      <c r="BX17" s="13">
        <v>41.77</v>
      </c>
      <c r="BY17" s="13">
        <v>44.04</v>
      </c>
      <c r="BZ17" s="13">
        <v>49.59</v>
      </c>
      <c r="CA17" s="13">
        <v>41.99</v>
      </c>
      <c r="CB17" s="13">
        <v>46.92</v>
      </c>
      <c r="CC17" s="13">
        <v>44.66</v>
      </c>
      <c r="CD17" s="13">
        <v>42.51</v>
      </c>
      <c r="CE17" s="13">
        <v>42.36</v>
      </c>
      <c r="CF17" s="13">
        <v>42.04</v>
      </c>
      <c r="CG17" s="13">
        <v>42.51</v>
      </c>
      <c r="CH17" s="69"/>
      <c r="CI17" s="69"/>
    </row>
    <row r="18">
      <c r="A18" s="69"/>
      <c r="B18" s="28">
        <v>43.73</v>
      </c>
      <c r="C18" s="28">
        <v>37.02</v>
      </c>
      <c r="D18" s="28">
        <v>44.71</v>
      </c>
      <c r="E18" s="28">
        <v>46.12</v>
      </c>
      <c r="F18" s="28">
        <v>53.04</v>
      </c>
      <c r="G18" s="28">
        <v>46.12</v>
      </c>
      <c r="H18" s="28">
        <v>50.92</v>
      </c>
      <c r="I18" s="28">
        <v>47.59</v>
      </c>
      <c r="J18" s="28">
        <v>53.91</v>
      </c>
      <c r="K18" s="28">
        <v>53.04</v>
      </c>
      <c r="L18" s="28">
        <v>53.45</v>
      </c>
      <c r="M18" s="28">
        <v>42.31</v>
      </c>
      <c r="N18" s="28">
        <v>43.83</v>
      </c>
      <c r="O18" s="28">
        <v>63.74</v>
      </c>
      <c r="P18" s="28">
        <v>41.51</v>
      </c>
      <c r="Q18" s="28">
        <v>41.36</v>
      </c>
      <c r="S18" s="28">
        <v>35.71</v>
      </c>
      <c r="T18" s="28">
        <v>36.59</v>
      </c>
      <c r="U18" s="28">
        <v>41.27</v>
      </c>
      <c r="V18" s="28">
        <v>41.67</v>
      </c>
      <c r="W18" s="28">
        <v>40.0</v>
      </c>
      <c r="X18" s="28">
        <v>40.26</v>
      </c>
      <c r="Y18" s="28">
        <v>39.05</v>
      </c>
      <c r="Z18" s="28">
        <v>42.24</v>
      </c>
      <c r="AA18" s="28">
        <v>38.1</v>
      </c>
      <c r="AB18" s="28">
        <v>35.32</v>
      </c>
      <c r="AC18" s="28">
        <v>38.57</v>
      </c>
      <c r="AD18" s="28">
        <v>39.86</v>
      </c>
      <c r="AE18" s="28">
        <v>38.99</v>
      </c>
      <c r="AF18" s="28">
        <v>40.91</v>
      </c>
      <c r="AG18" s="28">
        <v>37.61</v>
      </c>
      <c r="AH18" s="28">
        <v>39.05</v>
      </c>
      <c r="AJ18" s="28">
        <v>51.21</v>
      </c>
      <c r="AK18" s="28">
        <v>41.52</v>
      </c>
      <c r="AL18" s="20">
        <v>40.26</v>
      </c>
      <c r="AM18" s="20">
        <v>48.77</v>
      </c>
      <c r="AN18" s="28">
        <v>36.59</v>
      </c>
      <c r="AO18" s="13">
        <v>39.56</v>
      </c>
      <c r="AP18" s="13">
        <v>47.39</v>
      </c>
      <c r="AQ18" s="13">
        <v>35.07</v>
      </c>
      <c r="AR18" s="13">
        <v>45.11</v>
      </c>
      <c r="AS18" s="13">
        <v>35.71</v>
      </c>
      <c r="AT18" s="13">
        <v>21.51</v>
      </c>
      <c r="AU18" s="13">
        <v>51.06</v>
      </c>
      <c r="AV18" s="13">
        <v>45.15</v>
      </c>
      <c r="AW18" s="13">
        <v>31.87</v>
      </c>
      <c r="AX18" s="13">
        <v>50.79</v>
      </c>
      <c r="AY18" s="13">
        <v>47.84</v>
      </c>
      <c r="AZ18" s="69"/>
      <c r="BA18" s="13">
        <v>40.6</v>
      </c>
      <c r="BB18" s="13">
        <v>32.43</v>
      </c>
      <c r="BC18" s="13">
        <v>40.4</v>
      </c>
      <c r="BD18" s="13">
        <v>45.59</v>
      </c>
      <c r="BE18" s="13">
        <v>47.72</v>
      </c>
      <c r="BF18" s="13">
        <v>40.46</v>
      </c>
      <c r="BG18" s="13">
        <v>39.91</v>
      </c>
      <c r="BH18" s="13">
        <v>37.41</v>
      </c>
      <c r="BI18" s="13">
        <v>42.86</v>
      </c>
      <c r="BJ18" s="13">
        <v>39.91</v>
      </c>
      <c r="BK18" s="13">
        <v>47.48</v>
      </c>
      <c r="BL18" s="13">
        <v>45.63</v>
      </c>
      <c r="BM18" s="13">
        <v>40.15</v>
      </c>
      <c r="BN18" s="13">
        <v>29.24</v>
      </c>
      <c r="BO18" s="13">
        <v>32.7</v>
      </c>
      <c r="BP18" s="13">
        <v>43.5</v>
      </c>
      <c r="BQ18" s="69"/>
      <c r="BR18" s="13">
        <v>50.51</v>
      </c>
      <c r="BS18" s="13">
        <v>50.51</v>
      </c>
      <c r="BT18" s="13">
        <v>39.73</v>
      </c>
      <c r="BU18" s="13">
        <v>50.3</v>
      </c>
      <c r="BV18" s="13">
        <v>40.8</v>
      </c>
      <c r="BW18" s="13">
        <v>38.6</v>
      </c>
      <c r="BX18" s="13">
        <v>49.63</v>
      </c>
      <c r="BY18" s="13">
        <v>32.99</v>
      </c>
      <c r="BZ18" s="13">
        <v>37.68</v>
      </c>
      <c r="CA18" s="13">
        <v>40.51</v>
      </c>
      <c r="CB18" s="13">
        <v>45.53</v>
      </c>
      <c r="CC18" s="13">
        <v>42.51</v>
      </c>
      <c r="CD18" s="13">
        <v>42.52</v>
      </c>
      <c r="CE18" s="13">
        <v>42.99</v>
      </c>
      <c r="CF18" s="13">
        <v>41.72</v>
      </c>
      <c r="CG18" s="13">
        <v>43.41</v>
      </c>
      <c r="CH18" s="69"/>
      <c r="CI18" s="69"/>
    </row>
    <row r="19">
      <c r="A19" s="69"/>
      <c r="B19" s="28">
        <v>42.31</v>
      </c>
      <c r="C19" s="28">
        <v>53.21</v>
      </c>
      <c r="D19" s="28">
        <v>48.15</v>
      </c>
      <c r="E19" s="28">
        <v>43.73</v>
      </c>
      <c r="F19" s="28">
        <v>47.42</v>
      </c>
      <c r="G19" s="28">
        <v>39.5</v>
      </c>
      <c r="H19" s="28">
        <v>48.15</v>
      </c>
      <c r="I19" s="28">
        <v>52.07</v>
      </c>
      <c r="J19" s="28">
        <v>43.73</v>
      </c>
      <c r="K19" s="28">
        <v>43.83</v>
      </c>
      <c r="L19" s="28">
        <v>43.18</v>
      </c>
      <c r="M19" s="28">
        <v>50.59</v>
      </c>
      <c r="N19" s="28">
        <v>41.36</v>
      </c>
      <c r="O19" s="28">
        <v>56.05</v>
      </c>
      <c r="P19" s="28">
        <v>41.36</v>
      </c>
      <c r="Q19" s="28">
        <v>41.51</v>
      </c>
      <c r="S19" s="28">
        <v>36.6</v>
      </c>
      <c r="T19" s="28">
        <v>37.88</v>
      </c>
      <c r="U19" s="28">
        <v>43.06</v>
      </c>
      <c r="V19" s="28">
        <v>40.26</v>
      </c>
      <c r="W19" s="28">
        <v>37.61</v>
      </c>
      <c r="X19" s="28">
        <v>36.83</v>
      </c>
      <c r="Y19" s="28">
        <v>38.1</v>
      </c>
      <c r="Z19" s="28">
        <v>36.6</v>
      </c>
      <c r="AA19" s="28">
        <v>40.0</v>
      </c>
      <c r="AB19" s="28">
        <v>41.27</v>
      </c>
      <c r="AC19" s="28">
        <v>38.57</v>
      </c>
      <c r="AD19" s="28">
        <v>42.75</v>
      </c>
      <c r="AE19" s="28">
        <v>42.24</v>
      </c>
      <c r="AF19" s="28">
        <v>48.72</v>
      </c>
      <c r="AG19" s="28">
        <v>35.65</v>
      </c>
      <c r="AH19" s="28">
        <v>39.05</v>
      </c>
      <c r="AJ19" s="28">
        <v>35.07</v>
      </c>
      <c r="AK19" s="28">
        <v>51.21</v>
      </c>
      <c r="AL19" s="20">
        <v>47.58</v>
      </c>
      <c r="AM19" s="20">
        <v>54.67</v>
      </c>
      <c r="AN19" s="28">
        <v>32.5</v>
      </c>
      <c r="AO19" s="13">
        <v>44.86</v>
      </c>
      <c r="AP19" s="13">
        <v>41.31</v>
      </c>
      <c r="AQ19" s="13">
        <v>38.63</v>
      </c>
      <c r="AR19" s="13">
        <v>38.89</v>
      </c>
      <c r="AS19" s="13">
        <v>51.49</v>
      </c>
      <c r="AT19" s="13">
        <v>29.58</v>
      </c>
      <c r="AU19" s="13">
        <v>32.12</v>
      </c>
      <c r="AV19" s="13">
        <v>44.5</v>
      </c>
      <c r="AW19" s="13">
        <v>19.38</v>
      </c>
      <c r="AX19" s="13">
        <v>55.56</v>
      </c>
      <c r="AY19" s="13">
        <v>41.79</v>
      </c>
      <c r="AZ19" s="69"/>
      <c r="BA19" s="13">
        <v>37.79</v>
      </c>
      <c r="BB19" s="13">
        <v>40.05</v>
      </c>
      <c r="BC19" s="13">
        <v>44.29</v>
      </c>
      <c r="BD19" s="13">
        <v>37.48</v>
      </c>
      <c r="BE19" s="13">
        <v>32.7</v>
      </c>
      <c r="BF19" s="13">
        <v>40.46</v>
      </c>
      <c r="BG19" s="13">
        <v>42.74</v>
      </c>
      <c r="BH19" s="13">
        <v>36.11</v>
      </c>
      <c r="BI19" s="13">
        <v>33.63</v>
      </c>
      <c r="BJ19" s="13">
        <v>42.95</v>
      </c>
      <c r="BK19" s="13">
        <v>43.07</v>
      </c>
      <c r="BL19" s="13">
        <v>45.97</v>
      </c>
      <c r="BM19" s="13">
        <v>29.78</v>
      </c>
      <c r="BN19" s="13">
        <v>40.69</v>
      </c>
      <c r="BO19" s="13">
        <v>33.48</v>
      </c>
      <c r="BP19" s="13">
        <v>30.7</v>
      </c>
      <c r="BQ19" s="69"/>
      <c r="BR19" s="13">
        <v>42.51</v>
      </c>
      <c r="BS19" s="13">
        <v>39.73</v>
      </c>
      <c r="BT19" s="13">
        <v>43.94</v>
      </c>
      <c r="BU19" s="13">
        <v>49.21</v>
      </c>
      <c r="BV19" s="13">
        <v>38.96</v>
      </c>
      <c r="BW19" s="13">
        <v>51.45</v>
      </c>
      <c r="BX19" s="13">
        <v>40.51</v>
      </c>
      <c r="BY19" s="13">
        <v>42.51</v>
      </c>
      <c r="BZ19" s="13">
        <v>55.08</v>
      </c>
      <c r="CA19" s="13">
        <v>55.08</v>
      </c>
      <c r="CB19" s="13">
        <v>48.57</v>
      </c>
      <c r="CC19" s="13">
        <v>42.74</v>
      </c>
      <c r="CD19" s="13">
        <v>37.93</v>
      </c>
      <c r="CE19" s="13">
        <v>42.81</v>
      </c>
      <c r="CF19" s="13">
        <v>42.52</v>
      </c>
      <c r="CG19" s="13">
        <v>51.45</v>
      </c>
      <c r="CH19" s="69"/>
      <c r="CI19" s="69"/>
    </row>
    <row r="20">
      <c r="A20" s="69"/>
      <c r="B20" s="28">
        <v>41.51</v>
      </c>
      <c r="C20" s="28">
        <v>55.95</v>
      </c>
      <c r="D20" s="28">
        <v>41.51</v>
      </c>
      <c r="E20" s="28">
        <v>43.83</v>
      </c>
      <c r="F20" s="28">
        <v>43.83</v>
      </c>
      <c r="G20" s="28">
        <v>44.21</v>
      </c>
      <c r="H20" s="28">
        <v>53.04</v>
      </c>
      <c r="I20" s="28">
        <v>45.15</v>
      </c>
      <c r="J20" s="28">
        <v>50.59</v>
      </c>
      <c r="K20" s="28">
        <v>48.03</v>
      </c>
      <c r="L20" s="28">
        <v>55.42</v>
      </c>
      <c r="M20" s="28">
        <v>50.59</v>
      </c>
      <c r="N20" s="28">
        <v>55.42</v>
      </c>
      <c r="O20" s="28">
        <v>49.23</v>
      </c>
      <c r="P20" s="28">
        <v>43.73</v>
      </c>
      <c r="Q20" s="28">
        <v>43.73</v>
      </c>
      <c r="S20" s="28">
        <v>37.15</v>
      </c>
      <c r="T20" s="28">
        <v>34.44</v>
      </c>
      <c r="U20" s="28">
        <v>37.78</v>
      </c>
      <c r="V20" s="28">
        <v>36.6</v>
      </c>
      <c r="W20" s="28">
        <v>38.1</v>
      </c>
      <c r="X20" s="28">
        <v>40.26</v>
      </c>
      <c r="Y20" s="28">
        <v>32.59</v>
      </c>
      <c r="Z20" s="28">
        <v>41.27</v>
      </c>
      <c r="AA20" s="28">
        <v>43.06</v>
      </c>
      <c r="AB20" s="28">
        <v>35.32</v>
      </c>
      <c r="AC20" s="28">
        <v>40.26</v>
      </c>
      <c r="AD20" s="28">
        <v>31.52</v>
      </c>
      <c r="AE20" s="28">
        <v>38.99</v>
      </c>
      <c r="AF20" s="28">
        <v>32.35</v>
      </c>
      <c r="AG20" s="28">
        <v>43.06</v>
      </c>
      <c r="AH20" s="28">
        <v>48.72</v>
      </c>
      <c r="AJ20" s="28">
        <v>31.94</v>
      </c>
      <c r="AK20" s="28">
        <v>44.77</v>
      </c>
      <c r="AL20" s="20">
        <v>51.01</v>
      </c>
      <c r="AM20" s="20">
        <v>29.89</v>
      </c>
      <c r="AN20" s="28">
        <v>40.89</v>
      </c>
      <c r="AO20" s="13">
        <v>50.79</v>
      </c>
      <c r="AP20" s="13">
        <v>54.24</v>
      </c>
      <c r="AQ20" s="13">
        <v>29.33</v>
      </c>
      <c r="AR20" s="13">
        <v>48.77</v>
      </c>
      <c r="AS20" s="13">
        <v>38.41</v>
      </c>
      <c r="AT20" s="13">
        <v>35.82</v>
      </c>
      <c r="AU20" s="13">
        <v>44.34</v>
      </c>
      <c r="AV20" s="13">
        <v>42.22</v>
      </c>
      <c r="AW20" s="13">
        <v>35.56</v>
      </c>
      <c r="AX20" s="13">
        <v>39.23</v>
      </c>
      <c r="AY20" s="13">
        <v>28.48</v>
      </c>
      <c r="AZ20" s="69"/>
      <c r="BA20" s="13">
        <v>43.33</v>
      </c>
      <c r="BB20" s="13">
        <v>37.41</v>
      </c>
      <c r="BC20" s="13">
        <v>49.3</v>
      </c>
      <c r="BD20" s="13">
        <v>42.86</v>
      </c>
      <c r="BE20" s="13">
        <v>48.96</v>
      </c>
      <c r="BF20" s="13">
        <v>42.74</v>
      </c>
      <c r="BG20" s="13">
        <v>42.6</v>
      </c>
      <c r="BH20" s="13">
        <v>42.95</v>
      </c>
      <c r="BI20" s="13">
        <v>38.54</v>
      </c>
      <c r="BJ20" s="13">
        <v>43.33</v>
      </c>
      <c r="BK20" s="13">
        <v>31.43</v>
      </c>
      <c r="BL20" s="13">
        <v>38.54</v>
      </c>
      <c r="BM20" s="13">
        <v>43.33</v>
      </c>
      <c r="BN20" s="13">
        <v>39.87</v>
      </c>
      <c r="BO20" s="13">
        <v>35.44</v>
      </c>
      <c r="BP20" s="13">
        <v>37.48</v>
      </c>
      <c r="BQ20" s="69"/>
      <c r="BR20" s="13">
        <v>36.59</v>
      </c>
      <c r="BS20" s="13">
        <v>33.89</v>
      </c>
      <c r="BT20" s="13">
        <v>40.61</v>
      </c>
      <c r="BU20" s="13">
        <v>40.48</v>
      </c>
      <c r="BV20" s="13">
        <v>42.52</v>
      </c>
      <c r="BW20" s="13">
        <v>49.96</v>
      </c>
      <c r="BX20" s="13">
        <v>42.04</v>
      </c>
      <c r="BY20" s="13">
        <v>42.51</v>
      </c>
      <c r="BZ20" s="13">
        <v>40.8</v>
      </c>
      <c r="CA20" s="13">
        <v>59.08</v>
      </c>
      <c r="CB20" s="13">
        <v>40.48</v>
      </c>
      <c r="CC20" s="13">
        <v>42.99</v>
      </c>
      <c r="CD20" s="13">
        <v>42.51</v>
      </c>
      <c r="CE20" s="13">
        <v>37.46</v>
      </c>
      <c r="CF20" s="13">
        <v>55.43</v>
      </c>
      <c r="CG20" s="13">
        <v>43.37</v>
      </c>
      <c r="CH20" s="69"/>
      <c r="CI20" s="69"/>
    </row>
    <row r="21">
      <c r="A21" s="69"/>
      <c r="B21" s="28">
        <v>43.18</v>
      </c>
      <c r="C21" s="28">
        <v>43.83</v>
      </c>
      <c r="D21" s="28">
        <v>42.31</v>
      </c>
      <c r="E21" s="28">
        <v>43.83</v>
      </c>
      <c r="F21" s="28">
        <v>50.64</v>
      </c>
      <c r="G21" s="28">
        <v>53.04</v>
      </c>
      <c r="H21" s="28">
        <v>43.83</v>
      </c>
      <c r="I21" s="28">
        <v>53.09</v>
      </c>
      <c r="J21" s="28">
        <v>43.73</v>
      </c>
      <c r="K21" s="28">
        <v>53.09</v>
      </c>
      <c r="L21" s="28">
        <v>43.73</v>
      </c>
      <c r="M21" s="28">
        <v>42.31</v>
      </c>
      <c r="N21" s="28">
        <v>50.59</v>
      </c>
      <c r="O21" s="28">
        <v>49.23</v>
      </c>
      <c r="P21" s="28">
        <v>55.42</v>
      </c>
      <c r="Q21" s="28">
        <v>59.52</v>
      </c>
      <c r="S21" s="28">
        <v>36.59</v>
      </c>
      <c r="T21" s="28">
        <v>31.83</v>
      </c>
      <c r="U21" s="28">
        <v>39.61</v>
      </c>
      <c r="V21" s="28">
        <v>35.71</v>
      </c>
      <c r="W21" s="28">
        <v>38.89</v>
      </c>
      <c r="X21" s="28">
        <v>38.99</v>
      </c>
      <c r="Y21" s="28">
        <v>33.33</v>
      </c>
      <c r="Z21" s="28">
        <v>37.61</v>
      </c>
      <c r="AA21" s="28">
        <v>39.61</v>
      </c>
      <c r="AB21" s="28">
        <v>40.83</v>
      </c>
      <c r="AC21" s="28">
        <v>37.61</v>
      </c>
      <c r="AD21" s="28">
        <v>37.88</v>
      </c>
      <c r="AE21" s="28">
        <v>38.99</v>
      </c>
      <c r="AF21" s="28">
        <v>40.91</v>
      </c>
      <c r="AG21" s="28">
        <v>40.4</v>
      </c>
      <c r="AH21" s="28">
        <v>32.59</v>
      </c>
      <c r="AJ21" s="28">
        <v>44.59</v>
      </c>
      <c r="AK21" s="28">
        <v>36.98</v>
      </c>
      <c r="AL21" s="20">
        <v>37.21</v>
      </c>
      <c r="AM21" s="20">
        <v>38.49</v>
      </c>
      <c r="AN21" s="28">
        <v>29.16</v>
      </c>
      <c r="AO21" s="13">
        <v>44.82</v>
      </c>
      <c r="AP21" s="13">
        <v>57.49</v>
      </c>
      <c r="AQ21" s="13">
        <v>38.47</v>
      </c>
      <c r="AR21" s="13">
        <v>37.21</v>
      </c>
      <c r="AS21" s="13">
        <v>30.95</v>
      </c>
      <c r="AT21" s="13">
        <v>29.32</v>
      </c>
      <c r="AU21" s="13">
        <v>37.27</v>
      </c>
      <c r="AV21" s="13">
        <v>41.52</v>
      </c>
      <c r="AW21" s="13">
        <v>33.15</v>
      </c>
      <c r="AX21" s="13">
        <v>44.44</v>
      </c>
      <c r="AY21" s="13">
        <v>47.81</v>
      </c>
      <c r="AZ21" s="69"/>
      <c r="BA21" s="13">
        <v>38.54</v>
      </c>
      <c r="BB21" s="13">
        <v>42.26</v>
      </c>
      <c r="BC21" s="13">
        <v>41.84</v>
      </c>
      <c r="BD21" s="13">
        <v>43.5</v>
      </c>
      <c r="BE21" s="13">
        <v>44.28</v>
      </c>
      <c r="BF21" s="13">
        <v>42.58</v>
      </c>
      <c r="BG21" s="13">
        <v>44.69</v>
      </c>
      <c r="BH21" s="13">
        <v>40.15</v>
      </c>
      <c r="BI21" s="13">
        <v>36.2</v>
      </c>
      <c r="BJ21" s="13">
        <v>32.7</v>
      </c>
      <c r="BK21" s="13">
        <v>51.85</v>
      </c>
      <c r="BL21" s="13">
        <v>42.26</v>
      </c>
      <c r="BM21" s="13">
        <v>42.74</v>
      </c>
      <c r="BN21" s="13">
        <v>47.37</v>
      </c>
      <c r="BO21" s="13">
        <v>33.48</v>
      </c>
      <c r="BP21" s="13">
        <v>30.0</v>
      </c>
      <c r="BQ21" s="69"/>
      <c r="BR21" s="13">
        <v>45.53</v>
      </c>
      <c r="BS21" s="13">
        <v>40.51</v>
      </c>
      <c r="BT21" s="13">
        <v>44.44</v>
      </c>
      <c r="BU21" s="13">
        <v>40.51</v>
      </c>
      <c r="BV21" s="13">
        <v>40.8</v>
      </c>
      <c r="BW21" s="13">
        <v>60.11</v>
      </c>
      <c r="BX21" s="13">
        <v>36.8</v>
      </c>
      <c r="BY21" s="13">
        <v>42.85</v>
      </c>
      <c r="BZ21" s="13">
        <v>43.43</v>
      </c>
      <c r="CA21" s="13">
        <v>52.71</v>
      </c>
      <c r="CB21" s="13">
        <v>41.55</v>
      </c>
      <c r="CC21" s="13">
        <v>37.68</v>
      </c>
      <c r="CD21" s="13">
        <v>42.52</v>
      </c>
      <c r="CE21" s="13">
        <v>37.0</v>
      </c>
      <c r="CF21" s="13">
        <v>44.98</v>
      </c>
      <c r="CG21" s="13">
        <v>47.05</v>
      </c>
      <c r="CH21" s="69"/>
      <c r="CI21" s="69"/>
    </row>
    <row r="22">
      <c r="A22" s="69"/>
      <c r="B22" s="28">
        <v>48.21</v>
      </c>
      <c r="C22" s="28">
        <v>44.71</v>
      </c>
      <c r="D22" s="28">
        <v>42.31</v>
      </c>
      <c r="E22" s="28">
        <v>43.73</v>
      </c>
      <c r="F22" s="28">
        <v>42.32</v>
      </c>
      <c r="G22" s="28">
        <v>42.31</v>
      </c>
      <c r="H22" s="28">
        <v>41.2</v>
      </c>
      <c r="I22" s="28">
        <v>53.04</v>
      </c>
      <c r="J22" s="28">
        <v>53.04</v>
      </c>
      <c r="K22" s="28">
        <v>43.83</v>
      </c>
      <c r="L22" s="28">
        <v>55.42</v>
      </c>
      <c r="M22" s="28">
        <v>43.73</v>
      </c>
      <c r="N22" s="28">
        <v>43.73</v>
      </c>
      <c r="O22" s="28">
        <v>56.05</v>
      </c>
      <c r="P22" s="28">
        <v>50.64</v>
      </c>
      <c r="Q22" s="28">
        <v>43.83</v>
      </c>
      <c r="S22" s="28">
        <v>39.86</v>
      </c>
      <c r="T22" s="28">
        <v>36.6</v>
      </c>
      <c r="U22" s="28">
        <v>34.43</v>
      </c>
      <c r="V22" s="28">
        <v>35.57</v>
      </c>
      <c r="W22" s="28">
        <v>38.1</v>
      </c>
      <c r="X22" s="28">
        <v>37.88</v>
      </c>
      <c r="Y22" s="28">
        <v>34.44</v>
      </c>
      <c r="Z22" s="28">
        <v>37.61</v>
      </c>
      <c r="AA22" s="28">
        <v>40.26</v>
      </c>
      <c r="AB22" s="28">
        <v>39.05</v>
      </c>
      <c r="AC22" s="28">
        <v>39.86</v>
      </c>
      <c r="AD22" s="28">
        <v>39.63</v>
      </c>
      <c r="AE22" s="28">
        <v>38.99</v>
      </c>
      <c r="AF22" s="28">
        <v>48.15</v>
      </c>
      <c r="AG22" s="28">
        <v>37.04</v>
      </c>
      <c r="AH22" s="28">
        <v>40.0</v>
      </c>
      <c r="AJ22" s="28">
        <v>32.64</v>
      </c>
      <c r="AK22" s="28">
        <v>38.64</v>
      </c>
      <c r="AL22" s="20">
        <v>35.46</v>
      </c>
      <c r="AM22" s="20">
        <v>47.7</v>
      </c>
      <c r="AN22" s="28">
        <v>41.77</v>
      </c>
      <c r="AO22" s="13">
        <v>37.21</v>
      </c>
      <c r="AP22" s="13">
        <v>37.21</v>
      </c>
      <c r="AQ22" s="13">
        <v>29.32</v>
      </c>
      <c r="AR22" s="13">
        <v>47.73</v>
      </c>
      <c r="AS22" s="13">
        <v>44.6</v>
      </c>
      <c r="AT22" s="13">
        <v>46.18</v>
      </c>
      <c r="AU22" s="13">
        <v>35.16</v>
      </c>
      <c r="AV22" s="13">
        <v>41.5</v>
      </c>
      <c r="AW22" s="13">
        <v>38.64</v>
      </c>
      <c r="AX22" s="13">
        <v>36.39</v>
      </c>
      <c r="AY22" s="13">
        <v>51.11</v>
      </c>
      <c r="AZ22" s="69"/>
      <c r="BA22" s="13">
        <v>54.55</v>
      </c>
      <c r="BB22" s="13">
        <v>34.85</v>
      </c>
      <c r="BC22" s="13">
        <v>39.52</v>
      </c>
      <c r="BD22" s="13">
        <v>32.7</v>
      </c>
      <c r="BE22" s="13">
        <v>29.33</v>
      </c>
      <c r="BF22" s="13">
        <v>43.42</v>
      </c>
      <c r="BG22" s="13">
        <v>43.33</v>
      </c>
      <c r="BH22" s="13">
        <v>32.43</v>
      </c>
      <c r="BI22" s="13">
        <v>43.33</v>
      </c>
      <c r="BJ22" s="13">
        <v>50.29</v>
      </c>
      <c r="BK22" s="13">
        <v>36.11</v>
      </c>
      <c r="BL22" s="13">
        <v>38.1</v>
      </c>
      <c r="BM22" s="13">
        <v>32.7</v>
      </c>
      <c r="BN22" s="13">
        <v>39.59</v>
      </c>
      <c r="BO22" s="13">
        <v>37.04</v>
      </c>
      <c r="BP22" s="13">
        <v>33.48</v>
      </c>
      <c r="BQ22" s="69"/>
      <c r="BR22" s="13">
        <v>37.5</v>
      </c>
      <c r="BS22" s="13">
        <v>49.21</v>
      </c>
      <c r="BT22" s="13">
        <v>59.55</v>
      </c>
      <c r="BU22" s="13">
        <v>36.59</v>
      </c>
      <c r="BV22" s="13">
        <v>43.37</v>
      </c>
      <c r="BW22" s="13">
        <v>40.89</v>
      </c>
      <c r="BX22" s="13">
        <v>50.52</v>
      </c>
      <c r="BY22" s="13">
        <v>49.21</v>
      </c>
      <c r="BZ22" s="13">
        <v>42.51</v>
      </c>
      <c r="CA22" s="13">
        <v>50.52</v>
      </c>
      <c r="CB22" s="13">
        <v>47.56</v>
      </c>
      <c r="CC22" s="13">
        <v>37.68</v>
      </c>
      <c r="CD22" s="13">
        <v>43.37</v>
      </c>
      <c r="CE22" s="13">
        <v>41.38</v>
      </c>
      <c r="CF22" s="13">
        <v>49.59</v>
      </c>
      <c r="CG22" s="13">
        <v>43.94</v>
      </c>
      <c r="CH22" s="69"/>
      <c r="CI22" s="69"/>
    </row>
    <row r="23">
      <c r="A23" s="69"/>
      <c r="B23" s="28">
        <v>43.83</v>
      </c>
      <c r="C23" s="28">
        <v>53.09</v>
      </c>
      <c r="D23" s="28">
        <v>43.83</v>
      </c>
      <c r="E23" s="28">
        <v>50.59</v>
      </c>
      <c r="F23" s="28">
        <v>41.51</v>
      </c>
      <c r="G23" s="28">
        <v>42.31</v>
      </c>
      <c r="H23" s="28">
        <v>43.83</v>
      </c>
      <c r="I23" s="28">
        <v>61.59</v>
      </c>
      <c r="J23" s="28">
        <v>43.83</v>
      </c>
      <c r="K23" s="28">
        <v>43.83</v>
      </c>
      <c r="L23" s="28">
        <v>53.21</v>
      </c>
      <c r="M23" s="28">
        <v>40.79</v>
      </c>
      <c r="N23" s="28">
        <v>43.83</v>
      </c>
      <c r="O23" s="28">
        <v>46.86</v>
      </c>
      <c r="P23" s="28">
        <v>41.36</v>
      </c>
      <c r="Q23" s="28">
        <v>42.31</v>
      </c>
      <c r="S23" s="28">
        <v>41.67</v>
      </c>
      <c r="T23" s="28">
        <v>37.61</v>
      </c>
      <c r="U23" s="28">
        <v>30.95</v>
      </c>
      <c r="V23" s="28">
        <v>39.86</v>
      </c>
      <c r="W23" s="28">
        <v>38.89</v>
      </c>
      <c r="X23" s="28">
        <v>38.99</v>
      </c>
      <c r="Y23" s="28">
        <v>35.57</v>
      </c>
      <c r="Z23" s="28">
        <v>37.61</v>
      </c>
      <c r="AA23" s="28">
        <v>31.52</v>
      </c>
      <c r="AB23" s="28">
        <v>39.61</v>
      </c>
      <c r="AC23" s="28">
        <v>38.57</v>
      </c>
      <c r="AD23" s="28">
        <v>39.63</v>
      </c>
      <c r="AE23" s="28">
        <v>38.57</v>
      </c>
      <c r="AF23" s="28">
        <v>40.91</v>
      </c>
      <c r="AG23" s="28">
        <v>33.23</v>
      </c>
      <c r="AH23" s="28">
        <v>35.71</v>
      </c>
      <c r="AJ23" s="28">
        <v>32.12</v>
      </c>
      <c r="AK23" s="28">
        <v>44.5</v>
      </c>
      <c r="AL23" s="20">
        <v>41.93</v>
      </c>
      <c r="AM23" s="20">
        <v>44.44</v>
      </c>
      <c r="AN23" s="28">
        <v>47.26</v>
      </c>
      <c r="AO23" s="13">
        <v>42.22</v>
      </c>
      <c r="AP23" s="13">
        <v>31.75</v>
      </c>
      <c r="AQ23" s="13">
        <v>35.82</v>
      </c>
      <c r="AR23" s="13">
        <v>41.6</v>
      </c>
      <c r="AS23" s="13">
        <v>38.47</v>
      </c>
      <c r="AT23" s="13">
        <v>35.83</v>
      </c>
      <c r="AU23" s="13">
        <v>48.29</v>
      </c>
      <c r="AV23" s="13">
        <v>31.02</v>
      </c>
      <c r="AW23" s="13">
        <v>30.83</v>
      </c>
      <c r="AX23" s="13">
        <v>48.41</v>
      </c>
      <c r="AY23" s="13">
        <v>57.83</v>
      </c>
      <c r="AZ23" s="69"/>
      <c r="BA23" s="13">
        <v>43.07</v>
      </c>
      <c r="BB23" s="13">
        <v>40.6</v>
      </c>
      <c r="BC23" s="13">
        <v>37.04</v>
      </c>
      <c r="BD23" s="13">
        <v>38.54</v>
      </c>
      <c r="BE23" s="13">
        <v>40.46</v>
      </c>
      <c r="BF23" s="13">
        <v>45.59</v>
      </c>
      <c r="BG23" s="13">
        <v>45.97</v>
      </c>
      <c r="BH23" s="13">
        <v>44.75</v>
      </c>
      <c r="BI23" s="13">
        <v>31.28</v>
      </c>
      <c r="BJ23" s="13">
        <v>39.56</v>
      </c>
      <c r="BK23" s="13">
        <v>34.44</v>
      </c>
      <c r="BL23" s="13">
        <v>38.54</v>
      </c>
      <c r="BM23" s="13">
        <v>32.7</v>
      </c>
      <c r="BN23" s="13">
        <v>51.02</v>
      </c>
      <c r="BO23" s="13">
        <v>32.7</v>
      </c>
      <c r="BP23" s="13">
        <v>43.5</v>
      </c>
      <c r="BQ23" s="69"/>
      <c r="BR23" s="13">
        <v>49.94</v>
      </c>
      <c r="BS23" s="13">
        <v>45.53</v>
      </c>
      <c r="BT23" s="13">
        <v>51.45</v>
      </c>
      <c r="BU23" s="13">
        <v>42.74</v>
      </c>
      <c r="BV23" s="13">
        <v>45.02</v>
      </c>
      <c r="BW23" s="13">
        <v>42.52</v>
      </c>
      <c r="BX23" s="13">
        <v>43.41</v>
      </c>
      <c r="BY23" s="13">
        <v>37.68</v>
      </c>
      <c r="BZ23" s="13">
        <v>42.51</v>
      </c>
      <c r="CA23" s="13">
        <v>40.51</v>
      </c>
      <c r="CB23" s="13">
        <v>41.16</v>
      </c>
      <c r="CC23" s="13">
        <v>44.53</v>
      </c>
      <c r="CD23" s="13">
        <v>39.61</v>
      </c>
      <c r="CE23" s="13">
        <v>45.85</v>
      </c>
      <c r="CF23" s="13">
        <v>42.51</v>
      </c>
      <c r="CG23" s="13">
        <v>49.85</v>
      </c>
      <c r="CH23" s="69"/>
      <c r="CI23" s="69"/>
    </row>
    <row r="24">
      <c r="A24" s="69"/>
      <c r="B24" s="28">
        <v>40.79</v>
      </c>
      <c r="C24" s="28">
        <v>50.83</v>
      </c>
      <c r="D24" s="28">
        <v>43.73</v>
      </c>
      <c r="E24" s="28">
        <v>43.73</v>
      </c>
      <c r="F24" s="28">
        <v>43.83</v>
      </c>
      <c r="G24" s="28">
        <v>43.83</v>
      </c>
      <c r="H24" s="28">
        <v>43.83</v>
      </c>
      <c r="I24" s="28">
        <v>44.7</v>
      </c>
      <c r="J24" s="28">
        <v>53.42</v>
      </c>
      <c r="K24" s="28">
        <v>62.01</v>
      </c>
      <c r="L24" s="28">
        <v>43.83</v>
      </c>
      <c r="M24" s="28">
        <v>44.71</v>
      </c>
      <c r="N24" s="28">
        <v>43.83</v>
      </c>
      <c r="O24" s="28">
        <v>56.35</v>
      </c>
      <c r="P24" s="28">
        <v>42.24</v>
      </c>
      <c r="Q24" s="28">
        <v>43.83</v>
      </c>
      <c r="S24" s="28">
        <v>35.67</v>
      </c>
      <c r="T24" s="28">
        <v>35.67</v>
      </c>
      <c r="U24" s="28">
        <v>40.0</v>
      </c>
      <c r="V24" s="28">
        <v>38.57</v>
      </c>
      <c r="W24" s="28">
        <v>33.33</v>
      </c>
      <c r="X24" s="28">
        <v>32.93</v>
      </c>
      <c r="Y24" s="28">
        <v>36.59</v>
      </c>
      <c r="Z24" s="28">
        <v>43.7</v>
      </c>
      <c r="AA24" s="28">
        <v>33.33</v>
      </c>
      <c r="AB24" s="28">
        <v>42.22</v>
      </c>
      <c r="AC24" s="28">
        <v>38.89</v>
      </c>
      <c r="AD24" s="28">
        <v>39.63</v>
      </c>
      <c r="AE24" s="28">
        <v>38.99</v>
      </c>
      <c r="AF24" s="28">
        <v>38.1</v>
      </c>
      <c r="AG24" s="28">
        <v>39.63</v>
      </c>
      <c r="AH24" s="28">
        <v>39.56</v>
      </c>
      <c r="AJ24" s="28">
        <v>19.38</v>
      </c>
      <c r="AK24" s="28">
        <v>42.85</v>
      </c>
      <c r="AL24" s="20">
        <v>35.25</v>
      </c>
      <c r="AM24" s="20">
        <v>36.42</v>
      </c>
      <c r="AN24" s="28">
        <v>50.26</v>
      </c>
      <c r="AO24" s="13">
        <v>47.52</v>
      </c>
      <c r="AP24" s="13">
        <v>44.55</v>
      </c>
      <c r="AQ24" s="13">
        <v>31.81</v>
      </c>
      <c r="AR24" s="13">
        <v>35.32</v>
      </c>
      <c r="AS24" s="13">
        <v>50.92</v>
      </c>
      <c r="AT24" s="13">
        <v>37.32</v>
      </c>
      <c r="AU24" s="13">
        <v>47.58</v>
      </c>
      <c r="AV24" s="13">
        <v>41.52</v>
      </c>
      <c r="AW24" s="13">
        <v>30.95</v>
      </c>
      <c r="AX24" s="13">
        <v>44.36</v>
      </c>
      <c r="AY24" s="13">
        <v>32.82</v>
      </c>
      <c r="AZ24" s="69"/>
      <c r="BA24" s="13">
        <v>37.46</v>
      </c>
      <c r="BB24" s="13">
        <v>43.98</v>
      </c>
      <c r="BC24" s="13">
        <v>33.48</v>
      </c>
      <c r="BD24" s="13">
        <v>31.99</v>
      </c>
      <c r="BE24" s="13">
        <v>31.48</v>
      </c>
      <c r="BF24" s="13">
        <v>39.91</v>
      </c>
      <c r="BG24" s="13">
        <v>32.7</v>
      </c>
      <c r="BH24" s="13">
        <v>36.22</v>
      </c>
      <c r="BI24" s="13">
        <v>42.26</v>
      </c>
      <c r="BJ24" s="13">
        <v>39.54</v>
      </c>
      <c r="BK24" s="13">
        <v>44.75</v>
      </c>
      <c r="BL24" s="13">
        <v>31.48</v>
      </c>
      <c r="BM24" s="13">
        <v>32.97</v>
      </c>
      <c r="BN24" s="13">
        <v>47.2</v>
      </c>
      <c r="BO24" s="13">
        <v>30.0</v>
      </c>
      <c r="BP24" s="13">
        <v>36.79</v>
      </c>
      <c r="BQ24" s="69"/>
      <c r="BR24" s="13">
        <v>37.95</v>
      </c>
      <c r="BS24" s="13">
        <v>36.59</v>
      </c>
      <c r="BT24" s="13">
        <v>46.36</v>
      </c>
      <c r="BU24" s="13">
        <v>38.8</v>
      </c>
      <c r="BV24" s="13">
        <v>43.44</v>
      </c>
      <c r="BW24" s="13">
        <v>40.89</v>
      </c>
      <c r="BX24" s="13">
        <v>42.81</v>
      </c>
      <c r="BY24" s="13">
        <v>39.73</v>
      </c>
      <c r="BZ24" s="13">
        <v>38.96</v>
      </c>
      <c r="CA24" s="13">
        <v>41.55</v>
      </c>
      <c r="CB24" s="13">
        <v>38.8</v>
      </c>
      <c r="CC24" s="13">
        <v>44.66</v>
      </c>
      <c r="CD24" s="13">
        <v>45.02</v>
      </c>
      <c r="CE24" s="13">
        <v>47.32</v>
      </c>
      <c r="CF24" s="13">
        <v>39.88</v>
      </c>
      <c r="CG24" s="13">
        <v>42.81</v>
      </c>
      <c r="CH24" s="69"/>
      <c r="CI24" s="69"/>
    </row>
    <row r="25">
      <c r="A25" s="69"/>
      <c r="AJ25" s="17"/>
    </row>
    <row r="26">
      <c r="A26" s="69"/>
      <c r="B26" s="265">
        <v>42.416999999999994</v>
      </c>
      <c r="C26" s="265">
        <v>42.9755</v>
      </c>
      <c r="D26" s="109">
        <v>42.928000000000004</v>
      </c>
      <c r="E26" s="109">
        <v>42.8075</v>
      </c>
      <c r="F26" s="109">
        <v>42.17299999999999</v>
      </c>
      <c r="G26" s="109">
        <v>44.4</v>
      </c>
      <c r="H26" s="109">
        <v>43.9905</v>
      </c>
      <c r="I26" s="109">
        <v>43.114</v>
      </c>
      <c r="J26" s="109">
        <v>43.4975</v>
      </c>
      <c r="K26" s="109">
        <v>44.456</v>
      </c>
      <c r="L26" s="109">
        <v>42.32949999999999</v>
      </c>
      <c r="M26" s="109">
        <v>40.397999999999996</v>
      </c>
      <c r="N26" s="109">
        <v>41.48</v>
      </c>
      <c r="O26" s="109">
        <v>43.54600000000001</v>
      </c>
      <c r="P26" s="109">
        <v>45.374</v>
      </c>
      <c r="Q26" s="109">
        <v>44.667500000000004</v>
      </c>
      <c r="R26" s="109"/>
    </row>
    <row r="27">
      <c r="A27" s="69"/>
      <c r="B27" s="69"/>
      <c r="C27" s="69"/>
    </row>
    <row r="28">
      <c r="A28" s="266" t="s">
        <v>448</v>
      </c>
      <c r="B28" s="267" t="s">
        <v>44</v>
      </c>
      <c r="C28" s="267" t="s">
        <v>316</v>
      </c>
      <c r="D28" s="267" t="s">
        <v>355</v>
      </c>
      <c r="E28" s="267" t="s">
        <v>357</v>
      </c>
      <c r="F28" s="267" t="s">
        <v>359</v>
      </c>
      <c r="G28" s="268" t="s">
        <v>209</v>
      </c>
      <c r="J28" s="28" t="s">
        <v>44</v>
      </c>
      <c r="K28" s="28" t="s">
        <v>316</v>
      </c>
      <c r="L28" s="28" t="s">
        <v>355</v>
      </c>
      <c r="M28" s="28" t="s">
        <v>357</v>
      </c>
      <c r="N28" s="28" t="s">
        <v>359</v>
      </c>
      <c r="O28" s="28" t="s">
        <v>209</v>
      </c>
      <c r="Q28" s="269" t="s">
        <v>449</v>
      </c>
      <c r="R28" s="270" t="s">
        <v>44</v>
      </c>
      <c r="S28" s="270" t="s">
        <v>316</v>
      </c>
      <c r="T28" s="270" t="s">
        <v>355</v>
      </c>
      <c r="U28" s="270" t="s">
        <v>357</v>
      </c>
      <c r="V28" s="270" t="s">
        <v>359</v>
      </c>
      <c r="W28" s="270" t="s">
        <v>209</v>
      </c>
      <c r="X28" s="271" t="s">
        <v>358</v>
      </c>
    </row>
    <row r="29">
      <c r="A29" s="459" t="s">
        <v>438</v>
      </c>
      <c r="B29" s="460">
        <v>46.715500000000006</v>
      </c>
      <c r="C29" s="460">
        <v>38.2205</v>
      </c>
      <c r="D29" s="460">
        <v>44.9875</v>
      </c>
      <c r="E29" s="460">
        <v>41.78500000000001</v>
      </c>
      <c r="F29" s="460">
        <v>43.9905</v>
      </c>
      <c r="G29" s="278">
        <f t="shared" ref="G29:G44" si="13">AVERAGE(B29:F29)</f>
        <v>43.1398</v>
      </c>
      <c r="I29" s="28" t="s">
        <v>199</v>
      </c>
      <c r="J29" s="40">
        <f t="shared" ref="J29:N29" si="11">B$52*B29+B$53</f>
        <v>0.5050765267</v>
      </c>
      <c r="K29" s="40">
        <f t="shared" si="11"/>
        <v>0.5205455499</v>
      </c>
      <c r="L29" s="40">
        <f t="shared" si="11"/>
        <v>1</v>
      </c>
      <c r="M29" s="40">
        <f t="shared" si="11"/>
        <v>0.8914223153</v>
      </c>
      <c r="N29" s="40">
        <f t="shared" si="11"/>
        <v>0.7219654341</v>
      </c>
      <c r="O29" s="40">
        <f t="shared" ref="O29:O44" si="15">AVERAGE(J29:N29)</f>
        <v>0.7278019652</v>
      </c>
      <c r="Q29" s="461" t="s">
        <v>438</v>
      </c>
      <c r="R29" s="303">
        <v>0.5050765267464783</v>
      </c>
      <c r="S29" s="462">
        <v>0.5205455499213123</v>
      </c>
      <c r="T29" s="282">
        <v>1.0</v>
      </c>
      <c r="U29" s="463">
        <v>0.8914223153084544</v>
      </c>
      <c r="V29" s="464">
        <v>0.7219654340836019</v>
      </c>
      <c r="W29" s="282">
        <v>0.7278019652119694</v>
      </c>
      <c r="X29" s="465">
        <f t="shared" ref="X29:X44" si="16">STDEV(R29:V29)</f>
        <v>0.2199200405</v>
      </c>
      <c r="AA29" s="466">
        <f t="shared" ref="AA29:AE29" si="12">R29+R31+R33+R34</f>
        <v>2.735717533</v>
      </c>
      <c r="AB29" s="466">
        <f t="shared" si="12"/>
        <v>1.877426123</v>
      </c>
      <c r="AC29" s="466">
        <f t="shared" si="12"/>
        <v>2.723284101</v>
      </c>
      <c r="AD29" s="466">
        <f t="shared" si="12"/>
        <v>2.967678979</v>
      </c>
      <c r="AE29" s="466">
        <f t="shared" si="12"/>
        <v>2.83551045</v>
      </c>
    </row>
    <row r="30">
      <c r="A30" s="467" t="s">
        <v>439</v>
      </c>
      <c r="B30" s="468">
        <v>47.93000000000001</v>
      </c>
      <c r="C30" s="468">
        <v>37.914</v>
      </c>
      <c r="D30" s="468">
        <v>40.967000000000006</v>
      </c>
      <c r="E30" s="468">
        <v>41.7855</v>
      </c>
      <c r="F30" s="468">
        <v>44.456</v>
      </c>
      <c r="G30" s="469">
        <f t="shared" si="13"/>
        <v>42.6105</v>
      </c>
      <c r="I30" s="28" t="s">
        <v>51</v>
      </c>
      <c r="J30" s="40">
        <f t="shared" ref="J30:N30" si="14">B$52*B30+B$53</f>
        <v>0.6891195636</v>
      </c>
      <c r="K30" s="40">
        <f t="shared" si="14"/>
        <v>0.4133589788</v>
      </c>
      <c r="L30" s="40">
        <f t="shared" si="14"/>
        <v>0.6824500434</v>
      </c>
      <c r="M30" s="40">
        <f t="shared" si="14"/>
        <v>0.8914699162</v>
      </c>
      <c r="N30" s="40">
        <f t="shared" si="14"/>
        <v>0.8155144695</v>
      </c>
      <c r="O30" s="40">
        <f t="shared" si="15"/>
        <v>0.6983825943</v>
      </c>
      <c r="Q30" s="470" t="s">
        <v>439</v>
      </c>
      <c r="R30" s="471">
        <v>0.6891195635702401</v>
      </c>
      <c r="S30" s="472">
        <v>0.413358978842453</v>
      </c>
      <c r="T30" s="359">
        <v>0.682450043440487</v>
      </c>
      <c r="U30" s="463">
        <v>0.8914699162223907</v>
      </c>
      <c r="V30" s="473">
        <v>0.8155144694533778</v>
      </c>
      <c r="W30" s="474">
        <v>0.6983825943057898</v>
      </c>
      <c r="X30" s="475">
        <f t="shared" si="16"/>
        <v>0.1820581647</v>
      </c>
      <c r="Z30" s="40" t="s">
        <v>438</v>
      </c>
      <c r="AA30" s="296">
        <f t="shared" ref="AA30:AE30" si="17">R29/AA$29</f>
        <v>0.1846230543</v>
      </c>
      <c r="AB30" s="296">
        <f t="shared" si="17"/>
        <v>0.2772655304</v>
      </c>
      <c r="AC30" s="296">
        <f t="shared" si="17"/>
        <v>0.3672037007</v>
      </c>
      <c r="AD30" s="296">
        <f t="shared" si="17"/>
        <v>0.3003769348</v>
      </c>
      <c r="AE30" s="296">
        <f t="shared" si="17"/>
        <v>0.2546156845</v>
      </c>
    </row>
    <row r="31">
      <c r="A31" s="459" t="s">
        <v>437</v>
      </c>
      <c r="B31" s="460">
        <v>45.01349999999999</v>
      </c>
      <c r="C31" s="460">
        <v>38.221500000000006</v>
      </c>
      <c r="D31" s="460">
        <v>41.758</v>
      </c>
      <c r="E31" s="460">
        <v>42.92550000000001</v>
      </c>
      <c r="F31" s="460">
        <v>44.4</v>
      </c>
      <c r="G31" s="476">
        <f t="shared" si="13"/>
        <v>42.4637</v>
      </c>
      <c r="I31" s="28" t="s">
        <v>432</v>
      </c>
      <c r="J31" s="40">
        <f t="shared" ref="J31:N31" si="18">B$52*B31+B$53</f>
        <v>0.2471586604</v>
      </c>
      <c r="K31" s="40">
        <f t="shared" si="18"/>
        <v>0.5208952614</v>
      </c>
      <c r="L31" s="40">
        <f t="shared" si="18"/>
        <v>0.7449253613</v>
      </c>
      <c r="M31" s="40">
        <f t="shared" si="18"/>
        <v>1</v>
      </c>
      <c r="N31" s="40">
        <f t="shared" si="18"/>
        <v>0.8042604502</v>
      </c>
      <c r="O31" s="40">
        <f t="shared" si="15"/>
        <v>0.6634479467</v>
      </c>
      <c r="Q31" s="461" t="s">
        <v>445</v>
      </c>
      <c r="R31" s="377">
        <v>0.6841188058796792</v>
      </c>
      <c r="S31" s="477">
        <v>0.4623185871655888</v>
      </c>
      <c r="T31" s="344">
        <v>0.826435510623174</v>
      </c>
      <c r="U31" s="478">
        <v>0.5551694592536172</v>
      </c>
      <c r="V31" s="479">
        <v>0.8580184887459819</v>
      </c>
      <c r="W31" s="480">
        <v>0.6772121703336083</v>
      </c>
      <c r="X31" s="481">
        <f t="shared" si="16"/>
        <v>0.1703525074</v>
      </c>
      <c r="Z31" s="40" t="s">
        <v>445</v>
      </c>
      <c r="AA31" s="296">
        <f t="shared" ref="AA31:AE31" si="19">R31/AA$29</f>
        <v>0.2500692406</v>
      </c>
      <c r="AB31" s="296">
        <f t="shared" si="19"/>
        <v>0.2462512806</v>
      </c>
      <c r="AC31" s="296">
        <f t="shared" si="19"/>
        <v>0.3034701779</v>
      </c>
      <c r="AD31" s="296">
        <f t="shared" si="19"/>
        <v>0.1870719384</v>
      </c>
      <c r="AE31" s="296">
        <f t="shared" si="19"/>
        <v>0.3025975407</v>
      </c>
      <c r="AL31" s="28"/>
      <c r="AM31" s="28"/>
    </row>
    <row r="32">
      <c r="A32" s="467" t="s">
        <v>445</v>
      </c>
      <c r="B32" s="468">
        <v>47.897</v>
      </c>
      <c r="C32" s="468">
        <v>38.05400000000001</v>
      </c>
      <c r="D32" s="468">
        <v>42.790000000000006</v>
      </c>
      <c r="E32" s="468">
        <v>38.253</v>
      </c>
      <c r="F32" s="468">
        <v>44.667500000000004</v>
      </c>
      <c r="G32" s="482">
        <f t="shared" si="13"/>
        <v>42.3323</v>
      </c>
      <c r="I32" s="28" t="s">
        <v>52</v>
      </c>
      <c r="J32" s="40">
        <f t="shared" ref="J32:N32" si="20">B$52*B32+B$53</f>
        <v>0.6841188059</v>
      </c>
      <c r="K32" s="40">
        <f t="shared" si="20"/>
        <v>0.4623185872</v>
      </c>
      <c r="L32" s="40">
        <f t="shared" si="20"/>
        <v>0.8264355106</v>
      </c>
      <c r="M32" s="40">
        <f t="shared" si="20"/>
        <v>0.5551694593</v>
      </c>
      <c r="N32" s="40">
        <f t="shared" si="20"/>
        <v>0.8580184887</v>
      </c>
      <c r="O32" s="40">
        <f t="shared" si="15"/>
        <v>0.6772121703</v>
      </c>
      <c r="Q32" s="470" t="s">
        <v>437</v>
      </c>
      <c r="R32" s="433">
        <v>0.24715866040309198</v>
      </c>
      <c r="S32" s="462">
        <v>0.5208952614093363</v>
      </c>
      <c r="T32" s="483">
        <v>0.7449253613458655</v>
      </c>
      <c r="U32" s="282">
        <v>1.0</v>
      </c>
      <c r="V32" s="484">
        <v>0.804260450160772</v>
      </c>
      <c r="W32" s="485">
        <v>0.6634479466638131</v>
      </c>
      <c r="X32" s="486">
        <f t="shared" si="16"/>
        <v>0.2886832402</v>
      </c>
      <c r="Z32" s="40" t="s">
        <v>443</v>
      </c>
      <c r="AA32" s="296">
        <f t="shared" ref="AA32:AE32" si="21">R33/AA$29</f>
        <v>0.3655348142</v>
      </c>
      <c r="AB32" s="296">
        <f t="shared" si="21"/>
        <v>0.3864207879</v>
      </c>
      <c r="AC32" s="296">
        <f t="shared" si="21"/>
        <v>0</v>
      </c>
      <c r="AD32" s="296">
        <f t="shared" si="21"/>
        <v>0.2977624509</v>
      </c>
      <c r="AE32" s="296">
        <f t="shared" si="21"/>
        <v>0.2231120876</v>
      </c>
    </row>
    <row r="33">
      <c r="A33" s="459" t="s">
        <v>387</v>
      </c>
      <c r="B33" s="460">
        <v>46.989</v>
      </c>
      <c r="C33" s="460">
        <v>37.2155</v>
      </c>
      <c r="D33" s="460">
        <v>43.68150000000001</v>
      </c>
      <c r="E33" s="460">
        <v>39.117000000000004</v>
      </c>
      <c r="F33" s="460">
        <v>43.4975</v>
      </c>
      <c r="G33" s="487">
        <f t="shared" si="13"/>
        <v>42.1001</v>
      </c>
      <c r="I33" s="28" t="s">
        <v>436</v>
      </c>
      <c r="J33" s="40">
        <f t="shared" ref="J33:N33" si="22">B$52*B33+B$53</f>
        <v>0.5465222003</v>
      </c>
      <c r="K33" s="40">
        <f t="shared" si="22"/>
        <v>0.1690855045</v>
      </c>
      <c r="L33" s="40">
        <f t="shared" si="22"/>
        <v>0.8968485902</v>
      </c>
      <c r="M33" s="40">
        <f t="shared" si="22"/>
        <v>0.6374238385</v>
      </c>
      <c r="N33" s="40">
        <f t="shared" si="22"/>
        <v>0.6228898714</v>
      </c>
      <c r="O33" s="40">
        <f t="shared" si="15"/>
        <v>0.574554001</v>
      </c>
      <c r="Q33" s="461" t="s">
        <v>443</v>
      </c>
      <c r="R33" s="282">
        <v>1.0</v>
      </c>
      <c r="S33" s="464">
        <v>0.725476481902426</v>
      </c>
      <c r="T33" s="294">
        <v>0.0</v>
      </c>
      <c r="U33" s="488">
        <v>0.8836633663366338</v>
      </c>
      <c r="V33" s="489">
        <v>0.6326366559485557</v>
      </c>
      <c r="W33" s="355">
        <v>0.6483553008375231</v>
      </c>
      <c r="X33" s="490">
        <f t="shared" si="16"/>
        <v>0.3890961413</v>
      </c>
      <c r="Z33" s="40" t="s">
        <v>387</v>
      </c>
      <c r="AA33" s="296">
        <f t="shared" ref="AA33:AE33" si="23">R34/AA$29</f>
        <v>0.1997728909</v>
      </c>
      <c r="AB33" s="296">
        <f t="shared" si="23"/>
        <v>0.09006240104</v>
      </c>
      <c r="AC33" s="296">
        <f t="shared" si="23"/>
        <v>0.3293261213</v>
      </c>
      <c r="AD33" s="296">
        <f t="shared" si="23"/>
        <v>0.2147886759</v>
      </c>
      <c r="AE33" s="296">
        <f t="shared" si="23"/>
        <v>0.2196746873</v>
      </c>
    </row>
    <row r="34">
      <c r="A34" s="467" t="s">
        <v>432</v>
      </c>
      <c r="B34" s="468">
        <v>46.6455</v>
      </c>
      <c r="C34" s="468">
        <v>37.9485</v>
      </c>
      <c r="D34" s="468">
        <v>41.493</v>
      </c>
      <c r="E34" s="468">
        <v>39.624</v>
      </c>
      <c r="F34" s="468">
        <v>42.928000000000004</v>
      </c>
      <c r="G34" s="491">
        <f t="shared" si="13"/>
        <v>41.7278</v>
      </c>
      <c r="I34" s="28" t="s">
        <v>437</v>
      </c>
      <c r="J34" s="40">
        <f t="shared" ref="J34:N34" si="24">B$52*B34+B$53</f>
        <v>0.4944688589</v>
      </c>
      <c r="K34" s="40">
        <f t="shared" si="24"/>
        <v>0.4254240252</v>
      </c>
      <c r="L34" s="40">
        <f t="shared" si="24"/>
        <v>0.7239949451</v>
      </c>
      <c r="M34" s="40">
        <f t="shared" si="24"/>
        <v>0.6856911653</v>
      </c>
      <c r="N34" s="40">
        <f t="shared" si="24"/>
        <v>0.5084405145</v>
      </c>
      <c r="O34" s="40">
        <f t="shared" si="15"/>
        <v>0.5676039018</v>
      </c>
      <c r="Q34" s="461" t="s">
        <v>387</v>
      </c>
      <c r="R34" s="492">
        <v>0.5465222003333841</v>
      </c>
      <c r="S34" s="292">
        <v>0.16908550445881865</v>
      </c>
      <c r="T34" s="493">
        <v>0.896848590158756</v>
      </c>
      <c r="U34" s="494">
        <v>0.6374238385376998</v>
      </c>
      <c r="V34" s="379">
        <v>0.6228898713826378</v>
      </c>
      <c r="W34" s="431">
        <v>0.5745540009742592</v>
      </c>
      <c r="X34" s="495">
        <f t="shared" si="16"/>
        <v>0.2623705674</v>
      </c>
    </row>
    <row r="35">
      <c r="A35" s="459" t="s">
        <v>436</v>
      </c>
      <c r="B35" s="460">
        <v>44.73350000000001</v>
      </c>
      <c r="C35" s="460">
        <v>38.43700000000001</v>
      </c>
      <c r="D35" s="460">
        <v>41.733</v>
      </c>
      <c r="E35" s="460">
        <v>40.391000000000005</v>
      </c>
      <c r="F35" s="460">
        <v>42.17299999999999</v>
      </c>
      <c r="G35" s="496">
        <f t="shared" si="13"/>
        <v>41.4935</v>
      </c>
      <c r="I35" s="28" t="s">
        <v>438</v>
      </c>
      <c r="J35" s="40">
        <f t="shared" ref="J35:N35" si="25">B$52*B35+B$53</f>
        <v>0.2047279891</v>
      </c>
      <c r="K35" s="40">
        <f t="shared" si="25"/>
        <v>0.5962580871</v>
      </c>
      <c r="L35" s="40">
        <f t="shared" si="25"/>
        <v>0.7429507938</v>
      </c>
      <c r="M35" s="40">
        <f t="shared" si="25"/>
        <v>0.7587109673</v>
      </c>
      <c r="N35" s="40">
        <f t="shared" si="25"/>
        <v>0.3567122186</v>
      </c>
      <c r="O35" s="40">
        <f t="shared" si="15"/>
        <v>0.5318720112</v>
      </c>
      <c r="Q35" s="497" t="s">
        <v>432</v>
      </c>
      <c r="R35" s="498">
        <v>0.49446885891801884</v>
      </c>
      <c r="S35" s="499">
        <v>0.4254240251792254</v>
      </c>
      <c r="T35" s="464">
        <v>0.7239949451070218</v>
      </c>
      <c r="U35" s="471">
        <v>0.6856911652703728</v>
      </c>
      <c r="V35" s="281">
        <v>0.5084405144694557</v>
      </c>
      <c r="W35" s="304">
        <v>0.5676039017888189</v>
      </c>
      <c r="X35" s="323">
        <f t="shared" si="16"/>
        <v>0.1298719739</v>
      </c>
    </row>
    <row r="36">
      <c r="A36" s="467" t="s">
        <v>443</v>
      </c>
      <c r="B36" s="468">
        <v>49.9815</v>
      </c>
      <c r="C36" s="468">
        <v>38.8065</v>
      </c>
      <c r="D36" s="468">
        <v>32.3265</v>
      </c>
      <c r="E36" s="468">
        <v>41.703500000000005</v>
      </c>
      <c r="F36" s="468">
        <v>43.54600000000001</v>
      </c>
      <c r="G36" s="500">
        <f t="shared" si="13"/>
        <v>41.2728</v>
      </c>
      <c r="I36" s="28" t="s">
        <v>386</v>
      </c>
      <c r="J36" s="40">
        <f t="shared" ref="J36:N36" si="26">B$52*B36+B$53</f>
        <v>1</v>
      </c>
      <c r="K36" s="40">
        <f t="shared" si="26"/>
        <v>0.7254764819</v>
      </c>
      <c r="L36" s="40">
        <f t="shared" si="26"/>
        <v>0</v>
      </c>
      <c r="M36" s="40">
        <f t="shared" si="26"/>
        <v>0.8836633663</v>
      </c>
      <c r="N36" s="40">
        <f t="shared" si="26"/>
        <v>0.6326366559</v>
      </c>
      <c r="O36" s="40">
        <f t="shared" si="15"/>
        <v>0.6483553008</v>
      </c>
      <c r="Q36" s="470" t="s">
        <v>440</v>
      </c>
      <c r="R36" s="501">
        <v>0.8323988483103513</v>
      </c>
      <c r="S36" s="502">
        <v>0.5983563560062937</v>
      </c>
      <c r="T36" s="503">
        <v>0.2508885554063669</v>
      </c>
      <c r="U36" s="504">
        <v>0.7150133282559015</v>
      </c>
      <c r="V36" s="283">
        <v>0.3881631832797421</v>
      </c>
      <c r="W36" s="505">
        <v>0.5569640542517311</v>
      </c>
      <c r="X36" s="506">
        <f t="shared" si="16"/>
        <v>0.2370301492</v>
      </c>
      <c r="Z36" s="28" t="s">
        <v>458</v>
      </c>
    </row>
    <row r="37">
      <c r="A37" s="459" t="s">
        <v>52</v>
      </c>
      <c r="B37" s="460">
        <v>44.67500000000001</v>
      </c>
      <c r="C37" s="460">
        <v>37.47700000000001</v>
      </c>
      <c r="D37" s="460">
        <v>41.615</v>
      </c>
      <c r="E37" s="460">
        <v>39.63100000000001</v>
      </c>
      <c r="F37" s="460">
        <v>42.8075</v>
      </c>
      <c r="G37" s="507">
        <f t="shared" si="13"/>
        <v>41.2411</v>
      </c>
      <c r="I37" s="28" t="s">
        <v>387</v>
      </c>
      <c r="J37" s="40">
        <f t="shared" ref="J37:N37" si="27">B$52*B37+B$53</f>
        <v>0.1958630095</v>
      </c>
      <c r="K37" s="40">
        <f t="shared" si="27"/>
        <v>0.2605350586</v>
      </c>
      <c r="L37" s="40">
        <f t="shared" si="27"/>
        <v>0.7336308348</v>
      </c>
      <c r="M37" s="40">
        <f t="shared" si="27"/>
        <v>0.6863575781</v>
      </c>
      <c r="N37" s="40">
        <f t="shared" si="27"/>
        <v>0.4842242765</v>
      </c>
      <c r="O37" s="40">
        <f t="shared" si="15"/>
        <v>0.4721221515</v>
      </c>
      <c r="P37" s="249"/>
      <c r="Q37" s="497" t="s">
        <v>386</v>
      </c>
      <c r="R37" s="508">
        <v>0.9330201545688759</v>
      </c>
      <c r="S37" s="509">
        <v>0.32051057877250955</v>
      </c>
      <c r="T37" s="510">
        <v>0.26388121001500675</v>
      </c>
      <c r="U37" s="359">
        <v>0.6811690784463051</v>
      </c>
      <c r="V37" s="492">
        <v>0.545819935691318</v>
      </c>
      <c r="W37" s="511">
        <v>0.5488801914988031</v>
      </c>
      <c r="X37" s="512">
        <f t="shared" si="16"/>
        <v>0.2731530365</v>
      </c>
      <c r="Y37" s="249"/>
      <c r="Z37" s="513" t="s">
        <v>459</v>
      </c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49"/>
      <c r="BK37" s="249"/>
      <c r="BL37" s="249"/>
      <c r="BM37" s="249"/>
      <c r="BN37" s="249"/>
      <c r="BO37" s="249"/>
      <c r="BP37" s="249"/>
      <c r="BQ37" s="249"/>
      <c r="BR37" s="249"/>
      <c r="BS37" s="249"/>
      <c r="BT37" s="249"/>
      <c r="BU37" s="249"/>
      <c r="BV37" s="249"/>
      <c r="BW37" s="249"/>
      <c r="BX37" s="249"/>
      <c r="BY37" s="249"/>
      <c r="BZ37" s="249"/>
      <c r="CA37" s="249"/>
      <c r="CB37" s="249"/>
      <c r="CC37" s="249"/>
      <c r="CD37" s="249"/>
      <c r="CE37" s="249"/>
      <c r="CF37" s="249"/>
      <c r="CG37" s="249"/>
      <c r="CH37" s="249"/>
      <c r="CI37" s="249"/>
    </row>
    <row r="38">
      <c r="A38" s="467" t="s">
        <v>386</v>
      </c>
      <c r="B38" s="468">
        <v>49.539500000000004</v>
      </c>
      <c r="C38" s="468">
        <v>37.6485</v>
      </c>
      <c r="D38" s="468">
        <v>35.667500000000004</v>
      </c>
      <c r="E38" s="468">
        <v>39.576499999999996</v>
      </c>
      <c r="F38" s="468">
        <v>43.114</v>
      </c>
      <c r="G38" s="514">
        <f t="shared" si="13"/>
        <v>41.1092</v>
      </c>
      <c r="I38" s="28" t="s">
        <v>439</v>
      </c>
      <c r="J38" s="40">
        <f t="shared" ref="J38:N38" si="28">B$52*B38+B$53</f>
        <v>0.9330201546</v>
      </c>
      <c r="K38" s="40">
        <f t="shared" si="28"/>
        <v>0.3205105788</v>
      </c>
      <c r="L38" s="40">
        <f t="shared" si="28"/>
        <v>0.26388121</v>
      </c>
      <c r="M38" s="40">
        <f t="shared" si="28"/>
        <v>0.6811690784</v>
      </c>
      <c r="N38" s="40">
        <f t="shared" si="28"/>
        <v>0.5458199357</v>
      </c>
      <c r="O38" s="40">
        <f t="shared" si="15"/>
        <v>0.5488801915</v>
      </c>
      <c r="Q38" s="470" t="s">
        <v>436</v>
      </c>
      <c r="R38" s="515">
        <v>0.2047279890892586</v>
      </c>
      <c r="S38" s="400">
        <v>0.5962580870781604</v>
      </c>
      <c r="T38" s="332">
        <v>0.742950793776163</v>
      </c>
      <c r="U38" s="357">
        <v>0.7587109672505714</v>
      </c>
      <c r="V38" s="516">
        <v>0.3567122186495162</v>
      </c>
      <c r="W38" s="517">
        <v>0.531872011168734</v>
      </c>
      <c r="X38" s="414">
        <f t="shared" si="16"/>
        <v>0.2438544111</v>
      </c>
    </row>
    <row r="39">
      <c r="A39" s="459" t="s">
        <v>440</v>
      </c>
      <c r="B39" s="460">
        <v>48.8755</v>
      </c>
      <c r="C39" s="460">
        <v>38.443000000000005</v>
      </c>
      <c r="D39" s="460">
        <v>35.503000000000014</v>
      </c>
      <c r="E39" s="460">
        <v>39.931999999999995</v>
      </c>
      <c r="F39" s="460">
        <v>42.32949999999999</v>
      </c>
      <c r="G39" s="407">
        <f t="shared" si="13"/>
        <v>41.0166</v>
      </c>
      <c r="I39" s="28" t="s">
        <v>440</v>
      </c>
      <c r="J39" s="40">
        <f t="shared" ref="J39:N39" si="29">B$52*B39+B$53</f>
        <v>0.8323988483</v>
      </c>
      <c r="K39" s="40">
        <f t="shared" si="29"/>
        <v>0.598356356</v>
      </c>
      <c r="L39" s="40">
        <f t="shared" si="29"/>
        <v>0.2508885554</v>
      </c>
      <c r="M39" s="40">
        <f t="shared" si="29"/>
        <v>0.7150133283</v>
      </c>
      <c r="N39" s="40">
        <f t="shared" si="29"/>
        <v>0.3881631833</v>
      </c>
      <c r="O39" s="40">
        <f t="shared" si="15"/>
        <v>0.5569640543</v>
      </c>
      <c r="Q39" s="497" t="s">
        <v>444</v>
      </c>
      <c r="R39" s="518">
        <v>0.09948477041976211</v>
      </c>
      <c r="S39" s="306">
        <v>0.6733694701870885</v>
      </c>
      <c r="T39" s="519">
        <v>0.8687307479661959</v>
      </c>
      <c r="U39" s="294">
        <v>0.0</v>
      </c>
      <c r="V39" s="282">
        <v>1.0</v>
      </c>
      <c r="W39" s="520">
        <v>0.5283169977146093</v>
      </c>
      <c r="X39" s="295">
        <f t="shared" si="16"/>
        <v>0.4534375715</v>
      </c>
    </row>
    <row r="40">
      <c r="A40" s="467" t="s">
        <v>51</v>
      </c>
      <c r="B40" s="521">
        <v>45.84750000000001</v>
      </c>
      <c r="C40" s="521">
        <v>36.732000000000006</v>
      </c>
      <c r="D40" s="521">
        <v>40.224500000000006</v>
      </c>
      <c r="E40" s="521">
        <v>39.12349999999999</v>
      </c>
      <c r="F40" s="521">
        <v>42.9755</v>
      </c>
      <c r="G40" s="522">
        <f t="shared" si="13"/>
        <v>40.9806</v>
      </c>
      <c r="I40" s="28" t="s">
        <v>441</v>
      </c>
      <c r="J40" s="40">
        <f t="shared" ref="J40:N40" si="30">B$52*B40+B$53</f>
        <v>0.3735414457</v>
      </c>
      <c r="K40" s="40">
        <f t="shared" si="30"/>
        <v>0</v>
      </c>
      <c r="L40" s="40">
        <f t="shared" si="30"/>
        <v>0.6238053866</v>
      </c>
      <c r="M40" s="40">
        <f t="shared" si="30"/>
        <v>0.6380426504</v>
      </c>
      <c r="N40" s="40">
        <f t="shared" si="30"/>
        <v>0.5179863344</v>
      </c>
      <c r="O40" s="40">
        <f t="shared" si="15"/>
        <v>0.4306751634</v>
      </c>
      <c r="Q40" s="470" t="s">
        <v>442</v>
      </c>
      <c r="R40" s="523">
        <v>0.266631307773908</v>
      </c>
      <c r="S40" s="282">
        <v>1.0</v>
      </c>
      <c r="T40" s="494">
        <v>0.63786430771661</v>
      </c>
      <c r="U40" s="356">
        <v>0.3083111195734958</v>
      </c>
      <c r="V40" s="524">
        <v>0.21744372990353789</v>
      </c>
      <c r="W40" s="516">
        <v>0.4860500929935103</v>
      </c>
      <c r="X40" s="525">
        <f t="shared" si="16"/>
        <v>0.3313144982</v>
      </c>
    </row>
    <row r="41">
      <c r="A41" s="459" t="s">
        <v>444</v>
      </c>
      <c r="B41" s="460">
        <v>44.039</v>
      </c>
      <c r="C41" s="460">
        <v>38.65749999999999</v>
      </c>
      <c r="D41" s="460">
        <v>43.325500000000005</v>
      </c>
      <c r="E41" s="460">
        <v>32.4215</v>
      </c>
      <c r="F41" s="460">
        <v>45.374</v>
      </c>
      <c r="G41" s="526">
        <f t="shared" si="13"/>
        <v>40.7635</v>
      </c>
      <c r="I41" s="28" t="s">
        <v>442</v>
      </c>
      <c r="J41" s="40">
        <f t="shared" ref="J41:N41" si="31">B$52*B41+B$53</f>
        <v>0.09948477042</v>
      </c>
      <c r="K41" s="40">
        <f t="shared" si="31"/>
        <v>0.6733694702</v>
      </c>
      <c r="L41" s="40">
        <f t="shared" si="31"/>
        <v>0.868730748</v>
      </c>
      <c r="M41" s="40">
        <f t="shared" si="31"/>
        <v>0</v>
      </c>
      <c r="N41" s="40">
        <f t="shared" si="31"/>
        <v>1</v>
      </c>
      <c r="O41" s="40">
        <f t="shared" si="15"/>
        <v>0.5283169977</v>
      </c>
      <c r="Q41" s="497" t="s">
        <v>52</v>
      </c>
      <c r="R41" s="421">
        <v>0.19586300954690383</v>
      </c>
      <c r="S41" s="333">
        <v>0.260535058576675</v>
      </c>
      <c r="T41" s="527">
        <v>0.7336308348471685</v>
      </c>
      <c r="U41" s="471">
        <v>0.6863575780654991</v>
      </c>
      <c r="V41" s="413">
        <v>0.4842242765273319</v>
      </c>
      <c r="W41" s="509">
        <v>0.4721221515127157</v>
      </c>
      <c r="X41" s="445">
        <f t="shared" si="16"/>
        <v>0.2426511293</v>
      </c>
    </row>
    <row r="42">
      <c r="A42" s="467" t="s">
        <v>442</v>
      </c>
      <c r="B42" s="468">
        <v>45.14200000000001</v>
      </c>
      <c r="C42" s="468">
        <v>39.59150000000001</v>
      </c>
      <c r="D42" s="468">
        <v>40.402499999999996</v>
      </c>
      <c r="E42" s="468">
        <v>35.660000000000004</v>
      </c>
      <c r="F42" s="468">
        <v>41.48</v>
      </c>
      <c r="G42" s="528">
        <f t="shared" si="13"/>
        <v>40.4552</v>
      </c>
      <c r="I42" s="28" t="s">
        <v>443</v>
      </c>
      <c r="J42" s="40">
        <f t="shared" ref="J42:N42" si="32">B$52*B42+B$53</f>
        <v>0.2666313078</v>
      </c>
      <c r="K42" s="40">
        <f t="shared" si="32"/>
        <v>1</v>
      </c>
      <c r="L42" s="40">
        <f t="shared" si="32"/>
        <v>0.6378643077</v>
      </c>
      <c r="M42" s="40">
        <f t="shared" si="32"/>
        <v>0.3083111196</v>
      </c>
      <c r="N42" s="40">
        <f t="shared" si="32"/>
        <v>0.2174437299</v>
      </c>
      <c r="O42" s="40">
        <f t="shared" si="15"/>
        <v>0.486050093</v>
      </c>
      <c r="Q42" s="470" t="s">
        <v>51</v>
      </c>
      <c r="R42" s="440">
        <v>0.37354144567358993</v>
      </c>
      <c r="S42" s="294">
        <v>0.0</v>
      </c>
      <c r="T42" s="379">
        <v>0.6238053866203308</v>
      </c>
      <c r="U42" s="494">
        <v>0.6380426504188867</v>
      </c>
      <c r="V42" s="462">
        <v>0.5179863344051441</v>
      </c>
      <c r="W42" s="529">
        <v>0.4306751634235903</v>
      </c>
      <c r="X42" s="495">
        <f t="shared" si="16"/>
        <v>0.2629967473</v>
      </c>
    </row>
    <row r="43">
      <c r="A43" s="459" t="s">
        <v>199</v>
      </c>
      <c r="B43" s="276">
        <v>43.38249999999999</v>
      </c>
      <c r="C43" s="276">
        <v>37.665</v>
      </c>
      <c r="D43" s="276">
        <v>36.46750000000001</v>
      </c>
      <c r="E43" s="276">
        <v>41.4005</v>
      </c>
      <c r="F43" s="276">
        <v>42.416999999999994</v>
      </c>
      <c r="G43" s="530">
        <f t="shared" si="13"/>
        <v>40.2665</v>
      </c>
      <c r="I43" s="28" t="s">
        <v>444</v>
      </c>
      <c r="J43" s="40">
        <f t="shared" ref="J43:N43" si="33">B$52*B43+B$53</f>
        <v>0</v>
      </c>
      <c r="K43" s="40">
        <f t="shared" si="33"/>
        <v>0.3262808183</v>
      </c>
      <c r="L43" s="40">
        <f t="shared" si="33"/>
        <v>0.3270673722</v>
      </c>
      <c r="M43" s="40">
        <f t="shared" si="33"/>
        <v>0.8548172125</v>
      </c>
      <c r="N43" s="40">
        <f t="shared" si="33"/>
        <v>0.4057475884</v>
      </c>
      <c r="O43" s="40">
        <f t="shared" si="15"/>
        <v>0.3827825983</v>
      </c>
      <c r="Q43" s="531" t="s">
        <v>199</v>
      </c>
      <c r="R43" s="532">
        <v>0.0</v>
      </c>
      <c r="S43" s="533">
        <v>0.32628081832487865</v>
      </c>
      <c r="T43" s="533">
        <v>0.3270673722454789</v>
      </c>
      <c r="U43" s="534">
        <v>0.8548172124904796</v>
      </c>
      <c r="V43" s="535">
        <v>0.4057475884244379</v>
      </c>
      <c r="W43" s="536">
        <v>0.382782598297055</v>
      </c>
      <c r="X43" s="537">
        <f t="shared" si="16"/>
        <v>0.3066607339</v>
      </c>
    </row>
    <row r="44">
      <c r="A44" s="538" t="s">
        <v>441</v>
      </c>
      <c r="B44" s="539">
        <v>44.628</v>
      </c>
      <c r="C44" s="539">
        <v>37.9065</v>
      </c>
      <c r="D44" s="539">
        <v>38.6825</v>
      </c>
      <c r="E44" s="539">
        <v>39.3955</v>
      </c>
      <c r="F44" s="539">
        <v>40.397999999999996</v>
      </c>
      <c r="G44" s="451">
        <f t="shared" si="13"/>
        <v>40.2021</v>
      </c>
      <c r="I44" s="28" t="s">
        <v>445</v>
      </c>
      <c r="J44" s="40">
        <f t="shared" ref="J44:N44" si="34">B$52*B44+B$53</f>
        <v>0.1887407183</v>
      </c>
      <c r="K44" s="40">
        <f t="shared" si="34"/>
        <v>0.4107361427</v>
      </c>
      <c r="L44" s="40">
        <f t="shared" si="34"/>
        <v>0.5020140589</v>
      </c>
      <c r="M44" s="40">
        <f t="shared" si="34"/>
        <v>0.6639375476</v>
      </c>
      <c r="N44" s="40">
        <f t="shared" si="34"/>
        <v>0</v>
      </c>
      <c r="O44" s="40">
        <f t="shared" si="15"/>
        <v>0.3530856935</v>
      </c>
      <c r="Q44" s="540" t="s">
        <v>441</v>
      </c>
      <c r="R44" s="541">
        <v>0.1887407182906511</v>
      </c>
      <c r="S44" s="542">
        <v>0.41073614268228376</v>
      </c>
      <c r="T44" s="543">
        <v>0.502014058921096</v>
      </c>
      <c r="U44" s="544">
        <v>0.6639375476009133</v>
      </c>
      <c r="V44" s="454">
        <v>0.0</v>
      </c>
      <c r="W44" s="454">
        <v>0.35308569349898883</v>
      </c>
      <c r="X44" s="545">
        <f t="shared" si="16"/>
        <v>0.2616347097</v>
      </c>
    </row>
    <row r="45">
      <c r="A45" s="69"/>
      <c r="B45" s="69"/>
      <c r="C45" s="69"/>
    </row>
    <row r="46">
      <c r="A46" s="69"/>
      <c r="B46" s="69"/>
      <c r="C46" s="69"/>
    </row>
    <row r="47">
      <c r="A47" s="28" t="s">
        <v>451</v>
      </c>
      <c r="B47" s="109">
        <f>MIN(Table1_2[eng])</f>
        <v>43.3825</v>
      </c>
      <c r="C47" s="109">
        <f>MIN(Table1_2[fra])</f>
        <v>36.732</v>
      </c>
      <c r="D47" s="109">
        <f>MIN(Table1_2[ger])</f>
        <v>32.3265</v>
      </c>
      <c r="E47" s="109">
        <f>MIN(Table1_2[ita])</f>
        <v>32.4215</v>
      </c>
      <c r="F47" s="109">
        <f>MIN(Table1_2[spa])</f>
        <v>40.398</v>
      </c>
      <c r="Q47" s="28" t="s">
        <v>452</v>
      </c>
    </row>
    <row r="48">
      <c r="A48" s="28" t="s">
        <v>453</v>
      </c>
      <c r="B48" s="28">
        <v>0.0</v>
      </c>
      <c r="C48" s="28">
        <v>0.0</v>
      </c>
      <c r="D48" s="28">
        <v>0.0</v>
      </c>
      <c r="E48" s="28">
        <v>0.0</v>
      </c>
      <c r="F48" s="28">
        <v>0.0</v>
      </c>
    </row>
    <row r="49">
      <c r="A49" s="28" t="s">
        <v>454</v>
      </c>
      <c r="B49" s="109">
        <f>MAX(Table1_2[eng])</f>
        <v>49.9815</v>
      </c>
      <c r="C49" s="109">
        <f>MAX(Table1_2[fra])</f>
        <v>39.5915</v>
      </c>
      <c r="D49" s="109">
        <f>MAX(Table1_2[ger])</f>
        <v>44.9875</v>
      </c>
      <c r="E49" s="109">
        <f>MAX(Table1_2[ita])</f>
        <v>42.9255</v>
      </c>
      <c r="F49" s="109">
        <f>MAX(Table1_2[spa])</f>
        <v>45.374</v>
      </c>
    </row>
    <row r="50">
      <c r="A50" s="28" t="s">
        <v>455</v>
      </c>
      <c r="B50" s="28">
        <v>1.0</v>
      </c>
      <c r="C50" s="28">
        <v>1.0</v>
      </c>
      <c r="D50" s="28">
        <v>1.0</v>
      </c>
      <c r="E50" s="28">
        <v>1.0</v>
      </c>
      <c r="F50" s="28">
        <v>1.0</v>
      </c>
    </row>
    <row r="52">
      <c r="A52" s="28" t="s">
        <v>63</v>
      </c>
      <c r="B52" s="40">
        <f t="shared" ref="B52:F52" si="35">(B50-B48)/(B49-B47)</f>
        <v>0.1515381118</v>
      </c>
      <c r="C52" s="40">
        <f t="shared" si="35"/>
        <v>0.349711488</v>
      </c>
      <c r="D52" s="40">
        <f t="shared" si="35"/>
        <v>0.07898270279</v>
      </c>
      <c r="E52" s="40">
        <f t="shared" si="35"/>
        <v>0.09520182788</v>
      </c>
      <c r="F52" s="40">
        <f t="shared" si="35"/>
        <v>0.2009646302</v>
      </c>
    </row>
    <row r="53">
      <c r="A53" s="28" t="s">
        <v>430</v>
      </c>
      <c r="B53" s="40">
        <f t="shared" ref="B53:F53" si="36">B50-B52*B49</f>
        <v>-6.574102137</v>
      </c>
      <c r="C53" s="40">
        <f t="shared" si="36"/>
        <v>-12.84560238</v>
      </c>
      <c r="D53" s="40">
        <f t="shared" si="36"/>
        <v>-2.553234342</v>
      </c>
      <c r="E53" s="40">
        <f t="shared" si="36"/>
        <v>-3.086586062</v>
      </c>
      <c r="F53" s="40">
        <f t="shared" si="36"/>
        <v>-8.118569132</v>
      </c>
    </row>
  </sheetData>
  <conditionalFormatting sqref="B4:Q4">
    <cfRule type="colorScale" priority="1">
      <colorScale>
        <cfvo type="min"/>
        <cfvo type="max"/>
        <color rgb="FFFFFFFF"/>
        <color rgb="FFE67C73"/>
      </colorScale>
    </cfRule>
  </conditionalFormatting>
  <conditionalFormatting sqref="AG4:AH4">
    <cfRule type="colorScale" priority="2">
      <colorScale>
        <cfvo type="min"/>
        <cfvo type="max"/>
        <color rgb="FFFFFFFF"/>
        <color rgb="FFE67C73"/>
      </colorScale>
    </cfRule>
  </conditionalFormatting>
  <conditionalFormatting sqref="B3:Q3">
    <cfRule type="colorScale" priority="3">
      <colorScale>
        <cfvo type="min"/>
        <cfvo type="max"/>
        <color rgb="FFFFFFFF"/>
        <color rgb="FF57BB8A"/>
      </colorScale>
    </cfRule>
  </conditionalFormatting>
  <conditionalFormatting sqref="G29:G44">
    <cfRule type="colorScale" priority="4">
      <colorScale>
        <cfvo type="min"/>
        <cfvo type="max"/>
        <color rgb="FFFFFFFF"/>
        <color rgb="FF57BB8A"/>
      </colorScale>
    </cfRule>
  </conditionalFormatting>
  <conditionalFormatting sqref="S3:AH3">
    <cfRule type="colorScale" priority="5">
      <colorScale>
        <cfvo type="min"/>
        <cfvo type="max"/>
        <color rgb="FFFFFFFF"/>
        <color rgb="FF57BB8A"/>
      </colorScale>
    </cfRule>
  </conditionalFormatting>
  <conditionalFormatting sqref="AJ3:AY3">
    <cfRule type="colorScale" priority="6">
      <colorScale>
        <cfvo type="min"/>
        <cfvo type="max"/>
        <color rgb="FFFFFFFF"/>
        <color rgb="FF57BB8A"/>
      </colorScale>
    </cfRule>
  </conditionalFormatting>
  <conditionalFormatting sqref="BA3:BP3">
    <cfRule type="colorScale" priority="7">
      <colorScale>
        <cfvo type="min"/>
        <cfvo type="max"/>
        <color rgb="FFFFFFFF"/>
        <color rgb="FF57BB8A"/>
      </colorScale>
    </cfRule>
  </conditionalFormatting>
  <conditionalFormatting sqref="BR3:CI3">
    <cfRule type="colorScale" priority="8">
      <colorScale>
        <cfvo type="min"/>
        <cfvo type="max"/>
        <color rgb="FFFFFFFF"/>
        <color rgb="FF57BB8A"/>
      </colorScale>
    </cfRule>
  </conditionalFormatting>
  <conditionalFormatting sqref="W29:W44">
    <cfRule type="colorScale" priority="9">
      <colorScale>
        <cfvo type="min"/>
        <cfvo type="max"/>
        <color rgb="FFFFFFFF"/>
        <color rgb="FF57BB8A"/>
      </colorScale>
    </cfRule>
  </conditionalFormatting>
  <conditionalFormatting sqref="R29:V44">
    <cfRule type="colorScale" priority="10">
      <colorScale>
        <cfvo type="min"/>
        <cfvo type="max"/>
        <color rgb="FFFFFFFF"/>
        <color rgb="FF57BB8A"/>
      </colorScale>
    </cfRule>
  </conditionalFormatting>
  <conditionalFormatting sqref="X29:X44">
    <cfRule type="colorScale" priority="11">
      <colorScale>
        <cfvo type="min"/>
        <cfvo type="max"/>
        <color rgb="FFFFFFFF"/>
        <color rgb="FFE67C73"/>
      </colorScale>
    </cfRule>
  </conditionalFormatting>
  <conditionalFormatting sqref="AJ4:AY4">
    <cfRule type="colorScale" priority="12">
      <colorScale>
        <cfvo type="min"/>
        <cfvo type="max"/>
        <color rgb="FFFFFFFF"/>
        <color rgb="FFE67C73"/>
      </colorScale>
    </cfRule>
  </conditionalFormatting>
  <conditionalFormatting sqref="BA4:BP4">
    <cfRule type="colorScale" priority="13">
      <colorScale>
        <cfvo type="min"/>
        <cfvo type="max"/>
        <color rgb="FFFFFFFF"/>
        <color rgb="FFE67C73"/>
      </colorScale>
    </cfRule>
  </conditionalFormatting>
  <conditionalFormatting sqref="BR4:CG4">
    <cfRule type="colorScale" priority="14">
      <colorScale>
        <cfvo type="min"/>
        <cfvo type="max"/>
        <color rgb="FFFFFFFF"/>
        <color rgb="FFE67C73"/>
      </colorScale>
    </cfRule>
  </conditionalFormatting>
  <dataValidations>
    <dataValidation type="custom" allowBlank="1" showDropDown="1" sqref="B29:B44 G29:G44 R29:X44">
      <formula1>AND(ISNUMBER(B29),(NOT(OR(NOT(ISERROR(DATEVALUE(B29))), AND(ISNUMBER(B29), LEFT(CELL("format", B29))="D")))))</formula1>
    </dataValidation>
  </dataValidations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460</v>
      </c>
      <c r="L1" s="87"/>
    </row>
    <row r="2">
      <c r="L2" s="87"/>
    </row>
    <row r="3">
      <c r="A3" s="28" t="s">
        <v>461</v>
      </c>
      <c r="L3" s="87"/>
    </row>
    <row r="4">
      <c r="B4" s="28" t="s">
        <v>462</v>
      </c>
      <c r="G4" s="28" t="s">
        <v>435</v>
      </c>
      <c r="L4" s="87"/>
    </row>
    <row r="5">
      <c r="A5" s="19" t="s">
        <v>15</v>
      </c>
      <c r="B5" s="119">
        <v>0.664848456</v>
      </c>
      <c r="C5" s="250"/>
      <c r="D5" s="250"/>
      <c r="E5" s="250"/>
      <c r="F5" s="250"/>
      <c r="G5" s="119">
        <v>0.740484599</v>
      </c>
      <c r="H5" s="104">
        <f t="shared" ref="H5:H9" si="1">(G5-B5)/B5</f>
        <v>0.1137644862</v>
      </c>
      <c r="L5" s="87"/>
    </row>
    <row r="6">
      <c r="A6" s="19" t="s">
        <v>17</v>
      </c>
      <c r="B6" s="119">
        <v>0.664304152</v>
      </c>
      <c r="C6" s="250"/>
      <c r="D6" s="250"/>
      <c r="E6" s="250"/>
      <c r="F6" s="250"/>
      <c r="G6" s="119">
        <v>0.734990728</v>
      </c>
      <c r="H6" s="104">
        <f t="shared" si="1"/>
        <v>0.106406946</v>
      </c>
      <c r="L6" s="87"/>
    </row>
    <row r="7">
      <c r="A7" s="16" t="s">
        <v>19</v>
      </c>
      <c r="B7" s="119">
        <v>0.67680879</v>
      </c>
      <c r="C7" s="250"/>
      <c r="D7" s="250"/>
      <c r="E7" s="250"/>
      <c r="F7" s="250"/>
      <c r="G7" s="119">
        <v>0.798889936</v>
      </c>
      <c r="H7" s="104">
        <f t="shared" si="1"/>
        <v>0.1803776012</v>
      </c>
      <c r="L7" s="87"/>
    </row>
    <row r="8">
      <c r="A8" s="16" t="s">
        <v>20</v>
      </c>
      <c r="B8" s="119">
        <v>0.317632128</v>
      </c>
      <c r="C8" s="250"/>
      <c r="D8" s="250"/>
      <c r="E8" s="250"/>
      <c r="F8" s="250"/>
      <c r="G8" s="119">
        <v>0.384549825</v>
      </c>
      <c r="H8" s="104">
        <f t="shared" si="1"/>
        <v>0.2106767266</v>
      </c>
      <c r="L8" s="87"/>
    </row>
    <row r="9">
      <c r="A9" s="16" t="s">
        <v>21</v>
      </c>
      <c r="B9" s="119">
        <v>0.598124706</v>
      </c>
      <c r="C9" s="250"/>
      <c r="D9" s="250"/>
      <c r="E9" s="250"/>
      <c r="F9" s="250"/>
      <c r="G9" s="119">
        <v>0.636406505</v>
      </c>
      <c r="H9" s="104">
        <f t="shared" si="1"/>
        <v>0.06400303919</v>
      </c>
      <c r="L9" s="87"/>
    </row>
    <row r="11">
      <c r="A11" s="546" t="s">
        <v>463</v>
      </c>
    </row>
    <row r="13">
      <c r="A13" s="35" t="s">
        <v>464</v>
      </c>
    </row>
    <row r="14">
      <c r="A14" s="28" t="s">
        <v>465</v>
      </c>
    </row>
    <row r="15">
      <c r="B15" s="546" t="s">
        <v>466</v>
      </c>
    </row>
    <row r="18">
      <c r="A18" s="35" t="s">
        <v>467</v>
      </c>
    </row>
    <row r="19">
      <c r="B19" s="28" t="s">
        <v>468</v>
      </c>
      <c r="F19" s="88"/>
    </row>
    <row r="20">
      <c r="B20" s="35" t="s">
        <v>469</v>
      </c>
      <c r="C20" s="31"/>
      <c r="D20" s="31"/>
      <c r="E20" s="31"/>
      <c r="F20" s="31"/>
      <c r="G20" s="35" t="s">
        <v>470</v>
      </c>
      <c r="H20" s="35" t="s">
        <v>316</v>
      </c>
      <c r="I20" s="35" t="s">
        <v>355</v>
      </c>
      <c r="J20" s="35" t="s">
        <v>357</v>
      </c>
      <c r="K20" s="35" t="s">
        <v>359</v>
      </c>
    </row>
    <row r="21">
      <c r="B21" s="35" t="s">
        <v>471</v>
      </c>
      <c r="G21" s="40">
        <v>2.575</v>
      </c>
    </row>
    <row r="23">
      <c r="K23" s="35" t="s">
        <v>472</v>
      </c>
    </row>
    <row r="24">
      <c r="A24" s="28" t="s">
        <v>473</v>
      </c>
      <c r="H24" s="28" t="s">
        <v>199</v>
      </c>
      <c r="I24" s="28" t="s">
        <v>474</v>
      </c>
      <c r="K24" s="28" t="s">
        <v>475</v>
      </c>
      <c r="L24" s="28" t="s">
        <v>476</v>
      </c>
      <c r="M24" s="28" t="s">
        <v>477</v>
      </c>
    </row>
    <row r="25">
      <c r="A25" s="28">
        <v>0.0</v>
      </c>
      <c r="B25" s="28">
        <v>0.0</v>
      </c>
      <c r="H25" s="40" t="str">
        <f t="shared" ref="H25:I25" si="2">AVERAGE(#REF!)</f>
        <v>#REF!</v>
      </c>
      <c r="I25" s="40" t="str">
        <f t="shared" si="2"/>
        <v>#REF!</v>
      </c>
      <c r="K25" s="28" t="s">
        <v>478</v>
      </c>
    </row>
    <row r="26">
      <c r="A26" s="28">
        <v>4.52</v>
      </c>
      <c r="B26" s="28">
        <v>1.19</v>
      </c>
      <c r="K26" s="28" t="s">
        <v>479</v>
      </c>
    </row>
    <row r="27">
      <c r="A27" s="28">
        <v>12.04</v>
      </c>
      <c r="B27" s="28">
        <v>2.19</v>
      </c>
      <c r="K27" s="28" t="s">
        <v>480</v>
      </c>
    </row>
    <row r="28">
      <c r="A28" s="28">
        <v>0.63</v>
      </c>
      <c r="B28" s="28">
        <v>0.05</v>
      </c>
      <c r="K28" s="28" t="s">
        <v>481</v>
      </c>
    </row>
    <row r="29">
      <c r="A29" s="28">
        <v>1.46</v>
      </c>
      <c r="B29" s="28">
        <v>0.35</v>
      </c>
    </row>
    <row r="30">
      <c r="A30" s="28">
        <v>7.88</v>
      </c>
      <c r="B30" s="28">
        <v>6.42</v>
      </c>
      <c r="K30" s="54" t="s">
        <v>482</v>
      </c>
    </row>
    <row r="31">
      <c r="A31" s="28">
        <v>0.67</v>
      </c>
      <c r="B31" s="28">
        <v>0.03</v>
      </c>
      <c r="K31" s="2" t="s">
        <v>1</v>
      </c>
      <c r="L31" s="3" t="s">
        <v>3</v>
      </c>
      <c r="M31" s="28" t="s">
        <v>63</v>
      </c>
    </row>
    <row r="32">
      <c r="A32" s="28">
        <v>0.0</v>
      </c>
      <c r="B32" s="28">
        <v>0.0</v>
      </c>
      <c r="K32" s="19" t="s">
        <v>15</v>
      </c>
      <c r="L32" s="12">
        <v>6293.0</v>
      </c>
      <c r="M32" s="42">
        <v>20.0</v>
      </c>
    </row>
    <row r="33">
      <c r="A33" s="28">
        <v>2.31</v>
      </c>
      <c r="B33" s="28">
        <v>0.58</v>
      </c>
      <c r="K33" s="19" t="s">
        <v>17</v>
      </c>
      <c r="L33" s="12">
        <v>3960.0</v>
      </c>
      <c r="M33" s="42">
        <v>60.0</v>
      </c>
    </row>
    <row r="34">
      <c r="A34" s="28">
        <v>3.8</v>
      </c>
      <c r="B34" s="28">
        <v>0.77</v>
      </c>
      <c r="K34" s="16" t="s">
        <v>19</v>
      </c>
      <c r="L34" s="12">
        <v>3032.0</v>
      </c>
      <c r="M34" s="42">
        <v>10.0</v>
      </c>
    </row>
    <row r="35">
      <c r="A35" s="28">
        <v>0.0</v>
      </c>
      <c r="B35" s="28">
        <v>0.0</v>
      </c>
      <c r="K35" s="16" t="s">
        <v>20</v>
      </c>
      <c r="L35" s="12">
        <v>2114.0</v>
      </c>
      <c r="M35" s="42">
        <v>40.0</v>
      </c>
    </row>
    <row r="36">
      <c r="A36" s="28">
        <v>5.86</v>
      </c>
      <c r="B36" s="28">
        <v>2.53</v>
      </c>
      <c r="K36" s="16" t="s">
        <v>21</v>
      </c>
      <c r="L36" s="12">
        <v>2232.0</v>
      </c>
      <c r="M36" s="42">
        <v>10.0</v>
      </c>
    </row>
    <row r="37">
      <c r="A37" s="28">
        <v>0.0</v>
      </c>
      <c r="B37" s="28">
        <v>0.0</v>
      </c>
    </row>
    <row r="38">
      <c r="A38" s="28">
        <v>4.13</v>
      </c>
      <c r="B38" s="28">
        <v>0.78</v>
      </c>
    </row>
    <row r="39">
      <c r="A39" s="28">
        <v>5.89</v>
      </c>
      <c r="B39" s="28">
        <v>1.0</v>
      </c>
    </row>
    <row r="40">
      <c r="A40" s="28">
        <v>7.23</v>
      </c>
      <c r="B40" s="28">
        <v>3.9</v>
      </c>
    </row>
    <row r="41">
      <c r="A41" s="28">
        <v>3.39</v>
      </c>
      <c r="B41" s="28">
        <v>0.61</v>
      </c>
      <c r="K41" s="35" t="s">
        <v>483</v>
      </c>
    </row>
    <row r="42">
      <c r="A42" s="28">
        <v>2.18</v>
      </c>
      <c r="B42" s="28">
        <v>0.69</v>
      </c>
      <c r="K42" s="28" t="s">
        <v>475</v>
      </c>
      <c r="L42" s="28" t="s">
        <v>476</v>
      </c>
      <c r="M42" s="28" t="s">
        <v>477</v>
      </c>
    </row>
    <row r="43">
      <c r="A43" s="28">
        <v>8.47</v>
      </c>
      <c r="B43" s="28">
        <v>4.59</v>
      </c>
      <c r="K43" s="28">
        <v>0.8</v>
      </c>
      <c r="L43" s="40">
        <v>5.276900000000001</v>
      </c>
      <c r="M43" s="40">
        <v>-3.314500000000001</v>
      </c>
    </row>
    <row r="44">
      <c r="A44" s="28">
        <v>1.59</v>
      </c>
      <c r="B44" s="28">
        <v>0.24</v>
      </c>
      <c r="K44" s="28">
        <v>0.7</v>
      </c>
    </row>
    <row r="45">
      <c r="A45" s="28">
        <v>0.0</v>
      </c>
      <c r="B45" s="28">
        <v>0.0</v>
      </c>
      <c r="K45" s="28">
        <v>0.5</v>
      </c>
      <c r="L45" s="40">
        <v>4.023500000000001</v>
      </c>
      <c r="M45" s="40">
        <v>-0.9597</v>
      </c>
    </row>
    <row r="46">
      <c r="A46" s="28">
        <v>0.0</v>
      </c>
      <c r="B46" s="28">
        <v>0.0</v>
      </c>
      <c r="K46" s="28">
        <v>0.4</v>
      </c>
      <c r="L46" s="40">
        <v>3.2705</v>
      </c>
      <c r="M46" s="40">
        <v>0.5869999999999999</v>
      </c>
    </row>
    <row r="47">
      <c r="A47" s="28">
        <v>0.0</v>
      </c>
      <c r="B47" s="28">
        <v>0.0</v>
      </c>
      <c r="K47" s="28">
        <v>0.3</v>
      </c>
      <c r="L47" s="40">
        <v>2.568899999999999</v>
      </c>
      <c r="M47" s="40">
        <v>1.3571999999999995</v>
      </c>
    </row>
    <row r="48">
      <c r="A48" s="28">
        <v>6.91</v>
      </c>
      <c r="B48" s="28">
        <v>2.88</v>
      </c>
      <c r="K48" s="28">
        <v>0.2</v>
      </c>
      <c r="L48" s="40">
        <v>2.434199999999999</v>
      </c>
      <c r="M48" s="40">
        <v>1.5152999999999996</v>
      </c>
    </row>
    <row r="49">
      <c r="A49" s="28">
        <v>1.49</v>
      </c>
      <c r="B49" s="28">
        <v>0.05</v>
      </c>
      <c r="K49" s="28">
        <v>0.1</v>
      </c>
      <c r="L49" s="40">
        <v>2.067100000000001</v>
      </c>
      <c r="M49" s="40">
        <v>1.6288</v>
      </c>
    </row>
    <row r="50">
      <c r="A50" s="28">
        <v>0.63</v>
      </c>
      <c r="B50" s="28">
        <v>0.01</v>
      </c>
    </row>
    <row r="51">
      <c r="A51" s="28">
        <v>0.0</v>
      </c>
      <c r="B51" s="28">
        <v>0.0</v>
      </c>
      <c r="K51" s="28" t="s">
        <v>484</v>
      </c>
    </row>
    <row r="52">
      <c r="A52" s="28">
        <v>0.0</v>
      </c>
      <c r="B52" s="28">
        <v>0.0</v>
      </c>
    </row>
    <row r="53">
      <c r="A53" s="28">
        <v>0.0</v>
      </c>
      <c r="B53" s="28">
        <v>0.0</v>
      </c>
    </row>
    <row r="54">
      <c r="A54" s="28">
        <v>1.18</v>
      </c>
      <c r="B54" s="28">
        <v>0.17</v>
      </c>
      <c r="K54" s="78"/>
      <c r="L54" s="547" t="s">
        <v>485</v>
      </c>
      <c r="M54" s="548"/>
      <c r="N54" s="83" t="s">
        <v>63</v>
      </c>
      <c r="O54" s="83" t="s">
        <v>486</v>
      </c>
      <c r="P54" s="83" t="s">
        <v>487</v>
      </c>
      <c r="R54" s="20" t="s">
        <v>135</v>
      </c>
      <c r="S54" s="88">
        <v>0.15</v>
      </c>
    </row>
    <row r="55">
      <c r="A55" s="28">
        <v>0.64</v>
      </c>
      <c r="B55" s="28">
        <v>-0.12</v>
      </c>
      <c r="K55" s="16" t="s">
        <v>44</v>
      </c>
      <c r="L55" s="549">
        <v>0.76</v>
      </c>
      <c r="M55" s="78"/>
      <c r="N55" s="16">
        <v>10.0</v>
      </c>
      <c r="O55" s="16">
        <f t="shared" ref="O55:O71" si="3">N55*L55*$S$54</f>
        <v>1.14</v>
      </c>
      <c r="P55" s="16">
        <v>-0.25</v>
      </c>
      <c r="S55" s="49"/>
    </row>
    <row r="56">
      <c r="A56" s="28">
        <v>1.64</v>
      </c>
      <c r="B56" s="28">
        <v>0.44</v>
      </c>
      <c r="K56" s="78"/>
      <c r="L56" s="549">
        <v>0.63</v>
      </c>
      <c r="M56" s="78"/>
      <c r="N56" s="16">
        <v>10.0</v>
      </c>
      <c r="O56" s="16">
        <f t="shared" si="3"/>
        <v>0.945</v>
      </c>
      <c r="P56" s="16">
        <v>-2.81</v>
      </c>
    </row>
    <row r="57">
      <c r="A57" s="28">
        <v>0.0</v>
      </c>
      <c r="B57" s="28">
        <v>0.0</v>
      </c>
      <c r="K57" s="78"/>
      <c r="L57" s="549">
        <v>0.56</v>
      </c>
      <c r="M57" s="78"/>
      <c r="N57" s="16">
        <v>10.0</v>
      </c>
      <c r="O57" s="16">
        <f t="shared" si="3"/>
        <v>0.84</v>
      </c>
      <c r="P57" s="16">
        <f>6.7-O57</f>
        <v>5.86</v>
      </c>
      <c r="R57" s="28" t="s">
        <v>488</v>
      </c>
      <c r="S57" s="40">
        <f>SUM(P55:P74)</f>
        <v>9.42</v>
      </c>
    </row>
    <row r="58">
      <c r="A58" s="28">
        <v>0.0</v>
      </c>
      <c r="B58" s="28">
        <v>0.0</v>
      </c>
      <c r="K58" s="16" t="s">
        <v>359</v>
      </c>
      <c r="L58" s="549">
        <v>0.57</v>
      </c>
      <c r="M58" s="78"/>
      <c r="N58" s="16">
        <v>10.0</v>
      </c>
      <c r="O58" s="16">
        <f t="shared" si="3"/>
        <v>0.855</v>
      </c>
      <c r="P58" s="16" t="s">
        <v>489</v>
      </c>
    </row>
    <row r="59">
      <c r="A59" s="28">
        <v>0.0</v>
      </c>
      <c r="B59" s="28">
        <v>0.0</v>
      </c>
      <c r="K59" s="78"/>
      <c r="L59" s="549">
        <v>0.4</v>
      </c>
      <c r="M59" s="78"/>
      <c r="N59" s="16">
        <v>120.0</v>
      </c>
      <c r="O59" s="16">
        <f t="shared" si="3"/>
        <v>7.2</v>
      </c>
      <c r="P59" s="16">
        <v>-0.8</v>
      </c>
      <c r="R59" s="28"/>
    </row>
    <row r="60">
      <c r="A60" s="28">
        <v>1.38</v>
      </c>
      <c r="B60" s="28">
        <v>0.63</v>
      </c>
      <c r="K60" s="83"/>
      <c r="L60" s="16">
        <v>0.64</v>
      </c>
      <c r="M60" s="78"/>
      <c r="N60" s="16">
        <v>10.0</v>
      </c>
      <c r="O60" s="16">
        <f t="shared" si="3"/>
        <v>0.96</v>
      </c>
      <c r="P60" s="16" t="s">
        <v>490</v>
      </c>
    </row>
    <row r="61">
      <c r="A61" s="28">
        <v>0.65</v>
      </c>
      <c r="B61" s="28">
        <v>0.02</v>
      </c>
      <c r="K61" s="16" t="s">
        <v>357</v>
      </c>
      <c r="L61" s="16">
        <v>0.42</v>
      </c>
      <c r="M61" s="78"/>
      <c r="N61" s="16">
        <v>10.0</v>
      </c>
      <c r="O61" s="16">
        <f t="shared" si="3"/>
        <v>0.63</v>
      </c>
      <c r="P61" s="16">
        <v>0.0</v>
      </c>
    </row>
    <row r="62">
      <c r="A62" s="28">
        <v>0.0</v>
      </c>
      <c r="B62" s="28">
        <v>0.0</v>
      </c>
      <c r="K62" s="78"/>
      <c r="L62" s="16">
        <v>0.62</v>
      </c>
      <c r="M62" s="78"/>
      <c r="N62" s="16">
        <v>80.0</v>
      </c>
      <c r="O62" s="16">
        <f t="shared" si="3"/>
        <v>7.44</v>
      </c>
      <c r="P62" s="78">
        <f>7.11</f>
        <v>7.11</v>
      </c>
    </row>
    <row r="63">
      <c r="A63" s="28">
        <v>3.79</v>
      </c>
      <c r="B63" s="28">
        <v>1.84</v>
      </c>
      <c r="K63" s="78"/>
      <c r="L63" s="16">
        <v>0.8</v>
      </c>
      <c r="M63" s="78"/>
      <c r="N63" s="16">
        <v>10.0</v>
      </c>
      <c r="O63" s="16">
        <f t="shared" si="3"/>
        <v>1.2</v>
      </c>
      <c r="P63" s="16">
        <v>-3.9</v>
      </c>
    </row>
    <row r="64">
      <c r="A64" s="28">
        <v>0.0</v>
      </c>
      <c r="B64" s="28">
        <v>0.0</v>
      </c>
      <c r="K64" s="16" t="s">
        <v>355</v>
      </c>
      <c r="L64" s="16">
        <v>0.42</v>
      </c>
      <c r="M64" s="78"/>
      <c r="N64" s="16">
        <v>80.0</v>
      </c>
      <c r="O64" s="550">
        <f t="shared" si="3"/>
        <v>5.04</v>
      </c>
      <c r="P64" s="16">
        <v>-4.68</v>
      </c>
    </row>
    <row r="65">
      <c r="A65" s="28">
        <v>5.71</v>
      </c>
      <c r="B65" s="28">
        <v>12.05</v>
      </c>
      <c r="K65" s="78"/>
      <c r="L65" s="16">
        <v>0.8</v>
      </c>
      <c r="M65" s="78"/>
      <c r="N65" s="16">
        <v>100.0</v>
      </c>
      <c r="O65" s="550">
        <f t="shared" si="3"/>
        <v>12</v>
      </c>
      <c r="P65" s="78">
        <f>0.9</f>
        <v>0.9</v>
      </c>
    </row>
    <row r="66">
      <c r="A66" s="28">
        <v>0.0</v>
      </c>
      <c r="B66" s="28">
        <v>0.0</v>
      </c>
      <c r="K66" s="78"/>
      <c r="L66" s="16">
        <v>0.7</v>
      </c>
      <c r="M66" s="551"/>
      <c r="N66" s="16">
        <v>5.0</v>
      </c>
      <c r="O66" s="550">
        <f t="shared" si="3"/>
        <v>0.525</v>
      </c>
      <c r="P66" s="78">
        <f>10.7</f>
        <v>10.7</v>
      </c>
    </row>
    <row r="67">
      <c r="A67" s="28">
        <v>0.0</v>
      </c>
      <c r="B67" s="28">
        <v>0.0</v>
      </c>
      <c r="K67" s="78"/>
      <c r="L67" s="16">
        <v>0.75</v>
      </c>
      <c r="M67" s="78"/>
      <c r="N67" s="16">
        <v>5.0</v>
      </c>
      <c r="O67" s="550">
        <f t="shared" si="3"/>
        <v>0.5625</v>
      </c>
      <c r="P67" s="78">
        <f>1.6</f>
        <v>1.6</v>
      </c>
    </row>
    <row r="68">
      <c r="A68" s="28">
        <v>0.0</v>
      </c>
      <c r="B68" s="28">
        <v>0.0</v>
      </c>
      <c r="K68" s="78"/>
      <c r="L68" s="16">
        <v>0.53</v>
      </c>
      <c r="M68" s="78"/>
      <c r="N68" s="16">
        <v>5.0</v>
      </c>
      <c r="O68" s="550">
        <f t="shared" si="3"/>
        <v>0.3975</v>
      </c>
      <c r="P68" s="78">
        <f>2</f>
        <v>2</v>
      </c>
    </row>
    <row r="69">
      <c r="A69" s="28">
        <v>5.44</v>
      </c>
      <c r="B69" s="28">
        <v>6.02</v>
      </c>
      <c r="K69" s="78"/>
      <c r="L69" s="16">
        <v>0.46</v>
      </c>
      <c r="M69" s="78"/>
      <c r="N69" s="16">
        <v>80.0</v>
      </c>
      <c r="O69" s="550">
        <f t="shared" si="3"/>
        <v>5.52</v>
      </c>
      <c r="P69" s="16">
        <v>-4.37</v>
      </c>
    </row>
    <row r="70">
      <c r="A70" s="28">
        <v>0.0</v>
      </c>
      <c r="B70" s="28">
        <v>0.0</v>
      </c>
      <c r="K70" s="16" t="s">
        <v>316</v>
      </c>
      <c r="L70" s="16">
        <v>0.66</v>
      </c>
      <c r="M70" s="78"/>
      <c r="N70" s="16">
        <v>100.0</v>
      </c>
      <c r="O70" s="550">
        <f t="shared" si="3"/>
        <v>9.9</v>
      </c>
      <c r="P70" s="16">
        <v>-0.5</v>
      </c>
    </row>
    <row r="71">
      <c r="A71" s="28">
        <v>2.26</v>
      </c>
      <c r="B71" s="28">
        <v>1.77</v>
      </c>
      <c r="K71" s="78"/>
      <c r="L71" s="16">
        <v>0.5</v>
      </c>
      <c r="M71" s="78"/>
      <c r="N71" s="16">
        <v>5.0</v>
      </c>
      <c r="O71" s="550">
        <f t="shared" si="3"/>
        <v>0.375</v>
      </c>
      <c r="P71" s="16">
        <v>-1.44</v>
      </c>
    </row>
    <row r="72">
      <c r="A72" s="28">
        <v>0.0</v>
      </c>
      <c r="B72" s="28">
        <v>0.0</v>
      </c>
      <c r="L72" s="35"/>
      <c r="O72" s="235"/>
    </row>
    <row r="73">
      <c r="A73" s="28">
        <v>3.71</v>
      </c>
      <c r="B73" s="28">
        <v>2.83</v>
      </c>
    </row>
    <row r="74">
      <c r="A74" s="28">
        <v>4.23</v>
      </c>
      <c r="B74" s="28">
        <v>1.63</v>
      </c>
      <c r="L74" s="35"/>
    </row>
    <row r="75">
      <c r="A75" s="28">
        <v>1.27</v>
      </c>
      <c r="B75" s="28">
        <v>10.76</v>
      </c>
      <c r="L75" s="35"/>
    </row>
    <row r="76">
      <c r="A76" s="28">
        <v>1.58</v>
      </c>
      <c r="B76" s="28">
        <v>0.49</v>
      </c>
      <c r="L76" s="35"/>
    </row>
    <row r="77">
      <c r="A77" s="28">
        <v>1.73</v>
      </c>
      <c r="B77" s="28">
        <v>0.91</v>
      </c>
    </row>
    <row r="78">
      <c r="A78" s="28">
        <v>2.14</v>
      </c>
      <c r="B78" s="28">
        <v>0.97</v>
      </c>
    </row>
    <row r="79">
      <c r="A79" s="28">
        <v>0.0</v>
      </c>
      <c r="B79" s="28">
        <v>0.0</v>
      </c>
    </row>
    <row r="80">
      <c r="A80" s="28">
        <v>0.0</v>
      </c>
      <c r="B80" s="28">
        <v>0.0</v>
      </c>
    </row>
    <row r="81">
      <c r="A81" s="28">
        <v>-0.48</v>
      </c>
      <c r="B81" s="28">
        <v>16.26</v>
      </c>
    </row>
    <row r="82">
      <c r="A82" s="28">
        <v>1.23</v>
      </c>
      <c r="B82" s="28">
        <v>0.1</v>
      </c>
    </row>
    <row r="83">
      <c r="A83" s="28">
        <v>0.0</v>
      </c>
      <c r="B83" s="28">
        <v>0.0</v>
      </c>
    </row>
    <row r="84">
      <c r="A84" s="28">
        <v>0.0</v>
      </c>
      <c r="B84" s="28">
        <v>0.0</v>
      </c>
    </row>
    <row r="85">
      <c r="A85" s="28">
        <v>0.0</v>
      </c>
      <c r="B85" s="28">
        <v>0.0</v>
      </c>
    </row>
    <row r="86">
      <c r="A86" s="28">
        <v>0.0</v>
      </c>
      <c r="B86" s="28">
        <v>0.0</v>
      </c>
    </row>
    <row r="87">
      <c r="A87" s="28">
        <v>3.58</v>
      </c>
      <c r="B87" s="28">
        <v>0.88</v>
      </c>
    </row>
    <row r="88">
      <c r="A88" s="28">
        <v>-0.2</v>
      </c>
      <c r="B88" s="28">
        <v>6.53</v>
      </c>
    </row>
    <row r="89">
      <c r="A89" s="28">
        <v>2.72</v>
      </c>
      <c r="B89" s="28">
        <v>0.66</v>
      </c>
      <c r="K89" s="28" t="s">
        <v>491</v>
      </c>
    </row>
    <row r="90">
      <c r="A90" s="28">
        <v>3.62</v>
      </c>
      <c r="B90" s="28">
        <v>0.95</v>
      </c>
      <c r="K90" s="35" t="s">
        <v>492</v>
      </c>
    </row>
    <row r="91">
      <c r="A91" s="28">
        <v>2.71</v>
      </c>
      <c r="B91" s="28">
        <v>0.77</v>
      </c>
      <c r="K91" s="19" t="s">
        <v>15</v>
      </c>
      <c r="L91" s="28">
        <v>506.0</v>
      </c>
      <c r="M91" s="28">
        <v>1119.0</v>
      </c>
    </row>
    <row r="92">
      <c r="A92" s="28">
        <v>1.85</v>
      </c>
      <c r="B92" s="28">
        <v>0.52</v>
      </c>
      <c r="K92" s="19" t="s">
        <v>17</v>
      </c>
      <c r="L92" s="28">
        <v>918.0</v>
      </c>
      <c r="M92" s="28">
        <v>1083.0</v>
      </c>
    </row>
    <row r="93">
      <c r="A93" s="28">
        <v>4.72</v>
      </c>
      <c r="B93" s="28">
        <v>2.03</v>
      </c>
      <c r="K93" s="16" t="s">
        <v>19</v>
      </c>
      <c r="L93" s="28">
        <v>900.0</v>
      </c>
      <c r="M93" s="28">
        <v>457.0</v>
      </c>
    </row>
    <row r="94">
      <c r="A94" s="28">
        <v>2.49</v>
      </c>
      <c r="B94" s="28">
        <v>0.55</v>
      </c>
      <c r="K94" s="16" t="s">
        <v>20</v>
      </c>
      <c r="L94" s="28">
        <v>112.0</v>
      </c>
    </row>
    <row r="95">
      <c r="A95" s="28">
        <v>4.39</v>
      </c>
      <c r="B95" s="28">
        <v>2.15</v>
      </c>
      <c r="K95" s="16" t="s">
        <v>21</v>
      </c>
      <c r="L95" s="28">
        <v>1135.0</v>
      </c>
    </row>
    <row r="96">
      <c r="A96" s="28">
        <v>3.12</v>
      </c>
      <c r="B96" s="28">
        <v>1.59</v>
      </c>
    </row>
    <row r="97">
      <c r="A97" s="28">
        <v>2.71</v>
      </c>
      <c r="B97" s="28">
        <v>4.19</v>
      </c>
      <c r="G97" s="20"/>
      <c r="H97" s="48"/>
      <c r="I97" s="48"/>
      <c r="J97" s="48"/>
    </row>
    <row r="98">
      <c r="A98" s="28">
        <v>3.74</v>
      </c>
      <c r="B98" s="28">
        <v>3.15</v>
      </c>
      <c r="G98" s="20"/>
      <c r="H98" s="48"/>
      <c r="I98" s="48"/>
      <c r="J98" s="48"/>
    </row>
    <row r="99">
      <c r="A99" s="28">
        <v>1.26</v>
      </c>
      <c r="B99" s="28">
        <v>0.21</v>
      </c>
      <c r="G99" s="20"/>
      <c r="H99" s="48"/>
      <c r="I99" s="48"/>
      <c r="J99" s="48"/>
    </row>
    <row r="100">
      <c r="A100" s="28">
        <v>5.08</v>
      </c>
      <c r="B100" s="28">
        <v>17.28</v>
      </c>
      <c r="G100" s="20"/>
      <c r="H100" s="48"/>
      <c r="I100" s="48"/>
      <c r="J100" s="48"/>
    </row>
    <row r="101">
      <c r="A101" s="28">
        <v>1.23</v>
      </c>
      <c r="B101" s="28">
        <v>0.33</v>
      </c>
      <c r="G101" s="20"/>
      <c r="H101" s="48"/>
      <c r="I101" s="48"/>
      <c r="J101" s="48"/>
    </row>
    <row r="102">
      <c r="A102" s="28">
        <v>4.36</v>
      </c>
      <c r="B102" s="28">
        <v>4.08</v>
      </c>
      <c r="G102" s="20"/>
      <c r="H102" s="48"/>
      <c r="I102" s="48"/>
      <c r="J102" s="48"/>
    </row>
    <row r="103">
      <c r="A103" s="28">
        <v>3.19</v>
      </c>
      <c r="B103" s="28">
        <v>2.93</v>
      </c>
      <c r="G103" s="20"/>
      <c r="H103" s="48"/>
      <c r="I103" s="48"/>
      <c r="J103" s="48"/>
    </row>
    <row r="104">
      <c r="A104" s="28">
        <v>2.77</v>
      </c>
      <c r="B104" s="28">
        <v>2.09</v>
      </c>
      <c r="G104" s="20"/>
      <c r="H104" s="48"/>
      <c r="I104" s="48"/>
      <c r="J104" s="48"/>
    </row>
    <row r="105">
      <c r="A105" s="28">
        <v>2.81</v>
      </c>
      <c r="B105" s="28">
        <v>2.32</v>
      </c>
      <c r="G105" s="20"/>
      <c r="H105" s="48"/>
      <c r="I105" s="48"/>
      <c r="J105" s="48"/>
    </row>
    <row r="106">
      <c r="A106" s="28">
        <v>3.73</v>
      </c>
      <c r="B106" s="28">
        <v>9.35</v>
      </c>
      <c r="G106" s="20"/>
      <c r="H106" s="48"/>
      <c r="I106" s="48"/>
      <c r="J106" s="48"/>
    </row>
    <row r="107">
      <c r="A107" s="28">
        <v>0.58</v>
      </c>
      <c r="B107" s="28">
        <v>0.03</v>
      </c>
      <c r="G107" s="20"/>
      <c r="H107" s="48"/>
      <c r="I107" s="48"/>
      <c r="J107" s="48"/>
    </row>
    <row r="108">
      <c r="A108" s="28">
        <v>3.44</v>
      </c>
      <c r="B108" s="28">
        <v>2.81</v>
      </c>
      <c r="G108" s="20"/>
      <c r="H108" s="48"/>
      <c r="I108" s="48"/>
      <c r="J108" s="48"/>
    </row>
    <row r="109">
      <c r="A109" s="28">
        <v>3.5</v>
      </c>
      <c r="B109" s="28">
        <v>7.09</v>
      </c>
      <c r="G109" s="20"/>
      <c r="H109" s="48"/>
      <c r="I109" s="48"/>
      <c r="J109" s="48"/>
    </row>
    <row r="110">
      <c r="A110" s="28">
        <v>2.31</v>
      </c>
      <c r="B110" s="28">
        <v>0.91</v>
      </c>
      <c r="G110" s="20"/>
      <c r="H110" s="48"/>
      <c r="I110" s="48"/>
      <c r="J110" s="48"/>
    </row>
    <row r="111">
      <c r="A111" s="28">
        <v>0.56</v>
      </c>
      <c r="B111" s="28">
        <v>0.03</v>
      </c>
      <c r="G111" s="20"/>
      <c r="H111" s="48"/>
      <c r="I111" s="48"/>
      <c r="J111" s="48"/>
    </row>
    <row r="112">
      <c r="A112" s="28">
        <v>2.96</v>
      </c>
      <c r="B112" s="28">
        <v>1.07</v>
      </c>
      <c r="G112" s="20"/>
      <c r="H112" s="48"/>
      <c r="I112" s="48"/>
      <c r="J112" s="48"/>
    </row>
    <row r="113">
      <c r="A113" s="28">
        <v>2.4</v>
      </c>
      <c r="B113" s="28">
        <v>0.93</v>
      </c>
      <c r="G113" s="20"/>
      <c r="H113" s="48"/>
      <c r="I113" s="48"/>
      <c r="J113" s="48"/>
    </row>
    <row r="114">
      <c r="A114" s="28">
        <v>1.13</v>
      </c>
      <c r="B114" s="28">
        <v>0.26</v>
      </c>
      <c r="G114" s="20"/>
      <c r="H114" s="48"/>
      <c r="I114" s="48"/>
      <c r="J114" s="48"/>
    </row>
    <row r="115">
      <c r="A115" s="28">
        <v>0.57</v>
      </c>
      <c r="B115" s="28">
        <v>-0.11</v>
      </c>
      <c r="G115" s="20"/>
      <c r="H115" s="48"/>
      <c r="I115" s="48"/>
      <c r="J115" s="48"/>
    </row>
    <row r="116">
      <c r="A116" s="28">
        <v>0.54</v>
      </c>
      <c r="B116" s="28">
        <v>0.06</v>
      </c>
      <c r="G116" s="20"/>
      <c r="H116" s="48"/>
      <c r="I116" s="48"/>
      <c r="J116" s="48"/>
    </row>
    <row r="117">
      <c r="A117" s="28">
        <v>1.09</v>
      </c>
      <c r="B117" s="28">
        <v>0.19</v>
      </c>
      <c r="G117" s="20"/>
      <c r="H117" s="48"/>
      <c r="I117" s="48"/>
      <c r="J117" s="48"/>
    </row>
    <row r="118">
      <c r="A118" s="28">
        <v>1.11</v>
      </c>
      <c r="B118" s="28">
        <v>0.11</v>
      </c>
      <c r="G118" s="20"/>
      <c r="H118" s="48"/>
      <c r="I118" s="48"/>
      <c r="J118" s="48"/>
    </row>
    <row r="119">
      <c r="A119" s="28">
        <v>1.14</v>
      </c>
      <c r="B119" s="28">
        <v>-0.01</v>
      </c>
      <c r="G119" s="20"/>
      <c r="H119" s="48"/>
      <c r="I119" s="48"/>
      <c r="J119" s="48"/>
    </row>
    <row r="120">
      <c r="A120" s="28">
        <v>0.56</v>
      </c>
      <c r="B120" s="28">
        <v>0.03</v>
      </c>
      <c r="G120" s="20"/>
      <c r="H120" s="48"/>
      <c r="I120" s="48"/>
      <c r="J120" s="48"/>
    </row>
    <row r="121">
      <c r="A121" s="28">
        <v>0.52</v>
      </c>
      <c r="B121" s="28">
        <v>0.01</v>
      </c>
      <c r="G121" s="20"/>
      <c r="H121" s="48"/>
      <c r="I121" s="48"/>
      <c r="J121" s="48"/>
    </row>
    <row r="122">
      <c r="A122" s="28">
        <v>1.75</v>
      </c>
      <c r="B122" s="28">
        <v>0.34</v>
      </c>
      <c r="G122" s="20"/>
      <c r="H122" s="48"/>
      <c r="I122" s="48"/>
      <c r="J122" s="48"/>
    </row>
    <row r="123">
      <c r="A123" s="28">
        <v>1.12</v>
      </c>
      <c r="B123" s="28">
        <v>0.22</v>
      </c>
      <c r="G123" s="20"/>
      <c r="H123" s="48"/>
      <c r="I123" s="48"/>
      <c r="J123" s="48"/>
    </row>
    <row r="124">
      <c r="A124" s="28">
        <v>2.37</v>
      </c>
      <c r="B124" s="28">
        <v>0.72</v>
      </c>
      <c r="G124" s="20"/>
      <c r="H124" s="48"/>
      <c r="I124" s="48"/>
      <c r="J124" s="48"/>
    </row>
    <row r="125">
      <c r="H125" s="48"/>
      <c r="I125" s="48"/>
      <c r="J125" s="48"/>
    </row>
    <row r="126">
      <c r="H126" s="48"/>
      <c r="I126" s="48"/>
      <c r="J126" s="48"/>
    </row>
    <row r="127">
      <c r="H127" s="48"/>
      <c r="I127" s="48"/>
      <c r="J127" s="48"/>
    </row>
    <row r="128">
      <c r="H128" s="48"/>
      <c r="I128" s="48"/>
      <c r="J128" s="48"/>
    </row>
    <row r="129">
      <c r="H129" s="48"/>
      <c r="I129" s="48"/>
      <c r="J129" s="48"/>
    </row>
  </sheetData>
  <drawing r:id="rId1"/>
</worksheet>
</file>