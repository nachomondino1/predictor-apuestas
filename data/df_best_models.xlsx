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actuales'!$A$1:$N$8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<sst xmlns="http://schemas.openxmlformats.org/spreadsheetml/2006/main" count="537" uniqueCount="322">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</sst>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9"/>
      <c r="L2" s="19"/>
      <c r="M2" s="16">
        <v>31833.0939389723</v>
      </c>
      <c r="N2" s="20">
        <f>M2/G2</f>
        <v>54.49862394</v>
      </c>
      <c r="O2" s="21"/>
      <c r="P2" s="22"/>
    </row>
    <row r="3" hidden="1">
      <c r="A3" s="23">
        <v>167.0</v>
      </c>
      <c r="B3" s="23" t="s">
        <v>16</v>
      </c>
      <c r="C3" s="13"/>
      <c r="D3" s="13"/>
      <c r="E3" s="13"/>
      <c r="F3" s="21"/>
      <c r="G3" s="24"/>
      <c r="H3" s="21"/>
      <c r="I3" s="21"/>
      <c r="J3" s="21"/>
      <c r="K3" s="19"/>
      <c r="L3" s="25"/>
      <c r="M3" s="26"/>
      <c r="N3" s="27"/>
      <c r="O3" s="21"/>
      <c r="P3" s="28"/>
    </row>
    <row r="4" ht="19.5" customHeight="1">
      <c r="A4" s="29">
        <v>48.0</v>
      </c>
      <c r="B4" s="30" t="s">
        <v>17</v>
      </c>
      <c r="C4" s="13">
        <v>45693.0</v>
      </c>
      <c r="D4" s="15">
        <v>2240.0</v>
      </c>
      <c r="E4" s="15" t="s">
        <v>15</v>
      </c>
      <c r="F4" s="16"/>
      <c r="G4" s="17"/>
      <c r="H4" s="18">
        <v>25.0</v>
      </c>
      <c r="I4" s="18">
        <v>10.0</v>
      </c>
      <c r="J4" s="18">
        <v>45.0</v>
      </c>
      <c r="K4" s="20">
        <f t="shared" ref="K4:K8" si="1">AVERAGE(H4:J4)</f>
        <v>26.66666667</v>
      </c>
      <c r="L4" s="27">
        <f>K4*'Data preparation'!$C$2</f>
        <v>6.666666667</v>
      </c>
      <c r="M4" s="16"/>
      <c r="N4" s="20" t="str">
        <f t="shared" ref="N4:N8" si="2">M4/G4</f>
        <v>#DIV/0!</v>
      </c>
    </row>
    <row r="5">
      <c r="A5" s="23">
        <v>55.0</v>
      </c>
      <c r="B5" s="30" t="s">
        <v>18</v>
      </c>
      <c r="C5" s="13">
        <v>45693.0</v>
      </c>
      <c r="D5" s="15">
        <v>218.0</v>
      </c>
      <c r="E5" s="15" t="s">
        <v>15</v>
      </c>
      <c r="F5" s="16"/>
      <c r="G5" s="17"/>
      <c r="H5" s="16">
        <v>45.0</v>
      </c>
      <c r="I5" s="16">
        <v>10.0</v>
      </c>
      <c r="J5" s="16">
        <v>10.0</v>
      </c>
      <c r="K5" s="20">
        <f t="shared" si="1"/>
        <v>21.66666667</v>
      </c>
      <c r="L5" s="27">
        <f>K5*'Data preparation'!$C$2</f>
        <v>5.416666667</v>
      </c>
      <c r="M5" s="16"/>
      <c r="N5" s="20" t="str">
        <f t="shared" si="2"/>
        <v>#DIV/0!</v>
      </c>
      <c r="P5" s="31"/>
    </row>
    <row r="6">
      <c r="A6" s="23">
        <v>59.0</v>
      </c>
      <c r="B6" s="23" t="s">
        <v>19</v>
      </c>
      <c r="C6" s="13">
        <v>45693.0</v>
      </c>
      <c r="D6" s="15">
        <v>447.0</v>
      </c>
      <c r="E6" s="15" t="s">
        <v>15</v>
      </c>
      <c r="F6" s="16"/>
      <c r="G6" s="17"/>
      <c r="H6" s="16">
        <v>45.0</v>
      </c>
      <c r="I6" s="16">
        <v>45.0</v>
      </c>
      <c r="J6" s="16">
        <v>10.0</v>
      </c>
      <c r="K6" s="20">
        <f t="shared" si="1"/>
        <v>33.33333333</v>
      </c>
      <c r="L6" s="27">
        <f>K6*'Data preparation'!$C$2</f>
        <v>8.333333333</v>
      </c>
      <c r="M6" s="32"/>
      <c r="N6" s="20" t="str">
        <f t="shared" si="2"/>
        <v>#DIV/0!</v>
      </c>
    </row>
    <row r="7">
      <c r="A7" s="23">
        <v>77.0</v>
      </c>
      <c r="B7" s="23" t="s">
        <v>20</v>
      </c>
      <c r="C7" s="13">
        <v>45693.0</v>
      </c>
      <c r="D7" s="15">
        <v>1157.0</v>
      </c>
      <c r="E7" s="15" t="s">
        <v>15</v>
      </c>
      <c r="F7" s="16"/>
      <c r="G7" s="17"/>
      <c r="H7" s="18">
        <v>10.0</v>
      </c>
      <c r="I7" s="18">
        <v>45.0</v>
      </c>
      <c r="J7" s="18">
        <v>25.0</v>
      </c>
      <c r="K7" s="20">
        <f t="shared" si="1"/>
        <v>26.66666667</v>
      </c>
      <c r="L7" s="27">
        <f>K7*'Data preparation'!$C$2</f>
        <v>6.666666667</v>
      </c>
      <c r="M7" s="16"/>
      <c r="N7" s="20" t="str">
        <f t="shared" si="2"/>
        <v>#DIV/0!</v>
      </c>
    </row>
    <row r="8">
      <c r="A8" s="23">
        <v>148.0</v>
      </c>
      <c r="B8" s="23" t="s">
        <v>21</v>
      </c>
      <c r="C8" s="13">
        <v>45693.0</v>
      </c>
      <c r="D8" s="15">
        <v>508.0</v>
      </c>
      <c r="E8" s="15" t="s">
        <v>15</v>
      </c>
      <c r="F8" s="16"/>
      <c r="G8" s="17"/>
      <c r="H8" s="18"/>
      <c r="I8" s="18"/>
      <c r="J8" s="18"/>
      <c r="K8" s="20" t="str">
        <f t="shared" si="1"/>
        <v>#DIV/0!</v>
      </c>
      <c r="L8" s="27" t="str">
        <f>K8*'Data preparation'!$C$2</f>
        <v>#DIV/0!</v>
      </c>
      <c r="M8" s="16"/>
      <c r="N8" s="20" t="str">
        <f t="shared" si="2"/>
        <v>#DIV/0!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P9" s="33"/>
    </row>
    <row r="10" ht="20.25" customHeight="1"/>
    <row r="11">
      <c r="O11" s="34"/>
    </row>
    <row r="12" ht="20.25" customHeight="1"/>
    <row r="13">
      <c r="A13" s="35"/>
    </row>
    <row r="27">
      <c r="A27" s="35"/>
      <c r="C27" s="36"/>
    </row>
    <row r="28">
      <c r="C28" s="36"/>
    </row>
    <row r="29">
      <c r="C29" s="36"/>
    </row>
    <row r="30">
      <c r="C30" s="36"/>
    </row>
    <row r="31">
      <c r="C31" s="36"/>
    </row>
    <row r="105">
      <c r="L105" s="18"/>
      <c r="M105" s="37"/>
      <c r="N105" s="37"/>
    </row>
    <row r="106">
      <c r="L106" s="18"/>
      <c r="M106" s="37"/>
      <c r="N106" s="37"/>
    </row>
    <row r="107">
      <c r="L107" s="18"/>
      <c r="M107" s="37"/>
      <c r="N107" s="37"/>
    </row>
    <row r="108">
      <c r="L108" s="18"/>
      <c r="M108" s="37"/>
      <c r="N108" s="37"/>
    </row>
    <row r="109">
      <c r="L109" s="18"/>
      <c r="M109" s="37"/>
      <c r="N109" s="37"/>
    </row>
    <row r="110">
      <c r="L110" s="18"/>
      <c r="M110" s="37"/>
      <c r="N110" s="37"/>
    </row>
    <row r="111">
      <c r="L111" s="18"/>
      <c r="M111" s="37"/>
      <c r="N111" s="37"/>
    </row>
    <row r="112">
      <c r="L112" s="18"/>
      <c r="M112" s="37"/>
      <c r="N112" s="37"/>
    </row>
    <row r="113">
      <c r="L113" s="18"/>
      <c r="M113" s="37"/>
      <c r="N113" s="37"/>
    </row>
    <row r="114">
      <c r="L114" s="18"/>
      <c r="M114" s="37"/>
      <c r="N114" s="37"/>
    </row>
    <row r="115">
      <c r="L115" s="18"/>
      <c r="M115" s="37"/>
      <c r="N115" s="37"/>
    </row>
    <row r="116">
      <c r="L116" s="18"/>
      <c r="M116" s="37"/>
      <c r="N116" s="37"/>
    </row>
    <row r="117">
      <c r="L117" s="18"/>
      <c r="M117" s="37"/>
      <c r="N117" s="37"/>
    </row>
    <row r="118">
      <c r="L118" s="18"/>
      <c r="M118" s="37"/>
      <c r="N118" s="37"/>
    </row>
    <row r="119">
      <c r="L119" s="18"/>
      <c r="M119" s="37"/>
      <c r="N119" s="37"/>
    </row>
    <row r="120">
      <c r="L120" s="18"/>
      <c r="M120" s="37"/>
      <c r="N120" s="37"/>
    </row>
    <row r="121">
      <c r="L121" s="18"/>
      <c r="M121" s="37"/>
      <c r="N121" s="37"/>
    </row>
    <row r="122">
      <c r="L122" s="18"/>
      <c r="M122" s="37"/>
      <c r="N122" s="37"/>
    </row>
    <row r="123">
      <c r="L123" s="18"/>
      <c r="M123" s="37"/>
      <c r="N123" s="37"/>
    </row>
    <row r="124">
      <c r="L124" s="18"/>
      <c r="M124" s="37"/>
      <c r="N124" s="37"/>
    </row>
    <row r="125">
      <c r="L125" s="18"/>
      <c r="M125" s="37"/>
      <c r="N125" s="37"/>
    </row>
    <row r="126">
      <c r="L126" s="18"/>
      <c r="M126" s="37"/>
      <c r="N126" s="37"/>
    </row>
    <row r="127">
      <c r="L127" s="18"/>
      <c r="M127" s="37"/>
      <c r="N127" s="37"/>
    </row>
    <row r="128">
      <c r="L128" s="18"/>
      <c r="M128" s="37"/>
      <c r="N128" s="37"/>
    </row>
    <row r="129">
      <c r="L129" s="18"/>
      <c r="M129" s="37"/>
      <c r="N129" s="37"/>
    </row>
    <row r="130">
      <c r="L130" s="18"/>
      <c r="M130" s="37"/>
      <c r="N130" s="37"/>
    </row>
    <row r="131">
      <c r="L131" s="18"/>
      <c r="M131" s="37"/>
      <c r="N131" s="37"/>
    </row>
    <row r="132">
      <c r="L132" s="18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35">
        <v>48.0</v>
      </c>
      <c r="B2" s="41" t="s">
        <v>17</v>
      </c>
      <c r="C2" s="36">
        <v>45679.0</v>
      </c>
      <c r="D2" s="42">
        <v>395.0</v>
      </c>
      <c r="E2" s="42" t="s">
        <v>15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18</v>
      </c>
      <c r="C3" s="36">
        <v>45679.0</v>
      </c>
      <c r="D3" s="42">
        <v>724.0</v>
      </c>
      <c r="E3" s="42" t="s">
        <v>15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19</v>
      </c>
      <c r="C4" s="36">
        <v>45680.0</v>
      </c>
      <c r="D4" s="42">
        <v>1051.0</v>
      </c>
      <c r="E4" s="42" t="s">
        <v>15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20</v>
      </c>
      <c r="C5" s="13">
        <v>45677.0</v>
      </c>
      <c r="D5" s="15">
        <v>931.0</v>
      </c>
      <c r="E5" s="15" t="s">
        <v>15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21</v>
      </c>
      <c r="C6" s="13">
        <v>45677.0</v>
      </c>
      <c r="D6" s="15">
        <v>112.0</v>
      </c>
      <c r="E6" s="15" t="s">
        <v>15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7"/>
      <c r="O7" s="37"/>
      <c r="P7" s="37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22</v>
      </c>
      <c r="L11" s="42" t="s">
        <v>23</v>
      </c>
      <c r="M11" s="44" t="s">
        <v>24</v>
      </c>
      <c r="N11" s="51" t="s">
        <v>25</v>
      </c>
      <c r="O11" s="37"/>
      <c r="P11" s="37"/>
    </row>
    <row r="12">
      <c r="E12" s="50" t="s">
        <v>26</v>
      </c>
      <c r="L12" s="42" t="s">
        <v>27</v>
      </c>
      <c r="M12" s="44" t="s">
        <v>28</v>
      </c>
      <c r="N12" s="51" t="s">
        <v>29</v>
      </c>
      <c r="O12" s="37"/>
      <c r="P12" s="37"/>
    </row>
    <row r="13">
      <c r="M13" s="37"/>
      <c r="O13" s="37"/>
      <c r="P13" s="37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17</v>
      </c>
      <c r="C16" s="36">
        <v>45679.0</v>
      </c>
      <c r="D16" s="54">
        <v>1363.0</v>
      </c>
      <c r="E16" s="42" t="s">
        <v>15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18</v>
      </c>
      <c r="C17" s="36">
        <v>45679.0</v>
      </c>
      <c r="D17" s="42">
        <v>724.0</v>
      </c>
      <c r="E17" s="42" t="s">
        <v>15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19</v>
      </c>
      <c r="C18" s="36">
        <v>45680.0</v>
      </c>
      <c r="D18" s="42">
        <v>935.0</v>
      </c>
      <c r="E18" s="42" t="s">
        <v>15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20</v>
      </c>
      <c r="C19" s="36">
        <v>45677.0</v>
      </c>
      <c r="D19" s="54">
        <v>47.0</v>
      </c>
      <c r="E19" s="42" t="s">
        <v>15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21</v>
      </c>
      <c r="C20" s="36">
        <v>45677.0</v>
      </c>
      <c r="D20" s="42">
        <v>1475.0</v>
      </c>
      <c r="E20" s="42" t="s">
        <v>15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7"/>
      <c r="O21" s="37"/>
      <c r="P21" s="37"/>
    </row>
    <row r="24">
      <c r="C24" s="38" t="s">
        <v>30</v>
      </c>
    </row>
    <row r="25">
      <c r="C25" s="47" t="s">
        <v>31</v>
      </c>
    </row>
    <row r="26">
      <c r="C26" s="55" t="s">
        <v>32</v>
      </c>
    </row>
    <row r="27">
      <c r="C27" s="56" t="s">
        <v>33</v>
      </c>
    </row>
    <row r="28">
      <c r="C28" s="54" t="s">
        <v>34</v>
      </c>
    </row>
    <row r="30">
      <c r="C30" s="57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8">
        <v>1243.0</v>
      </c>
      <c r="D32" s="38">
        <v>52.0</v>
      </c>
      <c r="E32" s="38">
        <v>1146.0</v>
      </c>
      <c r="F32" s="38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8">
        <v>176.0</v>
      </c>
      <c r="S32" s="61">
        <v>364.0</v>
      </c>
      <c r="T32" s="38">
        <v>734.0</v>
      </c>
      <c r="U32" s="38">
        <v>807.0</v>
      </c>
      <c r="V32" s="38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8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7" t="s">
        <v>42</v>
      </c>
      <c r="L65" s="4" t="s">
        <v>43</v>
      </c>
      <c r="M65" s="67" t="s">
        <v>13</v>
      </c>
      <c r="N65" s="68" t="s">
        <v>11</v>
      </c>
    </row>
    <row r="66">
      <c r="C66" s="11">
        <v>6.0</v>
      </c>
      <c r="D66" s="12" t="s">
        <v>14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16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18</v>
      </c>
      <c r="E69" s="13">
        <v>45679.0</v>
      </c>
      <c r="F69" s="15">
        <v>724.0</v>
      </c>
      <c r="G69" s="15" t="s">
        <v>15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19</v>
      </c>
      <c r="E70" s="13">
        <v>45680.0</v>
      </c>
      <c r="F70" s="15">
        <v>935.0</v>
      </c>
      <c r="G70" s="15" t="s">
        <v>15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20</v>
      </c>
      <c r="E71" s="13">
        <v>45677.0</v>
      </c>
      <c r="F71" s="15">
        <v>931.0</v>
      </c>
      <c r="G71" s="15" t="s">
        <v>15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21</v>
      </c>
      <c r="E72" s="13">
        <v>45677.0</v>
      </c>
      <c r="F72" s="15">
        <v>112.0</v>
      </c>
      <c r="G72" s="15" t="s">
        <v>15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8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7" t="s">
        <v>42</v>
      </c>
      <c r="L77" s="4" t="s">
        <v>7</v>
      </c>
      <c r="M77" s="4" t="s">
        <v>8</v>
      </c>
      <c r="N77" s="4" t="s">
        <v>9</v>
      </c>
      <c r="O77" s="4"/>
      <c r="P77" s="4" t="s">
        <v>10</v>
      </c>
      <c r="Q77" s="67" t="s">
        <v>13</v>
      </c>
      <c r="R77" s="68" t="s">
        <v>11</v>
      </c>
    </row>
    <row r="78">
      <c r="C78" s="11">
        <v>6.0</v>
      </c>
      <c r="D78" s="12" t="s">
        <v>14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16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18</v>
      </c>
      <c r="E81" s="13">
        <v>45679.0</v>
      </c>
      <c r="F81" s="15">
        <v>724.0</v>
      </c>
      <c r="G81" s="15" t="s">
        <v>15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19</v>
      </c>
      <c r="E82" s="13">
        <v>45680.0</v>
      </c>
      <c r="F82" s="15">
        <v>935.0</v>
      </c>
      <c r="G82" s="15" t="s">
        <v>15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20</v>
      </c>
      <c r="E83" s="13">
        <v>45677.0</v>
      </c>
      <c r="F83" s="15">
        <v>931.0</v>
      </c>
      <c r="G83" s="15" t="s">
        <v>15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21</v>
      </c>
      <c r="E84" s="13">
        <v>45677.0</v>
      </c>
      <c r="F84" s="15">
        <v>112.0</v>
      </c>
      <c r="G84" s="15" t="s">
        <v>15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</v>
      </c>
      <c r="J96" s="4" t="s">
        <v>31</v>
      </c>
      <c r="K96" s="7" t="s">
        <v>46</v>
      </c>
      <c r="L96" s="7" t="s">
        <v>47</v>
      </c>
      <c r="M96" s="7" t="s">
        <v>48</v>
      </c>
      <c r="N96" s="4" t="s">
        <v>41</v>
      </c>
      <c r="O96" s="7" t="s">
        <v>42</v>
      </c>
      <c r="P96" s="67" t="s">
        <v>13</v>
      </c>
      <c r="Q96" s="4" t="s">
        <v>7</v>
      </c>
      <c r="R96" s="4" t="s">
        <v>8</v>
      </c>
      <c r="S96" s="4" t="s">
        <v>9</v>
      </c>
      <c r="T96" s="4" t="s">
        <v>10</v>
      </c>
      <c r="U96" s="68" t="s">
        <v>11</v>
      </c>
    </row>
    <row r="97">
      <c r="C97" s="11">
        <v>6.0</v>
      </c>
      <c r="D97" s="12" t="s">
        <v>14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16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17</v>
      </c>
      <c r="E99" s="13">
        <v>45679.0</v>
      </c>
      <c r="F99" s="15">
        <v>395.0</v>
      </c>
      <c r="G99" s="15" t="s">
        <v>15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18</v>
      </c>
      <c r="E100" s="13">
        <v>45679.0</v>
      </c>
      <c r="F100" s="15">
        <v>724.0</v>
      </c>
      <c r="G100" s="15" t="s">
        <v>15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19</v>
      </c>
      <c r="E101" s="13">
        <v>45680.0</v>
      </c>
      <c r="F101" s="15">
        <v>935.0</v>
      </c>
      <c r="G101" s="15" t="s">
        <v>15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20</v>
      </c>
      <c r="E102" s="13">
        <v>45677.0</v>
      </c>
      <c r="F102" s="15">
        <v>1623.0</v>
      </c>
      <c r="G102" s="15" t="s">
        <v>15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21</v>
      </c>
      <c r="E103" s="13">
        <v>45677.0</v>
      </c>
      <c r="F103" s="15">
        <v>814.0</v>
      </c>
      <c r="G103" s="15" t="s">
        <v>15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8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6</v>
      </c>
      <c r="H2" s="82" t="s">
        <v>55</v>
      </c>
      <c r="I2" s="82" t="s">
        <v>12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8"/>
    </row>
    <row r="3">
      <c r="A3" s="84" t="s">
        <v>38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37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28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29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25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7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17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18</v>
      </c>
      <c r="F12" s="15">
        <v>724.0</v>
      </c>
      <c r="O12" s="37"/>
      <c r="P12" s="31"/>
      <c r="Q12" s="31"/>
      <c r="S12" s="31"/>
      <c r="T12" s="31"/>
      <c r="V12" s="31"/>
      <c r="W12" s="31"/>
    </row>
    <row r="13">
      <c r="A13" s="31"/>
      <c r="E13" s="23" t="s">
        <v>19</v>
      </c>
      <c r="F13" s="15">
        <v>1051.0</v>
      </c>
      <c r="O13" s="37"/>
      <c r="P13" s="31"/>
      <c r="Q13" s="31"/>
      <c r="S13" s="31"/>
      <c r="T13" s="31"/>
      <c r="V13" s="31"/>
      <c r="W13" s="31"/>
    </row>
    <row r="14">
      <c r="A14" s="31"/>
      <c r="E14" s="23" t="s">
        <v>20</v>
      </c>
      <c r="F14" s="15">
        <v>47.0</v>
      </c>
      <c r="N14" s="37"/>
      <c r="O14" s="37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21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17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18</v>
      </c>
      <c r="F20" s="15">
        <v>654.0</v>
      </c>
      <c r="O20" s="43"/>
      <c r="Q20" s="31"/>
      <c r="S20" s="31"/>
      <c r="T20" s="31"/>
    </row>
    <row r="21">
      <c r="E21" s="23" t="s">
        <v>19</v>
      </c>
      <c r="F21" s="15">
        <v>1051.0</v>
      </c>
      <c r="O21" s="43"/>
      <c r="P21" s="31"/>
      <c r="T21" s="31"/>
    </row>
    <row r="22">
      <c r="E22" s="23" t="s">
        <v>20</v>
      </c>
      <c r="F22" s="15">
        <v>622.0</v>
      </c>
      <c r="M22" s="49"/>
      <c r="O22" s="37"/>
      <c r="P22" s="31"/>
      <c r="T22" s="31"/>
    </row>
    <row r="23">
      <c r="E23" s="23" t="s">
        <v>21</v>
      </c>
      <c r="F23" s="15">
        <v>1545.0</v>
      </c>
      <c r="M23" s="49"/>
      <c r="O23" s="37"/>
      <c r="T23" s="31"/>
    </row>
    <row r="24">
      <c r="M24" s="49"/>
      <c r="O24" s="37"/>
      <c r="Q24" s="31"/>
      <c r="T24" s="31"/>
    </row>
    <row r="25">
      <c r="O25" s="37"/>
    </row>
    <row r="26">
      <c r="O26" s="37"/>
      <c r="T26" s="31"/>
    </row>
    <row r="27">
      <c r="N27" s="37"/>
      <c r="O27" s="3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16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17</v>
      </c>
      <c r="E35" s="13">
        <v>45679.0</v>
      </c>
      <c r="F35" s="15">
        <v>343.0</v>
      </c>
      <c r="G35" s="15" t="s">
        <v>15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18</v>
      </c>
      <c r="E36" s="13">
        <v>45679.0</v>
      </c>
      <c r="F36" s="15">
        <v>724.0</v>
      </c>
      <c r="G36" s="15" t="s">
        <v>15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19</v>
      </c>
      <c r="E37" s="13">
        <v>45680.0</v>
      </c>
      <c r="F37" s="15">
        <v>1051.0</v>
      </c>
      <c r="G37" s="15" t="s">
        <v>15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20</v>
      </c>
      <c r="E38" s="13">
        <v>45677.0</v>
      </c>
      <c r="F38" s="15">
        <v>281.0</v>
      </c>
      <c r="G38" s="15" t="s">
        <v>15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21</v>
      </c>
      <c r="E39" s="13">
        <v>45677.0</v>
      </c>
      <c r="F39" s="15">
        <v>1051.0</v>
      </c>
      <c r="G39" s="15" t="s">
        <v>15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42" t="s">
        <v>64</v>
      </c>
      <c r="C9" s="42" t="s">
        <v>65</v>
      </c>
      <c r="D9" s="42" t="s">
        <v>66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67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68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69</v>
      </c>
    </row>
    <row r="17">
      <c r="G17" s="89"/>
      <c r="H17" s="38" t="s">
        <v>70</v>
      </c>
      <c r="I17" s="38" t="s">
        <v>71</v>
      </c>
    </row>
    <row r="18">
      <c r="A18" s="42">
        <v>332.0</v>
      </c>
      <c r="B18" s="42">
        <v>0.05</v>
      </c>
      <c r="C18" s="42">
        <v>0.85</v>
      </c>
      <c r="G18" s="90" t="s">
        <v>38</v>
      </c>
      <c r="H18" s="42">
        <v>332.0</v>
      </c>
      <c r="I18" s="91" t="s">
        <v>72</v>
      </c>
    </row>
    <row r="19">
      <c r="A19" s="42">
        <v>518.0</v>
      </c>
      <c r="B19" s="42">
        <v>0.01</v>
      </c>
      <c r="C19" s="42">
        <v>0.81</v>
      </c>
      <c r="G19" s="90" t="s">
        <v>37</v>
      </c>
      <c r="H19" s="42" t="s">
        <v>73</v>
      </c>
      <c r="I19" s="42" t="s">
        <v>74</v>
      </c>
    </row>
    <row r="20">
      <c r="A20" s="42">
        <v>1082.0</v>
      </c>
      <c r="B20" s="42">
        <v>0.04</v>
      </c>
      <c r="C20" s="42">
        <v>0.89</v>
      </c>
      <c r="G20" s="90" t="s">
        <v>28</v>
      </c>
      <c r="H20" s="42">
        <v>411.0</v>
      </c>
      <c r="I20" s="42" t="s">
        <v>75</v>
      </c>
    </row>
    <row r="21">
      <c r="G21" s="90" t="s">
        <v>29</v>
      </c>
      <c r="H21" s="42" t="s">
        <v>76</v>
      </c>
      <c r="I21" s="42" t="s">
        <v>77</v>
      </c>
    </row>
    <row r="22">
      <c r="G22" s="90" t="s">
        <v>25</v>
      </c>
      <c r="H22" s="42" t="s">
        <v>78</v>
      </c>
      <c r="I22" s="42" t="s">
        <v>79</v>
      </c>
    </row>
    <row r="24">
      <c r="B24" s="12"/>
      <c r="I24" s="42" t="s">
        <v>80</v>
      </c>
    </row>
    <row r="25">
      <c r="B25" s="2" t="s">
        <v>1</v>
      </c>
      <c r="I25" s="42" t="s">
        <v>81</v>
      </c>
    </row>
    <row r="26">
      <c r="B26" s="30" t="s">
        <v>17</v>
      </c>
      <c r="C26" s="42">
        <v>332.0</v>
      </c>
      <c r="M26" s="37"/>
      <c r="N26" s="37"/>
    </row>
    <row r="27">
      <c r="B27" s="30" t="s">
        <v>18</v>
      </c>
      <c r="C27" s="42">
        <v>1288.0</v>
      </c>
      <c r="M27" s="37"/>
      <c r="N27" s="37"/>
    </row>
    <row r="28">
      <c r="B28" s="23" t="s">
        <v>19</v>
      </c>
      <c r="C28" s="42">
        <v>411.0</v>
      </c>
      <c r="M28" s="37"/>
      <c r="N28" s="37"/>
    </row>
    <row r="29">
      <c r="B29" s="23" t="s">
        <v>20</v>
      </c>
      <c r="C29" s="42">
        <v>1015.0</v>
      </c>
      <c r="M29" s="37"/>
      <c r="N29" s="37"/>
    </row>
    <row r="30">
      <c r="B30" s="23" t="s">
        <v>21</v>
      </c>
      <c r="C30" s="42">
        <v>530.0</v>
      </c>
      <c r="I30" s="38" t="s">
        <v>82</v>
      </c>
      <c r="M30" s="37"/>
      <c r="N30" s="37"/>
    </row>
    <row r="31">
      <c r="I31" s="38" t="s">
        <v>83</v>
      </c>
      <c r="M31" s="37"/>
      <c r="N31" s="37"/>
    </row>
    <row r="32">
      <c r="I32" s="42" t="s">
        <v>84</v>
      </c>
      <c r="M32" s="37"/>
      <c r="N32" s="37"/>
    </row>
    <row r="33">
      <c r="I33" s="42" t="s">
        <v>85</v>
      </c>
      <c r="M33" s="37"/>
      <c r="N33" s="37"/>
    </row>
    <row r="34">
      <c r="M34" s="37"/>
      <c r="N34" s="37"/>
    </row>
    <row r="35">
      <c r="I35" s="42" t="s">
        <v>86</v>
      </c>
      <c r="M35" s="37"/>
      <c r="N35" s="37"/>
    </row>
    <row r="36">
      <c r="M36" s="37"/>
      <c r="N36" s="37"/>
    </row>
    <row r="37">
      <c r="M37" s="37"/>
      <c r="N37" s="37"/>
    </row>
    <row r="38">
      <c r="M38" s="37"/>
      <c r="N38" s="37"/>
    </row>
    <row r="39">
      <c r="I39" s="38" t="s">
        <v>87</v>
      </c>
      <c r="M39" s="37"/>
      <c r="N39" s="37"/>
    </row>
    <row r="40">
      <c r="I40" s="42" t="s">
        <v>88</v>
      </c>
      <c r="M40" s="37"/>
      <c r="N40" s="37"/>
    </row>
    <row r="41">
      <c r="I41" s="42" t="s">
        <v>89</v>
      </c>
      <c r="M41" s="37"/>
      <c r="N41" s="37"/>
    </row>
    <row r="42">
      <c r="I42" s="57" t="s">
        <v>90</v>
      </c>
      <c r="M42" s="37"/>
      <c r="N42" s="37"/>
    </row>
    <row r="43">
      <c r="M43" s="37"/>
      <c r="N43" s="37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2" t="s">
        <v>92</v>
      </c>
    </row>
    <row r="3">
      <c r="C3" s="42" t="s">
        <v>93</v>
      </c>
      <c r="D3" s="42" t="s">
        <v>94</v>
      </c>
      <c r="H3" s="42" t="s">
        <v>95</v>
      </c>
      <c r="K3" s="37"/>
      <c r="L3" s="37"/>
    </row>
    <row r="4">
      <c r="B4" s="42" t="s">
        <v>38</v>
      </c>
      <c r="C4" s="38" t="s">
        <v>96</v>
      </c>
      <c r="D4" s="38" t="s">
        <v>96</v>
      </c>
      <c r="H4" s="42" t="s">
        <v>97</v>
      </c>
      <c r="I4" s="34"/>
      <c r="J4" s="34"/>
      <c r="K4" s="37"/>
      <c r="L4" s="37"/>
    </row>
    <row r="5">
      <c r="B5" s="38" t="s">
        <v>98</v>
      </c>
      <c r="C5" s="40">
        <f t="shared" ref="C5:D5" si="1">SUM(C6:C18)</f>
        <v>23.59</v>
      </c>
      <c r="D5" s="40">
        <f t="shared" si="1"/>
        <v>33.21</v>
      </c>
      <c r="E5" s="88">
        <f>(D5-C5)/C5</f>
        <v>0.4077999152</v>
      </c>
      <c r="F5" s="42" t="s">
        <v>99</v>
      </c>
    </row>
    <row r="6">
      <c r="C6" s="42">
        <v>2.99</v>
      </c>
      <c r="D6" s="42">
        <v>4.4</v>
      </c>
    </row>
    <row r="7">
      <c r="C7" s="42">
        <v>3.75</v>
      </c>
      <c r="D7" s="42">
        <v>3.06</v>
      </c>
      <c r="H7" s="42" t="s">
        <v>100</v>
      </c>
    </row>
    <row r="8">
      <c r="C8" s="42">
        <v>3.6</v>
      </c>
      <c r="D8" s="42">
        <v>2.27</v>
      </c>
    </row>
    <row r="9">
      <c r="C9" s="42">
        <v>1.86</v>
      </c>
      <c r="D9" s="42">
        <v>2.3</v>
      </c>
      <c r="H9" s="42" t="s">
        <v>101</v>
      </c>
    </row>
    <row r="10">
      <c r="C10" s="42">
        <v>1.49</v>
      </c>
      <c r="D10" s="42">
        <v>1.89</v>
      </c>
    </row>
    <row r="11">
      <c r="C11" s="42">
        <v>0.3</v>
      </c>
      <c r="D11" s="42">
        <v>4.18</v>
      </c>
      <c r="H11" s="42" t="s">
        <v>102</v>
      </c>
    </row>
    <row r="12">
      <c r="C12" s="42">
        <v>1.11</v>
      </c>
      <c r="D12" s="42">
        <v>3.1</v>
      </c>
    </row>
    <row r="13">
      <c r="C13" s="42">
        <v>2.12</v>
      </c>
      <c r="D13" s="42">
        <v>2.35</v>
      </c>
      <c r="H13" s="42" t="s">
        <v>103</v>
      </c>
    </row>
    <row r="14">
      <c r="C14" s="42">
        <v>2.27</v>
      </c>
      <c r="D14" s="42">
        <v>1.89</v>
      </c>
    </row>
    <row r="15">
      <c r="C15" s="42">
        <v>1.29</v>
      </c>
      <c r="D15" s="42">
        <v>1.84</v>
      </c>
    </row>
    <row r="16">
      <c r="C16" s="42">
        <v>0.73</v>
      </c>
      <c r="D16" s="42">
        <v>1.37</v>
      </c>
      <c r="H16" s="42" t="s">
        <v>104</v>
      </c>
    </row>
    <row r="17">
      <c r="C17" s="42">
        <v>1.01</v>
      </c>
      <c r="D17" s="42">
        <v>2.3</v>
      </c>
    </row>
    <row r="18">
      <c r="C18" s="42">
        <v>1.07</v>
      </c>
      <c r="D18" s="42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0">
        <f t="shared" ref="C21:D21" si="2">sum(C22:C34)</f>
        <v>17.92</v>
      </c>
      <c r="D21" s="40">
        <f t="shared" si="2"/>
        <v>25.11</v>
      </c>
      <c r="E21" s="88">
        <f>(D21-C21)/C21</f>
        <v>0.4012276786</v>
      </c>
      <c r="F21" s="42" t="s">
        <v>99</v>
      </c>
    </row>
    <row r="22">
      <c r="C22" s="42">
        <v>1.97</v>
      </c>
      <c r="D22" s="42">
        <v>3.42</v>
      </c>
    </row>
    <row r="23">
      <c r="C23" s="42">
        <v>1.37</v>
      </c>
      <c r="D23" s="42">
        <v>2.97</v>
      </c>
    </row>
    <row r="24">
      <c r="C24" s="42">
        <v>0.9</v>
      </c>
      <c r="D24" s="42">
        <v>1.97</v>
      </c>
    </row>
    <row r="25">
      <c r="C25" s="42">
        <v>1.11</v>
      </c>
      <c r="D25" s="42">
        <v>1.29</v>
      </c>
    </row>
    <row r="26">
      <c r="C26" s="42">
        <v>1.42</v>
      </c>
      <c r="D26" s="42">
        <v>1.68</v>
      </c>
    </row>
    <row r="27">
      <c r="C27" s="42">
        <v>1.63</v>
      </c>
      <c r="D27" s="42">
        <v>1.37</v>
      </c>
    </row>
    <row r="28">
      <c r="C28" s="42">
        <v>2.46</v>
      </c>
      <c r="D28" s="42">
        <v>2.09</v>
      </c>
    </row>
    <row r="29">
      <c r="C29" s="42">
        <v>2.77</v>
      </c>
      <c r="D29" s="42">
        <v>1.34</v>
      </c>
    </row>
    <row r="30">
      <c r="C30" s="42">
        <v>1.67</v>
      </c>
      <c r="D30" s="42">
        <v>3.31</v>
      </c>
    </row>
    <row r="31">
      <c r="C31" s="42">
        <v>0.3</v>
      </c>
      <c r="D31" s="42">
        <v>1.58</v>
      </c>
    </row>
    <row r="32">
      <c r="C32" s="42">
        <v>1.63</v>
      </c>
      <c r="D32" s="42">
        <v>0.92</v>
      </c>
    </row>
    <row r="33">
      <c r="C33" s="42">
        <v>0.09</v>
      </c>
      <c r="D33" s="42">
        <v>0.91</v>
      </c>
    </row>
    <row r="34">
      <c r="C34" s="42">
        <v>0.6</v>
      </c>
      <c r="D34" s="42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0">
        <f t="shared" ref="C38:D38" si="3">sum(C39:C51)</f>
        <v>41.51</v>
      </c>
      <c r="D38" s="40">
        <f t="shared" si="3"/>
        <v>42.82</v>
      </c>
      <c r="E38" s="88">
        <f>(D38-C38)/C38</f>
        <v>0.03155866056</v>
      </c>
      <c r="F38" s="42" t="s">
        <v>105</v>
      </c>
    </row>
    <row r="39">
      <c r="C39" s="42">
        <v>1.76</v>
      </c>
      <c r="D39" s="42">
        <v>3.01</v>
      </c>
    </row>
    <row r="40">
      <c r="C40" s="42">
        <v>5.05</v>
      </c>
      <c r="D40" s="42">
        <v>5.05</v>
      </c>
    </row>
    <row r="41">
      <c r="C41" s="42">
        <v>3.96</v>
      </c>
      <c r="D41" s="42">
        <v>3.16</v>
      </c>
    </row>
    <row r="42">
      <c r="C42" s="42">
        <v>3.42</v>
      </c>
      <c r="D42" s="42">
        <v>2.13</v>
      </c>
    </row>
    <row r="43">
      <c r="C43" s="42">
        <v>4.29</v>
      </c>
      <c r="D43" s="42">
        <v>3.96</v>
      </c>
    </row>
    <row r="44">
      <c r="C44" s="42">
        <v>4.28</v>
      </c>
      <c r="D44" s="42">
        <v>2.16</v>
      </c>
    </row>
    <row r="45">
      <c r="C45" s="42">
        <v>3.14</v>
      </c>
      <c r="D45" s="42">
        <v>1.69</v>
      </c>
    </row>
    <row r="46">
      <c r="C46" s="42">
        <v>4.19</v>
      </c>
      <c r="D46" s="42">
        <v>4.28</v>
      </c>
    </row>
    <row r="47">
      <c r="C47" s="42">
        <v>3.32</v>
      </c>
      <c r="D47" s="42">
        <v>3.98</v>
      </c>
    </row>
    <row r="48">
      <c r="C48" s="42">
        <v>0.93</v>
      </c>
      <c r="D48" s="42">
        <v>4.76</v>
      </c>
    </row>
    <row r="49">
      <c r="C49" s="42">
        <v>4.38</v>
      </c>
      <c r="D49" s="42">
        <v>2.07</v>
      </c>
      <c r="K49" s="37"/>
      <c r="L49" s="37"/>
    </row>
    <row r="50">
      <c r="C50" s="42">
        <v>2.21</v>
      </c>
      <c r="D50" s="42">
        <v>3.14</v>
      </c>
      <c r="K50" s="37"/>
      <c r="L50" s="37"/>
    </row>
    <row r="51">
      <c r="C51" s="42">
        <v>0.58</v>
      </c>
      <c r="D51" s="42">
        <v>3.43</v>
      </c>
      <c r="K51" s="37"/>
      <c r="L51" s="37"/>
    </row>
    <row r="52">
      <c r="K52" s="37"/>
      <c r="L52" s="37"/>
    </row>
    <row r="53">
      <c r="K53" s="37"/>
      <c r="L53" s="37"/>
    </row>
    <row r="54">
      <c r="B54" s="38" t="s">
        <v>29</v>
      </c>
      <c r="C54" s="38" t="s">
        <v>93</v>
      </c>
      <c r="D54" s="38" t="s">
        <v>94</v>
      </c>
      <c r="K54" s="37"/>
      <c r="L54" s="37"/>
    </row>
    <row r="55">
      <c r="B55" s="38" t="s">
        <v>98</v>
      </c>
      <c r="C55" s="40">
        <f>sum(C56:C69)</f>
        <v>26.14</v>
      </c>
      <c r="D55" s="40">
        <f>sum(D56:D68)</f>
        <v>26.29</v>
      </c>
      <c r="E55" s="88">
        <f>(D55-C55)/C55</f>
        <v>0.005738332058</v>
      </c>
      <c r="F55" s="42" t="s">
        <v>105</v>
      </c>
      <c r="K55" s="37"/>
      <c r="L55" s="37"/>
    </row>
    <row r="56">
      <c r="C56" s="42">
        <v>1.37</v>
      </c>
      <c r="D56" s="42">
        <v>4.62</v>
      </c>
      <c r="K56" s="37"/>
      <c r="L56" s="37"/>
    </row>
    <row r="57">
      <c r="C57" s="42">
        <v>2.53</v>
      </c>
      <c r="D57" s="42">
        <v>1.75</v>
      </c>
      <c r="K57" s="37"/>
      <c r="L57" s="37"/>
    </row>
    <row r="58">
      <c r="C58" s="42">
        <v>2.5</v>
      </c>
      <c r="D58" s="42">
        <v>2.53</v>
      </c>
      <c r="K58" s="37"/>
      <c r="L58" s="37"/>
    </row>
    <row r="59">
      <c r="C59" s="42">
        <v>4.62</v>
      </c>
      <c r="D59" s="42">
        <v>2.5</v>
      </c>
      <c r="K59" s="37"/>
      <c r="L59" s="37"/>
    </row>
    <row r="60">
      <c r="C60" s="42">
        <v>1.51</v>
      </c>
      <c r="D60" s="42">
        <v>1.85</v>
      </c>
      <c r="K60" s="37"/>
      <c r="L60" s="37"/>
    </row>
    <row r="61">
      <c r="C61" s="42">
        <v>2.54</v>
      </c>
      <c r="D61" s="42">
        <v>1.51</v>
      </c>
      <c r="K61" s="37"/>
      <c r="L61" s="37"/>
    </row>
    <row r="62">
      <c r="C62" s="42">
        <v>1.9</v>
      </c>
      <c r="D62" s="42">
        <v>1.09</v>
      </c>
      <c r="K62" s="37"/>
      <c r="L62" s="37"/>
    </row>
    <row r="63">
      <c r="C63" s="42">
        <v>1.79</v>
      </c>
      <c r="D63" s="42">
        <v>1.39</v>
      </c>
      <c r="K63" s="37"/>
      <c r="L63" s="37"/>
    </row>
    <row r="64">
      <c r="C64" s="42">
        <v>1.95</v>
      </c>
      <c r="D64" s="42">
        <v>1.17</v>
      </c>
      <c r="K64" s="37"/>
      <c r="L64" s="37"/>
    </row>
    <row r="65">
      <c r="C65" s="42">
        <v>0.87</v>
      </c>
      <c r="D65" s="42">
        <v>1.9</v>
      </c>
      <c r="K65" s="37"/>
      <c r="L65" s="37"/>
    </row>
    <row r="66">
      <c r="C66" s="42">
        <v>1.46</v>
      </c>
      <c r="D66" s="42">
        <v>1.02</v>
      </c>
      <c r="K66" s="37"/>
      <c r="L66" s="37"/>
    </row>
    <row r="67">
      <c r="C67" s="42">
        <v>0.59</v>
      </c>
      <c r="D67" s="42">
        <v>2.42</v>
      </c>
      <c r="K67" s="37"/>
      <c r="L67" s="37"/>
    </row>
    <row r="68">
      <c r="C68" s="42">
        <v>0.6</v>
      </c>
      <c r="D68" s="42">
        <v>2.54</v>
      </c>
      <c r="K68" s="37"/>
      <c r="L68" s="37"/>
    </row>
    <row r="69">
      <c r="C69" s="42">
        <v>1.91</v>
      </c>
      <c r="D69" s="42">
        <v>1.46</v>
      </c>
      <c r="K69" s="37"/>
      <c r="L69" s="37"/>
    </row>
    <row r="70">
      <c r="K70" s="37"/>
      <c r="L70" s="37"/>
    </row>
    <row r="71">
      <c r="B71" s="38" t="s">
        <v>25</v>
      </c>
      <c r="C71" s="38" t="s">
        <v>93</v>
      </c>
      <c r="D71" s="38" t="s">
        <v>94</v>
      </c>
      <c r="K71" s="37"/>
      <c r="L71" s="37"/>
    </row>
    <row r="72">
      <c r="B72" s="38" t="s">
        <v>98</v>
      </c>
      <c r="C72" s="40">
        <f>sum(C73:C86)</f>
        <v>15.74</v>
      </c>
      <c r="D72" s="40">
        <f>sum(D73:D85)</f>
        <v>21.91</v>
      </c>
      <c r="E72" s="88">
        <f>(D72-C72)/C72</f>
        <v>0.3919949174</v>
      </c>
      <c r="F72" s="42" t="s">
        <v>99</v>
      </c>
      <c r="K72" s="37"/>
      <c r="L72" s="37"/>
    </row>
    <row r="73">
      <c r="C73" s="42">
        <v>1.39</v>
      </c>
      <c r="D73" s="42">
        <v>2.51</v>
      </c>
      <c r="K73" s="37"/>
      <c r="L73" s="37"/>
    </row>
    <row r="74">
      <c r="C74" s="42">
        <v>0.61</v>
      </c>
      <c r="D74" s="42">
        <v>1.39</v>
      </c>
      <c r="K74" s="37"/>
      <c r="L74" s="37"/>
    </row>
    <row r="75">
      <c r="C75" s="42">
        <v>1.58</v>
      </c>
      <c r="D75" s="42">
        <v>1.4</v>
      </c>
      <c r="K75" s="37"/>
      <c r="L75" s="37"/>
    </row>
    <row r="76">
      <c r="C76" s="42">
        <v>0.56</v>
      </c>
      <c r="D76" s="42">
        <v>3.85</v>
      </c>
      <c r="K76" s="37"/>
      <c r="L76" s="37"/>
    </row>
    <row r="77">
      <c r="C77" s="42">
        <v>0.74</v>
      </c>
      <c r="D77" s="42">
        <v>0.74</v>
      </c>
      <c r="K77" s="37"/>
      <c r="L77" s="37"/>
    </row>
    <row r="78">
      <c r="C78" s="42">
        <v>0.99</v>
      </c>
      <c r="D78" s="42">
        <v>0.99</v>
      </c>
      <c r="K78" s="37"/>
      <c r="L78" s="37"/>
    </row>
    <row r="79">
      <c r="C79" s="42">
        <v>3.84</v>
      </c>
      <c r="D79" s="42">
        <v>3.84</v>
      </c>
      <c r="K79" s="37"/>
      <c r="L79" s="37"/>
    </row>
    <row r="80">
      <c r="C80" s="42">
        <v>1.58</v>
      </c>
      <c r="D80" s="42">
        <v>1.58</v>
      </c>
      <c r="K80" s="37"/>
      <c r="L80" s="37"/>
    </row>
    <row r="81">
      <c r="C81" s="42">
        <v>0.88</v>
      </c>
      <c r="D81" s="42">
        <v>2.37</v>
      </c>
      <c r="K81" s="37"/>
      <c r="L81" s="37"/>
    </row>
    <row r="82">
      <c r="C82" s="42">
        <v>0.99</v>
      </c>
      <c r="D82" s="42">
        <v>0.56</v>
      </c>
      <c r="K82" s="37"/>
      <c r="L82" s="37"/>
    </row>
    <row r="83">
      <c r="C83" s="42">
        <v>1.13</v>
      </c>
      <c r="D83" s="42">
        <v>0.61</v>
      </c>
      <c r="K83" s="37"/>
      <c r="L83" s="37"/>
    </row>
    <row r="84">
      <c r="C84" s="42">
        <v>0.91</v>
      </c>
      <c r="D84" s="42">
        <v>1.22</v>
      </c>
      <c r="K84" s="37"/>
      <c r="L84" s="37"/>
    </row>
    <row r="85">
      <c r="C85" s="42">
        <v>0.54</v>
      </c>
      <c r="D85" s="42">
        <v>0.85</v>
      </c>
      <c r="K85" s="37"/>
      <c r="L85" s="37"/>
    </row>
    <row r="86">
      <c r="K86" s="37"/>
      <c r="L86" s="37"/>
    </row>
    <row r="87">
      <c r="K87" s="37"/>
      <c r="L87" s="37"/>
    </row>
    <row r="88">
      <c r="K88" s="37"/>
      <c r="L88" s="37"/>
    </row>
    <row r="89">
      <c r="K89" s="37"/>
      <c r="L89" s="37"/>
    </row>
    <row r="90">
      <c r="K90" s="37"/>
      <c r="L90" s="37"/>
    </row>
    <row r="91">
      <c r="K91" s="37"/>
      <c r="L91" s="37"/>
    </row>
    <row r="92">
      <c r="K92" s="37"/>
      <c r="L92" s="37"/>
    </row>
    <row r="93">
      <c r="K93" s="37"/>
      <c r="L93" s="37"/>
    </row>
    <row r="94">
      <c r="K94" s="37"/>
      <c r="L94" s="37"/>
    </row>
    <row r="95">
      <c r="K95" s="37"/>
      <c r="L95" s="37"/>
    </row>
    <row r="96">
      <c r="J96" s="18"/>
      <c r="K96" s="37"/>
      <c r="L96" s="37"/>
    </row>
    <row r="97">
      <c r="J97" s="18"/>
      <c r="K97" s="37"/>
      <c r="L97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106</v>
      </c>
    </row>
    <row r="2">
      <c r="B2" s="9"/>
      <c r="C2" s="92" t="s">
        <v>107</v>
      </c>
      <c r="E2" s="93"/>
      <c r="F2" s="94" t="s">
        <v>108</v>
      </c>
      <c r="H2" s="93"/>
    </row>
    <row r="3">
      <c r="B3" s="95" t="s">
        <v>109</v>
      </c>
      <c r="C3" s="96" t="s">
        <v>110</v>
      </c>
      <c r="D3" s="95" t="s">
        <v>111</v>
      </c>
      <c r="E3" s="97" t="s">
        <v>96</v>
      </c>
      <c r="F3" s="95" t="s">
        <v>112</v>
      </c>
      <c r="G3" s="95" t="s">
        <v>113</v>
      </c>
      <c r="H3" s="95" t="s">
        <v>114</v>
      </c>
    </row>
    <row r="4">
      <c r="B4" s="98" t="s">
        <v>115</v>
      </c>
      <c r="C4" s="99" t="s">
        <v>116</v>
      </c>
      <c r="D4" s="100" t="s">
        <v>117</v>
      </c>
      <c r="E4" s="101" t="s">
        <v>118</v>
      </c>
      <c r="F4" s="102" t="s">
        <v>119</v>
      </c>
      <c r="G4" s="102" t="s">
        <v>120</v>
      </c>
      <c r="H4" s="100"/>
    </row>
    <row r="5">
      <c r="B5" s="98" t="s">
        <v>121</v>
      </c>
      <c r="C5" s="103" t="s">
        <v>122</v>
      </c>
      <c r="D5" s="104"/>
      <c r="E5" s="101" t="s">
        <v>118</v>
      </c>
      <c r="F5" s="105" t="s">
        <v>123</v>
      </c>
      <c r="G5" s="106" t="s">
        <v>124</v>
      </c>
      <c r="H5" s="100"/>
    </row>
    <row r="6">
      <c r="B6" s="98" t="s">
        <v>125</v>
      </c>
      <c r="C6" s="99" t="s">
        <v>116</v>
      </c>
      <c r="D6" s="100" t="s">
        <v>126</v>
      </c>
      <c r="E6" s="101" t="s">
        <v>118</v>
      </c>
      <c r="F6" s="100" t="s">
        <v>127</v>
      </c>
      <c r="G6" s="100"/>
      <c r="H6" s="100"/>
    </row>
    <row r="7">
      <c r="B7" s="100" t="s">
        <v>128</v>
      </c>
      <c r="C7" s="107" t="s">
        <v>129</v>
      </c>
      <c r="D7" s="100"/>
      <c r="E7" s="108" t="s">
        <v>130</v>
      </c>
      <c r="F7" s="99" t="s">
        <v>131</v>
      </c>
      <c r="G7" s="100"/>
      <c r="H7" s="100" t="s">
        <v>132</v>
      </c>
    </row>
    <row r="8">
      <c r="B8" s="109" t="s">
        <v>133</v>
      </c>
      <c r="C8" s="110" t="s">
        <v>134</v>
      </c>
      <c r="D8" s="111"/>
      <c r="E8" s="109" t="s">
        <v>135</v>
      </c>
      <c r="F8" s="112" t="s">
        <v>136</v>
      </c>
      <c r="G8" s="113" t="s">
        <v>137</v>
      </c>
      <c r="H8" s="111"/>
    </row>
    <row r="9">
      <c r="B9" s="23" t="s">
        <v>138</v>
      </c>
      <c r="C9" s="114" t="s">
        <v>134</v>
      </c>
      <c r="D9" s="79"/>
      <c r="E9" s="79"/>
      <c r="F9" s="115"/>
      <c r="G9" s="79"/>
      <c r="H9" s="79"/>
    </row>
    <row r="10">
      <c r="B10" s="23" t="s">
        <v>139</v>
      </c>
      <c r="C10" s="115"/>
      <c r="D10" s="79"/>
      <c r="E10" s="79"/>
      <c r="F10" s="115"/>
      <c r="G10" s="102" t="s">
        <v>120</v>
      </c>
      <c r="H10" s="79"/>
    </row>
    <row r="11">
      <c r="B11" s="23" t="s">
        <v>140</v>
      </c>
      <c r="C11" s="115"/>
      <c r="D11" s="79"/>
      <c r="E11" s="79"/>
      <c r="F11" s="115"/>
      <c r="G11" s="116" t="s">
        <v>141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142</v>
      </c>
      <c r="C2" s="18">
        <v>0.25</v>
      </c>
      <c r="L2" s="117"/>
    </row>
    <row r="3">
      <c r="A3" s="18"/>
      <c r="B3" s="94" t="s">
        <v>143</v>
      </c>
      <c r="C3" s="21" t="str">
        <f>AVERAGE('Modelos actuales'!L4:L8)</f>
        <v>#DIV/0!</v>
      </c>
      <c r="L3" s="117"/>
      <c r="P3" s="117"/>
    </row>
    <row r="4">
      <c r="A4" s="18"/>
      <c r="B4" s="117"/>
      <c r="L4" s="117"/>
      <c r="P4" s="117"/>
      <c r="AE4" s="42" t="s">
        <v>144</v>
      </c>
      <c r="AF4" s="118">
        <f>CORREL(AE6:AE10000,AF6:AF10000)</f>
        <v>0.4113182759</v>
      </c>
    </row>
    <row r="5">
      <c r="A5" s="18"/>
      <c r="B5" s="117" t="s">
        <v>145</v>
      </c>
      <c r="L5" s="117" t="s">
        <v>146</v>
      </c>
      <c r="P5" s="117" t="s">
        <v>147</v>
      </c>
      <c r="AE5" s="42" t="s">
        <v>148</v>
      </c>
      <c r="AF5" s="42" t="s">
        <v>149</v>
      </c>
    </row>
    <row r="6">
      <c r="A6" s="18"/>
      <c r="B6" s="42" t="s">
        <v>150</v>
      </c>
      <c r="F6" s="42" t="s">
        <v>151</v>
      </c>
      <c r="K6" s="38"/>
      <c r="L6" s="38" t="s">
        <v>152</v>
      </c>
      <c r="N6" s="38" t="s">
        <v>153</v>
      </c>
      <c r="P6" s="38" t="s">
        <v>154</v>
      </c>
      <c r="R6" s="38" t="s">
        <v>155</v>
      </c>
      <c r="V6" s="38" t="s">
        <v>156</v>
      </c>
      <c r="AA6" s="42" t="s">
        <v>157</v>
      </c>
      <c r="AB6" s="42" t="s">
        <v>158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159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160</v>
      </c>
      <c r="C8" s="123" t="str">
        <f t="shared" ref="C8:C17" si="5">REPLACE(B8,FIND(".",B8),1,",")*1</f>
        <v>#VALUE!</v>
      </c>
      <c r="F8" s="47" t="s">
        <v>161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162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163</v>
      </c>
      <c r="C9" s="123" t="str">
        <f t="shared" si="5"/>
        <v>#VALUE!</v>
      </c>
      <c r="F9" s="47" t="s">
        <v>164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165</v>
      </c>
      <c r="M9" s="119" t="s">
        <v>166</v>
      </c>
      <c r="N9" s="38" t="s">
        <v>167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168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169</v>
      </c>
      <c r="C10" s="123" t="str">
        <f t="shared" si="5"/>
        <v>#VALUE!</v>
      </c>
      <c r="F10" s="47" t="s">
        <v>170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171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172</v>
      </c>
      <c r="C11" s="123" t="str">
        <f t="shared" si="5"/>
        <v>#VALUE!</v>
      </c>
      <c r="F11" s="47" t="s">
        <v>173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174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175</v>
      </c>
      <c r="C12" s="123" t="str">
        <f t="shared" si="5"/>
        <v>#VALUE!</v>
      </c>
      <c r="F12" s="47" t="s">
        <v>176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171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177</v>
      </c>
      <c r="C13" s="123" t="str">
        <f t="shared" si="5"/>
        <v>#VALUE!</v>
      </c>
      <c r="F13" s="47" t="s">
        <v>178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179</v>
      </c>
      <c r="T13" s="84" t="s">
        <v>180</v>
      </c>
      <c r="U13" s="84" t="s">
        <v>181</v>
      </c>
      <c r="AA13" s="42" t="s">
        <v>182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183</v>
      </c>
      <c r="C14" s="123" t="str">
        <f t="shared" si="5"/>
        <v>#VALUE!</v>
      </c>
      <c r="F14" s="47" t="s">
        <v>184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185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186</v>
      </c>
      <c r="C15" s="123" t="str">
        <f t="shared" si="5"/>
        <v>#VALUE!</v>
      </c>
      <c r="F15" s="47" t="s">
        <v>187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188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189</v>
      </c>
      <c r="C16" s="123" t="str">
        <f t="shared" si="5"/>
        <v>#VALUE!</v>
      </c>
      <c r="F16" s="47" t="s">
        <v>190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191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192</v>
      </c>
      <c r="C17" s="123" t="str">
        <f t="shared" si="5"/>
        <v>#VALUE!</v>
      </c>
      <c r="F17" s="47" t="s">
        <v>193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194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195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8" t="s">
        <v>196</v>
      </c>
      <c r="C19" s="41" t="str">
        <f>AVERAGE(C8:C17)</f>
        <v>#VALUE!</v>
      </c>
      <c r="F19" s="47" t="s">
        <v>197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198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199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200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179</v>
      </c>
      <c r="T21" s="84" t="s">
        <v>180</v>
      </c>
      <c r="U21" s="84" t="s">
        <v>181</v>
      </c>
      <c r="AE21" s="42">
        <v>146.62</v>
      </c>
      <c r="AF21" s="42">
        <v>74.55</v>
      </c>
    </row>
    <row r="22">
      <c r="C22" s="123"/>
      <c r="F22" s="47" t="s">
        <v>201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202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203</v>
      </c>
      <c r="G25" s="123" t="str">
        <f t="shared" si="6"/>
        <v>#VALUE!</v>
      </c>
      <c r="I25" s="42">
        <v>10.0</v>
      </c>
      <c r="P25" s="121">
        <v>1.0</v>
      </c>
      <c r="R25" s="84" t="s">
        <v>194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204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205</v>
      </c>
      <c r="AB28" s="42" t="s">
        <v>206</v>
      </c>
      <c r="AC28" s="42" t="s">
        <v>206</v>
      </c>
      <c r="AE28" s="42">
        <v>106.73</v>
      </c>
      <c r="AF28" s="42">
        <v>-68.34</v>
      </c>
    </row>
    <row r="29">
      <c r="F29" s="38" t="s">
        <v>196</v>
      </c>
      <c r="G29" s="41" t="str">
        <f>AVERAGE(G8:G27)</f>
        <v>#VALUE!</v>
      </c>
      <c r="H29" s="38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207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208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8" t="s">
        <v>209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8" t="s">
        <v>38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8" t="s">
        <v>37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8" t="s">
        <v>28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210</v>
      </c>
      <c r="D39" s="123">
        <f t="shared" ref="D39:D221" si="17">IF(COUNTA(C39)=1,C39/1,"")</f>
        <v>1.87</v>
      </c>
      <c r="G39" s="38" t="s">
        <v>29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211</v>
      </c>
      <c r="D40" s="123">
        <f t="shared" si="17"/>
        <v>2.17</v>
      </c>
      <c r="G40" s="38" t="s">
        <v>25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212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213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214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215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216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217</v>
      </c>
      <c r="D46" s="123">
        <f t="shared" si="17"/>
        <v>2.67</v>
      </c>
      <c r="G46" s="95" t="s">
        <v>218</v>
      </c>
      <c r="H46" s="95" t="s">
        <v>219</v>
      </c>
      <c r="P46" s="121">
        <v>0.0</v>
      </c>
      <c r="AE46" s="42">
        <v>69.63</v>
      </c>
      <c r="AF46" s="42">
        <v>-60.86</v>
      </c>
    </row>
    <row r="47">
      <c r="C47" s="134" t="s">
        <v>220</v>
      </c>
      <c r="D47" s="123">
        <f t="shared" si="17"/>
        <v>2.49</v>
      </c>
      <c r="G47" s="100" t="s">
        <v>38</v>
      </c>
      <c r="H47" s="135">
        <v>0.376453591155815</v>
      </c>
      <c r="P47" s="121">
        <v>2.0</v>
      </c>
      <c r="AA47" s="42" t="s">
        <v>3</v>
      </c>
      <c r="AB47" s="42" t="s">
        <v>206</v>
      </c>
      <c r="AE47" s="42">
        <v>67.98</v>
      </c>
      <c r="AF47" s="42">
        <v>104.85</v>
      </c>
    </row>
    <row r="48">
      <c r="C48" s="134" t="s">
        <v>221</v>
      </c>
      <c r="D48" s="123">
        <f t="shared" si="17"/>
        <v>2.75</v>
      </c>
      <c r="G48" s="100" t="s">
        <v>37</v>
      </c>
      <c r="H48" s="135">
        <v>0.36678739680281</v>
      </c>
      <c r="J48" s="42" t="s">
        <v>222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223</v>
      </c>
      <c r="D49" s="123">
        <f t="shared" si="17"/>
        <v>1.83</v>
      </c>
      <c r="G49" s="100" t="s">
        <v>28</v>
      </c>
      <c r="H49" s="135">
        <v>0.142870351877935</v>
      </c>
      <c r="J49" s="42" t="s">
        <v>224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223</v>
      </c>
      <c r="D50" s="123">
        <f t="shared" si="17"/>
        <v>1.83</v>
      </c>
      <c r="G50" s="100" t="s">
        <v>29</v>
      </c>
      <c r="H50" s="135">
        <v>0.497437843674554</v>
      </c>
      <c r="J50" s="42" t="s">
        <v>225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226</v>
      </c>
      <c r="D51" s="123">
        <f t="shared" si="17"/>
        <v>7.09</v>
      </c>
      <c r="G51" s="100" t="s">
        <v>25</v>
      </c>
      <c r="H51" s="135">
        <v>0.247446036291655</v>
      </c>
      <c r="J51" s="42" t="s">
        <v>227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192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228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229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230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231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232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233</v>
      </c>
      <c r="D58" s="123">
        <f t="shared" si="17"/>
        <v>3.55</v>
      </c>
      <c r="G58" s="136" t="s">
        <v>234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235</v>
      </c>
      <c r="D59" s="123">
        <f t="shared" si="17"/>
        <v>3.94</v>
      </c>
      <c r="G59" s="137"/>
      <c r="H59" s="138" t="s">
        <v>236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237</v>
      </c>
      <c r="D60" s="123">
        <f t="shared" si="17"/>
        <v>3.95</v>
      </c>
      <c r="G60" s="137"/>
      <c r="H60" s="138" t="s">
        <v>238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239</v>
      </c>
      <c r="D61" s="123">
        <f t="shared" si="17"/>
        <v>8.55</v>
      </c>
      <c r="G61" s="137"/>
      <c r="H61" s="138" t="s">
        <v>240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241</v>
      </c>
      <c r="D62" s="123">
        <f t="shared" si="17"/>
        <v>4.12</v>
      </c>
      <c r="G62" s="137"/>
      <c r="H62" s="138" t="s">
        <v>242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243</v>
      </c>
      <c r="D63" s="123">
        <f t="shared" si="17"/>
        <v>7.78</v>
      </c>
      <c r="G63" s="137"/>
      <c r="H63" s="138" t="s">
        <v>244</v>
      </c>
      <c r="P63" s="121">
        <v>0.0</v>
      </c>
      <c r="AE63" s="42">
        <v>43.45</v>
      </c>
      <c r="AF63" s="42">
        <v>-44.18</v>
      </c>
    </row>
    <row r="64">
      <c r="C64" s="134" t="s">
        <v>217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211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245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246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247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248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249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250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251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252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253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254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255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256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257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258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259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260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261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262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263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264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265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266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267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268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269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270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271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272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273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274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275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276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277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278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279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280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281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282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283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252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284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285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286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287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288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289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290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291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292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293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294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295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296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175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297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298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299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300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301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302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269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303</v>
      </c>
      <c r="C1" s="145"/>
      <c r="D1" s="145"/>
      <c r="E1" s="145"/>
      <c r="F1" s="145"/>
      <c r="G1" s="146" t="s">
        <v>304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305</v>
      </c>
      <c r="C2" s="149" t="s">
        <v>306</v>
      </c>
      <c r="D2" s="149" t="s">
        <v>206</v>
      </c>
      <c r="E2" s="149" t="s">
        <v>307</v>
      </c>
      <c r="F2" s="150" t="s">
        <v>308</v>
      </c>
      <c r="G2" s="148">
        <v>1.0</v>
      </c>
      <c r="H2" s="149" t="s">
        <v>158</v>
      </c>
      <c r="I2" s="149">
        <v>2.0</v>
      </c>
      <c r="J2" s="149" t="s">
        <v>309</v>
      </c>
      <c r="K2" s="151" t="s">
        <v>310</v>
      </c>
      <c r="L2" s="149" t="s">
        <v>311</v>
      </c>
      <c r="M2" s="152" t="s">
        <v>312</v>
      </c>
      <c r="N2" s="100" t="s">
        <v>313</v>
      </c>
      <c r="O2" s="100" t="s">
        <v>314</v>
      </c>
      <c r="P2" s="100" t="s">
        <v>315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198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316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158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317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318</v>
      </c>
      <c r="M29" s="94" t="s">
        <v>319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320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158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321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