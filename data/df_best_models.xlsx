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Data preparation" sheetId="2" r:id="rId5"/>
    <sheet state="visible" name="Historial de entrenamientos" sheetId="3" r:id="rId6"/>
    <sheet state="visible" name="Historial de modelos" sheetId="4" r:id="rId7"/>
    <sheet state="visible" name="Analisis Doble oportunidad" sheetId="5" r:id="rId8"/>
    <sheet state="visible" name="Copia de Modelos actuales" sheetId="6" r:id="rId9"/>
    <sheet state="hidden" name="Peores modelos" sheetId="7" r:id="rId10"/>
  </sheets>
  <definedNames>
    <definedName hidden="1" localSheetId="0" name="_xlnm._FilterDatabase">'Modelos actuales'!$A$1:$AL$8</definedName>
    <definedName hidden="1" localSheetId="2" name="_xlnm._FilterDatabase">'Historial de entrenamientos'!$A$2:$N$15</definedName>
    <definedName hidden="1" localSheetId="3" name="_xlnm._FilterDatabase">'Historial de modelos'!$A$1:$AC$8</definedName>
    <definedName hidden="1" localSheetId="5" name="_xlnm._FilterDatabase">'Copia de Modelos actuales'!$A$1:$AL$8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H1">
      <text>
        <t xml:space="preserve">Cuantos mas años de datos, mas jugadores viejos pero no habia FIFA...
No es una medida real...
</t>
      </text>
    </comment>
    <comment authorId="0" ref="V1">
      <text>
        <t xml:space="preserve">Fecha de evaluacion de modelos ya entrenados con partidos missing ("en produccion").</t>
      </text>
    </comment>
    <comment authorId="0" ref="W1">
      <text>
        <t xml:space="preserve">solo en las competiciones que estan en comp_to_select</t>
      </text>
    </comment>
    <comment authorId="0" ref="AB1">
      <text>
        <t xml:space="preserve">Muchas veces hay modelos outlier...
que despues terminan cayendo y ajustandose </t>
      </text>
    </comment>
    <comment authorId="0" ref="AG1">
      <text>
        <t xml:space="preserve">Idealmente -0.5 para que vaya por el rdo predicho (por que tal vez a la gente no le paso el resultado a apostar)</t>
      </text>
    </comment>
    <comment authorId="0" ref="AK1">
      <text>
        <t xml:space="preserve">el m a utilizar cuando apuesto</t>
      </text>
    </comment>
    <comment authorId="0" ref="AA2">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AB2">
      <text>
        <t xml:space="preserve">dejo afuera outlier 1173</t>
      </text>
    </comment>
    <comment authorId="0" ref="AI2">
      <text>
        <t xml:space="preserve">El assess aun no entiende que en un dia los stake_to_bet como porcentaje del bank debe ser menor a 100... y ajustar el m en consecuencia.</t>
      </text>
    </comment>
    <comment authorId="0" ref="AB3">
      <text>
        <t xml:space="preserve">dejo afuera outlier de 808 y 196</t>
      </text>
    </comment>
    <comment authorId="0" ref="AL5">
      <text>
        <t xml:space="preserve">el 167 y el 175 estan muy atras cuando los analizas sin un bank simultaneo..
</t>
      </text>
    </comment>
    <comment authorId="0" ref="Z7">
      <text>
        <t xml:space="preserve">Fue porque son los de final de temporada y por arreglo de partidos?
</t>
      </text>
    </comment>
    <comment authorId="0" ref="AA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2">
      <text>
        <t xml:space="preserve">Muchas veces hay modelos outlier...
que despues terminan cayendo y ajustandose </t>
      </text>
    </comment>
    <comment authorId="0" ref="N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N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E11">
      <text>
        <t xml:space="preserve">Probar sin cups porque aca tienen banda de peso.</t>
      </text>
    </comment>
    <comment authorId="0" ref="F12">
      <text>
        <t xml:space="preserve">inicio:  31/7 20 hs
Fin: 1/8 12hs
Duracion: 16 hs</t>
      </text>
    </comment>
    <comment authorId="0" ref="H12">
      <text>
        <t xml:space="preserve">muchos tienen 90 partidos, otros inclusive 60</t>
      </text>
    </comment>
    <comment authorId="0" ref="F15">
      <text>
        <t xml:space="preserve">inicio: Jueves 5 sept 16:30 hs
fin: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Muchas veces hay modelos outlier...
que despues terminan cayendo y ajustandose </t>
      </text>
    </comment>
    <comment authorId="0" ref="V1">
      <text>
        <t xml:space="preserve">el m a utilizar cuando apuesto</t>
      </text>
    </comment>
    <comment authorId="0" ref="W1">
      <text>
        <t xml:space="preserve">Idealmente -0.5 para que vaya por el rdo predicho (por que tal vez a la gente no le paso el resultado a apostar)</t>
      </text>
    </comment>
    <comment authorId="0" ref="Z1">
      <text>
        <t xml:space="preserve">solo en las competiciones que estan en comp_to_select</t>
      </text>
    </comment>
    <comment authorId="0" ref="AB1">
      <text>
        <t xml:space="preserve">usando un m=15</t>
      </text>
    </comment>
    <comment authorId="0" ref="AC3">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AC8">
      <text>
        <t xml:space="preserve">Si bien no es el que mas roi_pp tiene, es el primero con under y n_years_to_select &gt;= 10.
n_years            Average of roi_por_partido
3                       0,06
5                       0,01
10                     0,17
None                 0,14
Grand Total       0,09
</t>
      </text>
    </comment>
    <comment authorId="0" ref="C19">
      <text>
        <t xml:space="preserve">Fecha de entrenamiento de modelos</t>
      </text>
    </comment>
    <comment authorId="0" ref="C52">
      <text>
        <t xml:space="preserve">Fecha de entrenamiento de modelos</t>
      </text>
    </comment>
    <comment authorId="0" ref="R52">
      <text>
        <t xml:space="preserve">Fecha de evaluacion de modelos ya entrenados con partidos missing ("en produccion").</t>
      </text>
    </comment>
    <comment authorId="0" ref="S52">
      <text>
        <t xml:space="preserve">solo en las competiciones que estan en comp_to_select</t>
      </text>
    </comment>
    <comment authorId="0" ref="V52">
      <text>
        <t xml:space="preserve">Muchas veces hay modelos outlier...
que despues terminan cayendo y ajustandose </t>
      </text>
    </comment>
    <comment authorId="0" ref="AB52">
      <text>
        <t xml:space="preserve">Idealmente -0.5 para que vaya por el rdo predicho (por que tal vez a la gente no le paso el resultado a apostar)</t>
      </text>
    </comment>
    <comment authorId="0" ref="AC52">
      <text>
        <t xml:space="preserve">el m a utilizar cuando apuesto</t>
      </text>
    </comment>
    <comment authorId="0" ref="U54">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V54">
      <text>
        <t xml:space="preserve">dejo afuera outlier del 989</t>
      </text>
    </comment>
    <comment authorId="0" ref="T55">
      <text>
        <t xml:space="preserve">Fue porque son los de final de temporada y por arreglo de partidos?
</t>
      </text>
    </comment>
    <comment authorId="0" ref="V56">
      <text>
        <t xml:space="preserve">dejo afuera outlier de 808</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H1">
      <text>
        <t xml:space="preserve">Cuantos mas años de datos, mas jugadores viejos pero no habia FIFA...
No es una medida real...
</t>
      </text>
    </comment>
    <comment authorId="0" ref="V1">
      <text>
        <t xml:space="preserve">Fecha de evaluacion de modelos ya entrenados con partidos missing ("en produccion").</t>
      </text>
    </comment>
    <comment authorId="0" ref="W1">
      <text>
        <t xml:space="preserve">solo en las competiciones que estan en comp_to_select</t>
      </text>
    </comment>
    <comment authorId="0" ref="AB1">
      <text>
        <t xml:space="preserve">Muchas veces hay modelos outlier...
que despues terminan cayendo y ajustandose </t>
      </text>
    </comment>
    <comment authorId="0" ref="AG1">
      <text>
        <t xml:space="preserve">Idealmente -0.5 para que vaya por el rdo predicho (por que tal vez a la gente no le paso el resultado a apostar)</t>
      </text>
    </comment>
    <comment authorId="0" ref="AK1">
      <text>
        <t xml:space="preserve">el m a utilizar cuando apuesto</t>
      </text>
    </comment>
    <comment authorId="0" ref="AA2">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AB2">
      <text>
        <t xml:space="preserve">dejo afuera outlier 1173</t>
      </text>
    </comment>
    <comment authorId="0" ref="AI2">
      <text>
        <t xml:space="preserve">El assess aun no entiende que en un dia los stake_to_bet como porcentaje del bank debe ser menor a 100... y ajustar el m en consecuencia.</t>
      </text>
    </comment>
    <comment authorId="0" ref="AB3">
      <text>
        <t xml:space="preserve">dejo afuera outlier de 808 y 196</t>
      </text>
    </comment>
    <comment authorId="0" ref="AL5">
      <text>
        <t xml:space="preserve">el 167 y el 175 estan muy atras cuando los analizas sin un bank simultaneo..
</t>
      </text>
    </comment>
    <comment authorId="0" ref="Z7">
      <text>
        <t xml:space="preserve">Fue porque son los de final de temporada y por arreglo de partidos?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<sst xmlns="http://schemas.openxmlformats.org/spreadsheetml/2006/main" count="647" uniqueCount="202">
  <si>
    <t>id_country</t>
  </si>
  <si>
    <t>country</t>
  </si>
  <si>
    <t>iteration_date</t>
  </si>
  <si>
    <t># modelos entrenados</t>
  </si>
  <si>
    <t>Hiperparametros probados</t>
  </si>
  <si>
    <t># jugadores integrados</t>
  </si>
  <si>
    <t># jugadores totales SOFIFA</t>
  </si>
  <si>
    <t># jugadores totales</t>
  </si>
  <si>
    <t>% jugadores integrados</t>
  </si>
  <si>
    <t>n_model</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</si>
  <si>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</si>
  <si>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</si>
  <si>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</si>
  <si>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</si>
  <si>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</si>
  <si>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</si>
  <si>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</si>
  <si>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</si>
  <si>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</si>
  <si>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</si>
  <si>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</si>
  <si>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</si>
  <si>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</si>
  <si>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</si>
  <si>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</si>
  <si>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</si>
  <si>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</si>
  <si>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</si>
  <si>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Metrica para m_to_use</t>
  </si>
  <si>
    <t>roi_por_partido en partido 50</t>
  </si>
  <si>
    <t>ROI</t>
  </si>
  <si>
    <t>roi_por_partido</t>
  </si>
  <si>
    <t>thr_prob_min_best</t>
  </si>
  <si>
    <t>curva</t>
  </si>
  <si>
    <t>param1</t>
  </si>
  <si>
    <t>param2</t>
  </si>
  <si>
    <t>m_to_use</t>
  </si>
  <si>
    <t>Observaciones</t>
  </si>
  <si>
    <t>france</t>
  </si>
  <si>
    <t>0.9</t>
  </si>
  <si>
    <t>[551, 552, 553, 554, 555]</t>
  </si>
  <si>
    <t>ml</t>
  </si>
  <si>
    <t>under</t>
  </si>
  <si>
    <t>LogisticRegression</t>
  </si>
  <si>
    <t>-0.5</t>
  </si>
  <si>
    <t>linear</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</si>
  <si>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</si>
  <si>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england</t>
  </si>
  <si>
    <t>[481, 482, 483, 484, 485]</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</si>
  <si>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</si>
  <si>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spain</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</si>
  <si>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</si>
  <si>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0.70</t>
  </si>
  <si>
    <t>[1481, 1482, 1483, 1484]</t>
  </si>
  <si>
    <t>-0.25</t>
  </si>
  <si>
    <t>El 732 no es el mejor modelo segun ROI pero viene con ROI ascendente en la nueva temporada (a diferencia del 552 (6674 --&gt; 2912) u otro). 319 --&gt; 1684.</t>
  </si>
  <si>
    <t>usa</t>
  </si>
  <si>
    <t>0.8</t>
  </si>
  <si>
    <t>0.2</t>
  </si>
  <si>
    <t>[1671, 1672]</t>
  </si>
  <si>
    <t>Modelos en observación:
- 589: p2. ROI creciente. Menor volatildiad.
- 163 (p7) y 175 (p9). Idem. Pero peor que el modelo 589 x roi pp.</t>
  </si>
  <si>
    <t>germany</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</si>
  <si>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</si>
  <si>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0.7</t>
  </si>
  <si>
    <t>0.1</t>
  </si>
  <si>
    <t>[591, 593, 594]</t>
  </si>
  <si>
    <t>Modelo en observación: 252. Si bien no es el mejor, viene de roi_pp creciente. Sobretodo en la nueva temporada. Aun no le saco tanta ventaja al 54.</t>
  </si>
  <si>
    <t>italy</t>
  </si>
  <si>
    <t>[771, 772, 773, 774]</t>
  </si>
  <si>
    <t>SVC</t>
  </si>
  <si>
    <t>exponential</t>
  </si>
  <si>
    <t>(0.33, 10)</t>
  </si>
  <si>
    <t>(1, 80)</t>
  </si>
  <si>
    <t>Hasta el 20/8, le tenia miedo al doble oportunidad pero ahora ya no.
Evito el modelo 174 porque es demasiado volatil. Prefiero precision para la gente.</t>
  </si>
  <si>
    <t>argentina</t>
  </si>
  <si>
    <t>[61, 62, 64, 65, 66, 67]</t>
  </si>
  <si>
    <t>(1, 50)</t>
  </si>
  <si>
    <t>Parametros para apostar</t>
  </si>
  <si>
    <t>max roi pp</t>
  </si>
  <si>
    <t xml:space="preserve">Promedio ROI pp top 10 modelos </t>
  </si>
  <si>
    <t xml:space="preserve">Promedio ROI pp top 20 modelos </t>
  </si>
  <si>
    <t>max m</t>
  </si>
  <si>
    <t>0.07</t>
  </si>
  <si>
    <t>2.84</t>
  </si>
  <si>
    <t>0.00</t>
  </si>
  <si>
    <t>2.24</t>
  </si>
  <si>
    <t>0.02</t>
  </si>
  <si>
    <t>2.43</t>
  </si>
  <si>
    <t>-0.04</t>
  </si>
  <si>
    <t>2.46</t>
  </si>
  <si>
    <t>0.03</t>
  </si>
  <si>
    <t>1.33</t>
  </si>
  <si>
    <t>-0.07</t>
  </si>
  <si>
    <t>1.97</t>
  </si>
  <si>
    <t>3.41</t>
  </si>
  <si>
    <t>0.35</t>
  </si>
  <si>
    <t>1.77</t>
  </si>
  <si>
    <t>1.78</t>
  </si>
  <si>
    <t>1.81</t>
  </si>
  <si>
    <t>1.84</t>
  </si>
  <si>
    <t>1.85</t>
  </si>
  <si>
    <t>Entrenamiento</t>
  </si>
  <si>
    <t>Evaluacion de modelos entrenados</t>
  </si>
  <si>
    <t>Pais</t>
  </si>
  <si>
    <t>Fecha</t>
  </si>
  <si>
    <t>Motivo de corrida</t>
  </si>
  <si>
    <t>Tiempo de entrenamiento</t>
  </si>
  <si>
    <t xml:space="preserve">ROI pp en partido 50 promedio top 10 modelos </t>
  </si>
  <si>
    <t xml:space="preserve">ROI pp en partido 100 promedio top 10 modelos </t>
  </si>
  <si>
    <t xml:space="preserve">ROI pp promedio top 10 modelos </t>
  </si>
  <si>
    <t>En uso?</t>
  </si>
  <si>
    <t>Motivo de descarte</t>
  </si>
  <si>
    <t>Obs</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</si>
  <si>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</si>
  <si>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</si>
  <si>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</si>
  <si>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</si>
  <si>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t>Lo intente volver a usar pero borre los df en preparacion (e.g. df_integrated) y en extraccion.</t>
  </si>
  <si>
    <t>No puede predecir partidos de equipos recien ascendidos. --&gt; lo arregle al agregar el rellenado de variable de jugadores cuando uno de los 2 equipos si tiene valor.</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</si>
  <si>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</si>
  <si>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Si</t>
  </si>
  <si>
    <t>Uso el modelo 808 a pesar de ser outlier porque no veo overfitting en los hiperparametros de estrategia de apuesta.</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</si>
  <si>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</si>
  <si>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El anterior entrenamiento (2024-05-06) tiene problemas con integracion y con prediccion de partidos de equipos recien ascendidos (Venezia, Parma y Como).</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</si>
  <si>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</si>
  <si>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</si>
  <si>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</si>
  <si>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</si>
  <si>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2 a 3 dias</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</si>
  <si>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</si>
  <si>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Por que da peor?</t>
  </si>
  <si>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</si>
  <si>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16 horas</t>
  </si>
  <si>
    <r>
      <rPr>
        <rFont val="Arial"/>
        <color rgb="FFFF9900"/>
      </rPr>
      <t>Peores resultados respecto del entrenamiento anterior (2024-05-06).</t>
    </r>
    <r>
      <rPr>
        <rFont val="Arial"/>
        <color theme="1"/>
      </rPr>
      <t xml:space="preserve">
</t>
    </r>
  </si>
  <si>
    <t>De los top 10 models, hay 4 con 61 partidos, 4 con 91 y 2 con 100
Por que da peor?</t>
  </si>
  <si>
    <t>El entrenamiento del 2024-07-25 tiene un ROI pp muy bajo y solamente el 4% de los modelos tiene un ROIpp &gt; 0.</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</si>
  <si>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</si>
  <si>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2 dias</t>
  </si>
  <si>
    <t>Es lo mismo que el entrenamiento del 2024-07-25. No funcionó probar más hiperparametros. El % de modelos con ROI pp &gt; 0 sigue siendo del 4% y el mejor modelo tiene un ROI similar en ambos casos.
O sea, mejoró pero claramente lo que va a hacer que mejore es una mejor integracion de jugadores.</t>
  </si>
  <si>
    <t>Estoy haciendo el experimento sobre la centralizacion del mapeo de jugadores entre Flashscore y Sofifa. Quiero ver si el ROI mejora al entrenar los modelos con todos los jugadores mapeados de todas las ligas (y no solo de ITA).
En teoria deberia ser mejor. Aunque pruebo con muy poco hiperparametros para que se corra rapido.</t>
  </si>
  <si>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</si>
  <si>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de 4 a 6 horas aprox</t>
  </si>
  <si>
    <t>Horribles resultados. Es probable que la haya cagado en algun lado?</t>
  </si>
  <si>
    <t>Estoy haciendo el experimento sobre la centralizacion 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</si>
  <si>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</si>
  <si>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t>ROI_por_partido realidad</t>
  </si>
  <si>
    <t>[551, 552, 553, 554]</t>
  </si>
  <si>
    <t>-0.15</t>
  </si>
  <si>
    <t>[1481, 1483, 1484]</t>
  </si>
  <si>
    <t>21/7 - Paso del modelo 219 al 27 que es igual salvo que is_localia = True. Me parece correcto. A ver si este nuevo modelo tiene menos volatilidad que el 219.</t>
  </si>
  <si>
    <t>[481, 482, 483, 484]</t>
  </si>
  <si>
    <t>[591, 592, 593, 594]</t>
  </si>
  <si>
    <t>0.80</t>
  </si>
  <si>
    <t>[771, 772, 773]</t>
  </si>
  <si>
    <t>ANTES DEL ASSES_MODEL DEL 20/08/2024</t>
  </si>
  <si>
    <t>0.90</t>
  </si>
  <si>
    <t>0.10</t>
  </si>
  <si>
    <t>-0.10</t>
  </si>
  <si>
    <t>-0.50</t>
  </si>
  <si>
    <t>ANTES DEL ASSES_MODEL DEL 24/08/2024</t>
  </si>
  <si>
    <t>-0.2</t>
  </si>
  <si>
    <t>-0.1</t>
  </si>
  <si>
    <t>ANTES DEL ASSES_MODEL DEL 27/08/2024</t>
  </si>
  <si>
    <t>Hiperparametros de modelo a usar</t>
  </si>
  <si>
    <t>Metricas Top 10 modelos</t>
  </si>
  <si>
    <t>Hiperparametros y metricas modelo a usar</t>
  </si>
  <si>
    <t>ROI pp en partido 50</t>
  </si>
  <si>
    <t>ROI pp en partido 100</t>
  </si>
  <si>
    <t>ROI pp</t>
  </si>
  <si>
    <t>m</t>
  </si>
  <si>
    <t>4.9%</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</si>
  <si>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</si>
  <si>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</si>
  <si>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</si>
  <si>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</si>
  <si>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</si>
  <si>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 partidos</t>
  </si>
  <si>
    <t>Precision</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</si>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</sst>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quot;-&quot;mm&quot;-&quot;dd"/>
    <numFmt numFmtId="165" formatCode="#,##0.0"/>
    <numFmt numFmtId="166" formatCode="d.m"/>
    <numFmt numFmtId="167" formatCode="dd.mm"/>
    <numFmt numFmtId="168" formatCode="d/MM/yyyy"/>
    <numFmt numFmtId="169" formatCode="yyyy-mm-dd"/>
  </numFmts>
  <fonts count="18">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b/>
      <color theme="1"/>
      <name val="Arial"/>
      <scheme val="minor"/>
    </font>
    <font>
      <sz val="11.0"/>
      <color rgb="FF000000"/>
      <name val="Calibri"/>
    </font>
    <font/>
    <font>
      <b/>
      <color rgb="FF000000"/>
      <name val="Arial"/>
    </font>
    <font>
      <color rgb="FFFF0000"/>
      <name val="Arial"/>
    </font>
    <font>
      <color rgb="FFBF9000"/>
      <name val="Arial"/>
      <scheme val="minor"/>
    </font>
    <font>
      <color rgb="FFFF0000"/>
      <name val="Arial"/>
      <scheme val="minor"/>
    </font>
    <font>
      <color rgb="FF000000"/>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20">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CE5CD"/>
        <bgColor rgb="FFFCE5CD"/>
      </patternFill>
    </fill>
    <fill>
      <patternFill patternType="solid">
        <fgColor rgb="FF000000"/>
        <bgColor rgb="FF000000"/>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DCE6F1"/>
        <bgColor rgb="FFDCE6F1"/>
      </patternFill>
    </fill>
    <fill>
      <patternFill patternType="solid">
        <fgColor rgb="FFFFF2CC"/>
        <bgColor rgb="FFFFF2CC"/>
      </patternFill>
    </fill>
    <fill>
      <patternFill patternType="solid">
        <fgColor rgb="FFB8CCE4"/>
        <bgColor rgb="FFB8CCE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1">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thin">
        <color rgb="FFFFFFFF"/>
      </left>
      <right style="thin">
        <color rgb="FFFFFFFF"/>
      </right>
      <top style="thin">
        <color rgb="FFFFFFFF"/>
      </top>
      <bottom style="thin">
        <color rgb="FFFFFFFF"/>
      </bottom>
    </border>
    <border>
      <left style="dotted">
        <color rgb="FF000000"/>
      </left>
    </border>
    <border>
      <right style="dotted">
        <color rgb="FF000000"/>
      </right>
    </border>
    <border>
      <top style="thin">
        <color rgb="FF000000"/>
      </top>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5" fontId="1" numFmtId="0" xfId="0" applyAlignment="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7" fontId="4" numFmtId="3" xfId="0" applyAlignment="1" applyBorder="1" applyFill="1" applyFont="1" applyNumberFormat="1">
      <alignment horizontal="center" vertical="center"/>
    </xf>
    <xf borderId="5" fillId="7" fontId="4" numFmtId="0" xfId="0" applyAlignment="1" applyBorder="1" applyFont="1">
      <alignment horizontal="center" vertical="center"/>
    </xf>
    <xf borderId="4" fillId="3" fontId="4" numFmtId="164" xfId="0" applyAlignment="1" applyBorder="1" applyFont="1" applyNumberFormat="1">
      <alignment horizontal="center" vertical="center"/>
    </xf>
    <xf borderId="4" fillId="3" fontId="4" numFmtId="0" xfId="0" applyAlignment="1" applyBorder="1" applyFont="1">
      <alignment horizontal="center" readingOrder="0" vertical="center"/>
    </xf>
    <xf borderId="4" fillId="3" fontId="4" numFmtId="0" xfId="0" applyAlignment="1" applyBorder="1" applyFont="1">
      <alignment horizontal="left" readingOrder="0" vertical="center"/>
    </xf>
    <xf borderId="4" fillId="3" fontId="4" numFmtId="10" xfId="0" applyAlignment="1" applyBorder="1" applyFont="1" applyNumberForma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5" fillId="0" fontId="4" numFmtId="0" xfId="0" applyAlignment="1" applyBorder="1" applyFont="1">
      <alignment horizontal="center" readingOrder="0" vertical="center"/>
    </xf>
    <xf borderId="4" fillId="5" fontId="4" numFmtId="164" xfId="0" applyAlignment="1" applyBorder="1" applyFont="1" applyNumberFormat="1">
      <alignment horizontal="center" readingOrder="0" vertical="center"/>
    </xf>
    <xf borderId="4" fillId="5" fontId="4" numFmtId="3" xfId="0" applyAlignment="1" applyBorder="1" applyFont="1" applyNumberFormat="1">
      <alignment horizontal="center" readingOrder="0" vertical="center"/>
    </xf>
    <xf borderId="4" fillId="5" fontId="4" numFmtId="10" xfId="0" applyAlignment="1" applyBorder="1" applyFont="1" applyNumberFormat="1">
      <alignment horizontal="center" readingOrder="0" vertical="center"/>
    </xf>
    <xf borderId="4" fillId="5" fontId="4" numFmtId="165" xfId="0" applyAlignment="1" applyBorder="1" applyFont="1" applyNumberFormat="1">
      <alignment horizontal="center" readingOrder="0" vertical="center"/>
    </xf>
    <xf borderId="4" fillId="8" fontId="4" numFmtId="165" xfId="0" applyAlignment="1" applyBorder="1" applyFill="1" applyFont="1" applyNumberFormat="1">
      <alignment horizontal="center" readingOrder="0" vertical="center"/>
    </xf>
    <xf borderId="4" fillId="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4" fillId="0" fontId="4" numFmtId="165" xfId="0" applyAlignment="1" applyBorder="1" applyFont="1" applyNumberFormat="1">
      <alignment horizontal="center" vertical="center"/>
    </xf>
    <xf borderId="6" fillId="0" fontId="4" numFmtId="0" xfId="0" applyAlignment="1" applyBorder="1" applyFont="1">
      <alignment readingOrder="0" shrinkToFit="0" wrapText="1"/>
    </xf>
    <xf borderId="4"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1" fillId="0" fontId="4" numFmtId="0" xfId="0" applyAlignment="1" applyBorder="1" applyFont="1">
      <alignment horizontal="center" vertical="center"/>
    </xf>
    <xf borderId="4" fillId="0" fontId="4" numFmtId="10" xfId="0" applyAlignment="1" applyBorder="1" applyFont="1" applyNumberFormat="1">
      <alignment horizontal="center" readingOrder="0" vertical="center"/>
    </xf>
    <xf borderId="4" fillId="0" fontId="4" numFmtId="3" xfId="0" applyAlignment="1" applyBorder="1" applyFont="1" applyNumberFormat="1">
      <alignment horizontal="center" vertical="center"/>
    </xf>
    <xf borderId="4" fillId="3" fontId="4" numFmtId="0" xfId="0" applyAlignment="1" applyBorder="1" applyFont="1">
      <alignment horizontal="center" vertical="center"/>
    </xf>
    <xf borderId="4" fillId="3" fontId="4" numFmtId="0" xfId="0" applyAlignment="1" applyBorder="1" applyFont="1">
      <alignment horizontal="left" vertical="center"/>
    </xf>
    <xf borderId="4" fillId="0" fontId="4" numFmtId="0" xfId="0" applyAlignment="1" applyBorder="1" applyFont="1">
      <alignment horizontal="center" readingOrder="0" shrinkToFit="0" vertical="center" wrapText="1"/>
    </xf>
    <xf borderId="4" fillId="9" fontId="4" numFmtId="9" xfId="0" applyAlignment="1" applyBorder="1" applyFill="1" applyFont="1" applyNumberFormat="1">
      <alignment horizontal="center" readingOrder="0" vertical="center"/>
    </xf>
    <xf borderId="6" fillId="0" fontId="4" numFmtId="0" xfId="0" applyAlignment="1" applyBorder="1" applyFont="1">
      <alignment readingOrder="0" shrinkToFit="0" vertical="bottom" wrapText="1"/>
    </xf>
    <xf borderId="5" fillId="0" fontId="4" numFmtId="0" xfId="0" applyAlignment="1" applyBorder="1" applyFont="1">
      <alignment horizontal="center" vertical="center"/>
    </xf>
    <xf borderId="1" fillId="3" fontId="4" numFmtId="164" xfId="0" applyAlignment="1" applyBorder="1" applyFont="1" applyNumberFormat="1">
      <alignment horizontal="center" readingOrder="0" vertical="center"/>
    </xf>
    <xf borderId="0" fillId="0" fontId="3" numFmtId="4" xfId="0" applyAlignment="1" applyFont="1" applyNumberFormat="1">
      <alignment readingOrder="0"/>
    </xf>
    <xf borderId="4" fillId="3" fontId="4" numFmtId="164" xfId="0" applyAlignment="1" applyBorder="1" applyFont="1" applyNumberFormat="1">
      <alignment horizontal="center" readingOrder="0" vertical="center"/>
    </xf>
    <xf borderId="0" fillId="0" fontId="3" numFmtId="4" xfId="0" applyFont="1" applyNumberFormat="1"/>
    <xf borderId="4" fillId="3" fontId="4" numFmtId="0" xfId="0" applyAlignment="1" applyBorder="1" applyFont="1">
      <alignment horizontal="left" shrinkToFit="0" vertical="center" wrapText="0"/>
    </xf>
    <xf borderId="1" fillId="5" fontId="4" numFmtId="165" xfId="0" applyAlignment="1" applyBorder="1" applyFont="1" applyNumberFormat="1">
      <alignment horizontal="center" readingOrder="0" vertical="center"/>
    </xf>
    <xf borderId="2" fillId="5" fontId="4" numFmtId="165" xfId="0" applyAlignment="1" applyBorder="1" applyFont="1" applyNumberFormat="1">
      <alignment horizontal="center" readingOrder="0" vertical="center"/>
    </xf>
    <xf borderId="1" fillId="3" fontId="4" numFmtId="164" xfId="0" applyAlignment="1" applyBorder="1" applyFont="1" applyNumberFormat="1">
      <alignment horizontal="center" vertical="center"/>
    </xf>
    <xf borderId="1" fillId="5" fontId="4" numFmtId="164" xfId="0" applyAlignment="1" applyBorder="1" applyFont="1" applyNumberFormat="1">
      <alignment horizontal="center" readingOrder="0" vertical="center"/>
    </xf>
    <xf borderId="0" fillId="0" fontId="5" numFmtId="0" xfId="0" applyAlignment="1" applyFont="1">
      <alignment horizontal="left" readingOrder="0"/>
    </xf>
    <xf borderId="0" fillId="0" fontId="3" numFmtId="0" xfId="0" applyAlignment="1" applyFont="1">
      <alignment readingOrder="0"/>
    </xf>
    <xf borderId="0" fillId="0" fontId="6" numFmtId="0" xfId="0" applyAlignment="1" applyFont="1">
      <alignment readingOrder="0"/>
    </xf>
    <xf borderId="0" fillId="0" fontId="3" numFmtId="165" xfId="0" applyFont="1" applyNumberFormat="1"/>
    <xf borderId="0" fillId="0" fontId="3" numFmtId="0" xfId="0" applyAlignment="1" applyFont="1">
      <alignment horizontal="center" readingOrder="0" vertical="center"/>
    </xf>
    <xf borderId="7" fillId="10" fontId="7" numFmtId="0" xfId="0" applyAlignment="1" applyBorder="1" applyFill="1" applyFont="1">
      <alignment horizontal="right" readingOrder="0" shrinkToFit="0" vertical="bottom" wrapText="0"/>
    </xf>
    <xf borderId="0" fillId="11" fontId="3" numFmtId="4" xfId="0" applyAlignment="1" applyFill="1" applyFont="1" applyNumberFormat="1">
      <alignment readingOrder="0"/>
    </xf>
    <xf borderId="0" fillId="11" fontId="3" numFmtId="166" xfId="0" applyAlignment="1" applyFont="1" applyNumberFormat="1">
      <alignment readingOrder="0"/>
    </xf>
    <xf borderId="7" fillId="12" fontId="7" numFmtId="0" xfId="0" applyAlignment="1" applyBorder="1" applyFill="1" applyFont="1">
      <alignment horizontal="right" readingOrder="0" shrinkToFit="0" vertical="bottom" wrapText="0"/>
    </xf>
    <xf borderId="0" fillId="11" fontId="3" numFmtId="0" xfId="0" applyAlignment="1" applyFont="1">
      <alignment readingOrder="0"/>
    </xf>
    <xf borderId="0" fillId="11" fontId="3" numFmtId="167" xfId="0" applyAlignment="1" applyFont="1" applyNumberFormat="1">
      <alignment readingOrder="0"/>
    </xf>
    <xf borderId="0" fillId="0" fontId="6" numFmtId="0" xfId="0" applyAlignment="1" applyFont="1">
      <alignment horizontal="center" readingOrder="0" shrinkToFit="0" vertical="center" wrapText="1"/>
    </xf>
    <xf borderId="8" fillId="2" fontId="2" numFmtId="0" xfId="0" applyAlignment="1" applyBorder="1" applyFont="1">
      <alignment horizontal="center" readingOrder="0" shrinkToFit="0" vertical="center" wrapText="1"/>
    </xf>
    <xf borderId="9" fillId="0" fontId="8" numFmtId="0" xfId="0" applyBorder="1" applyFont="1"/>
    <xf borderId="0" fillId="13" fontId="2" numFmtId="0" xfId="0" applyAlignment="1" applyFill="1" applyFont="1">
      <alignment horizontal="center" readingOrder="0" shrinkToFit="0" vertical="center" wrapText="1"/>
    </xf>
    <xf borderId="1" fillId="0" fontId="6" numFmtId="0" xfId="0" applyAlignment="1" applyBorder="1" applyFont="1">
      <alignment horizontal="center" readingOrder="0" shrinkToFit="0" vertical="center" wrapText="1"/>
    </xf>
    <xf borderId="3" fillId="14" fontId="9" numFmtId="0" xfId="0" applyAlignment="1" applyBorder="1" applyFill="1" applyFont="1">
      <alignment horizontal="center" readingOrder="0" shrinkToFit="0" vertical="center" wrapText="1"/>
    </xf>
    <xf borderId="1" fillId="14" fontId="9" numFmtId="0" xfId="0" applyAlignment="1" applyBorder="1" applyFont="1">
      <alignment horizontal="center" readingOrder="0" shrinkToFit="0" vertical="center" wrapText="1"/>
    </xf>
    <xf borderId="2" fillId="14" fontId="9" numFmtId="0" xfId="0" applyAlignment="1" applyBorder="1" applyFont="1">
      <alignment horizontal="center" readingOrder="0" shrinkToFit="0" vertical="center" wrapText="1"/>
    </xf>
    <xf borderId="1" fillId="15" fontId="1" numFmtId="0" xfId="0" applyAlignment="1" applyBorder="1" applyFill="1" applyFont="1">
      <alignment horizontal="center" readingOrder="0" shrinkToFit="0" vertical="center" wrapText="1"/>
    </xf>
    <xf borderId="0" fillId="0" fontId="10"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3" fillId="3" fontId="4" numFmtId="0" xfId="0" applyAlignment="1" applyBorder="1" applyFont="1">
      <alignment horizontal="center" readingOrder="0" vertical="center"/>
    </xf>
    <xf borderId="1" fillId="3" fontId="3" numFmtId="0" xfId="0" applyBorder="1" applyFont="1"/>
    <xf borderId="2" fillId="3" fontId="3" numFmtId="0" xfId="0" applyBorder="1" applyFont="1"/>
    <xf borderId="1" fillId="5" fontId="3" numFmtId="0" xfId="0" applyAlignment="1" applyBorder="1" applyFont="1">
      <alignment horizontal="center" readingOrder="0" vertical="center"/>
    </xf>
    <xf borderId="1" fillId="5" fontId="3" numFmtId="10" xfId="0" applyAlignment="1" applyBorder="1" applyFont="1" applyNumberFormat="1">
      <alignment horizontal="center" readingOrder="0" vertical="center"/>
    </xf>
    <xf borderId="1" fillId="0" fontId="3" numFmtId="0" xfId="0" applyAlignment="1" applyBorder="1" applyFont="1">
      <alignment horizontal="center" readingOrder="0" vertical="center"/>
    </xf>
    <xf borderId="1" fillId="0" fontId="11"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5" fontId="3" numFmtId="165"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horizontal="center"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5" fontId="3" numFmtId="0" xfId="0" applyBorder="1" applyFont="1"/>
    <xf borderId="1" fillId="3" fontId="4" numFmtId="0" xfId="0" applyAlignment="1" applyBorder="1" applyFont="1">
      <alignment horizontal="center" readingOrder="0" vertical="center"/>
    </xf>
    <xf borderId="1" fillId="5" fontId="3" numFmtId="3" xfId="0" applyBorder="1" applyFont="1" applyNumberFormat="1"/>
    <xf borderId="1" fillId="0" fontId="4" numFmtId="164" xfId="0" applyAlignment="1" applyBorder="1" applyFont="1" applyNumberFormat="1">
      <alignment horizontal="center" readingOrder="0" vertical="center"/>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0" fontId="4" numFmtId="164" xfId="0" applyAlignment="1" applyBorder="1" applyFont="1" applyNumberFormat="1">
      <alignment horizontal="center" readingOrder="0" shrinkToFit="0" vertical="center" wrapText="1"/>
    </xf>
    <xf borderId="1" fillId="9" fontId="4" numFmtId="0" xfId="0" applyAlignment="1" applyBorder="1" applyFont="1">
      <alignment horizontal="center" vertical="center"/>
    </xf>
    <xf borderId="10" fillId="9"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1" fillId="9" fontId="3" numFmtId="0" xfId="0" applyAlignment="1" applyBorder="1" applyFont="1">
      <alignment horizontal="center" readingOrder="0" vertical="center"/>
    </xf>
    <xf borderId="0" fillId="0" fontId="12" numFmtId="0" xfId="0" applyAlignment="1" applyFont="1">
      <alignment readingOrder="0" shrinkToFit="0" vertical="center" wrapText="1"/>
    </xf>
    <xf borderId="0" fillId="0" fontId="3" numFmtId="0" xfId="0" applyAlignment="1" applyFont="1">
      <alignment horizontal="center" shrinkToFit="0" vertical="center" wrapText="1"/>
    </xf>
    <xf borderId="10" fillId="0" fontId="4" numFmtId="164" xfId="0" applyAlignment="1" applyBorder="1" applyFont="1" applyNumberFormat="1">
      <alignment horizontal="center" readingOrder="0" vertical="center"/>
    </xf>
    <xf borderId="10" fillId="0" fontId="3"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4" fillId="5" fontId="3" numFmtId="10" xfId="0" applyAlignment="1" applyBorder="1" applyFont="1" applyNumberFormat="1">
      <alignment horizontal="center" readingOrder="0" vertical="center"/>
    </xf>
    <xf borderId="0" fillId="9" fontId="4" numFmtId="0" xfId="0" applyAlignment="1" applyFont="1">
      <alignment horizontal="center" readingOrder="0" shrinkToFit="0" vertical="center" wrapText="1"/>
    </xf>
    <xf borderId="1" fillId="9" fontId="4" numFmtId="164" xfId="0" applyAlignment="1" applyBorder="1" applyFont="1" applyNumberFormat="1">
      <alignment horizontal="center" readingOrder="0" vertical="center"/>
    </xf>
    <xf borderId="0" fillId="16" fontId="10" numFmtId="0" xfId="0" applyAlignment="1" applyFill="1" applyFont="1">
      <alignment horizontal="center" readingOrder="0" shrinkToFit="0" vertical="center" wrapText="1"/>
    </xf>
    <xf borderId="8" fillId="0" fontId="3" numFmtId="0" xfId="0" applyBorder="1" applyFont="1"/>
    <xf borderId="9" fillId="0" fontId="3" numFmtId="0" xfId="0" applyBorder="1" applyFont="1"/>
    <xf borderId="2" fillId="0" fontId="1" numFmtId="0" xfId="0" applyAlignment="1" applyBorder="1" applyFont="1">
      <alignment horizontal="center" readingOrder="0" shrinkToFit="0" vertical="center" wrapText="1"/>
    </xf>
    <xf borderId="1" fillId="13" fontId="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4" fillId="0" fontId="4" numFmtId="164" xfId="0" applyAlignment="1" applyBorder="1" applyFont="1" applyNumberFormat="1">
      <alignment horizontal="center" vertical="center"/>
    </xf>
    <xf borderId="4" fillId="0" fontId="4" numFmtId="164" xfId="0" applyAlignment="1" applyBorder="1" applyFont="1" applyNumberFormat="1">
      <alignment horizontal="center" readingOrder="0" vertical="center"/>
    </xf>
    <xf borderId="4" fillId="0" fontId="4" numFmtId="0" xfId="0" applyAlignment="1" applyBorder="1" applyFont="1">
      <alignment shrinkToFit="0" wrapText="1"/>
    </xf>
    <xf borderId="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4" fillId="0" fontId="4" numFmtId="0" xfId="0" applyAlignment="1" applyBorder="1" applyFont="1">
      <alignment readingOrder="0" shrinkToFit="0" vertical="bottom" wrapText="1"/>
    </xf>
    <xf borderId="4" fillId="0" fontId="4" numFmtId="0" xfId="0" applyAlignment="1" applyBorder="1" applyFont="1">
      <alignment readingOrder="0" shrinkToFit="0" wrapText="1"/>
    </xf>
    <xf borderId="2" fillId="5" fontId="3" numFmtId="0" xfId="0" applyAlignment="1" applyBorder="1" applyFont="1">
      <alignment horizontal="center" readingOrder="0" vertical="center"/>
    </xf>
    <xf borderId="0" fillId="0" fontId="3" numFmtId="168" xfId="0" applyAlignment="1" applyFont="1" applyNumberFormat="1">
      <alignment readingOrder="0"/>
    </xf>
    <xf borderId="0" fillId="16" fontId="5" numFmtId="169" xfId="0" applyAlignment="1" applyFont="1" applyNumberFormat="1">
      <alignment horizontal="center" readingOrder="0"/>
    </xf>
    <xf borderId="0" fillId="0" fontId="3" numFmtId="9" xfId="0" applyFont="1" applyNumberFormat="1"/>
    <xf borderId="0" fillId="16" fontId="5" numFmtId="0" xfId="0" applyAlignment="1" applyFont="1">
      <alignment horizontal="left" readingOrder="0"/>
    </xf>
    <xf borderId="0" fillId="0" fontId="3" numFmtId="3" xfId="0" applyFont="1" applyNumberFormat="1"/>
    <xf borderId="0" fillId="0" fontId="3" numFmtId="10" xfId="0" applyFont="1" applyNumberFormat="1"/>
    <xf borderId="0" fillId="0" fontId="14" numFmtId="0" xfId="0" applyAlignment="1" applyFont="1">
      <alignment readingOrder="0"/>
    </xf>
    <xf borderId="0" fillId="0" fontId="6" numFmtId="0" xfId="0" applyFont="1"/>
    <xf borderId="0" fillId="0" fontId="3" numFmtId="164" xfId="0" applyAlignment="1" applyFont="1" applyNumberFormat="1">
      <alignment readingOrder="0"/>
    </xf>
    <xf borderId="0" fillId="0" fontId="3" numFmtId="165" xfId="0" applyAlignment="1" applyFont="1" applyNumberFormat="1">
      <alignment readingOrder="0"/>
    </xf>
    <xf borderId="0" fillId="0" fontId="3" numFmtId="3" xfId="0" applyAlignment="1" applyFont="1" applyNumberFormat="1">
      <alignment readingOrder="0"/>
    </xf>
    <xf borderId="0" fillId="0" fontId="3" numFmtId="9" xfId="0" applyAlignment="1" applyFont="1" applyNumberFormat="1">
      <alignment readingOrder="0"/>
    </xf>
    <xf borderId="0" fillId="0" fontId="3" numFmtId="164" xfId="0" applyFont="1" applyNumberFormat="1"/>
    <xf borderId="0" fillId="0" fontId="3" numFmtId="10" xfId="0" applyAlignment="1" applyFont="1" applyNumberFormat="1">
      <alignment readingOrder="0"/>
    </xf>
    <xf borderId="0" fillId="0" fontId="3" numFmtId="0" xfId="0" applyFont="1"/>
    <xf borderId="0" fillId="0" fontId="1" numFmtId="0" xfId="0" applyAlignment="1" applyFont="1">
      <alignment horizontal="center" shrinkToFit="0" vertical="center" wrapText="1"/>
    </xf>
    <xf borderId="0" fillId="14"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4" fillId="17" fontId="4" numFmtId="165" xfId="0" applyAlignment="1" applyBorder="1" applyFill="1" applyFont="1" applyNumberFormat="1">
      <alignment horizontal="center" readingOrder="0" vertical="center"/>
    </xf>
    <xf borderId="6" fillId="0" fontId="4" numFmtId="0" xfId="0" applyAlignment="1" applyBorder="1" applyFont="1">
      <alignment shrinkToFit="0" wrapText="1"/>
    </xf>
    <xf borderId="0" fillId="0" fontId="15" numFmtId="0" xfId="0" applyAlignment="1" applyFont="1">
      <alignment readingOrder="0"/>
    </xf>
    <xf borderId="0" fillId="0" fontId="16" numFmtId="0" xfId="0" applyAlignment="1" applyFont="1">
      <alignment readingOrder="0"/>
    </xf>
    <xf borderId="0" fillId="0" fontId="17" numFmtId="0" xfId="0" applyAlignment="1" applyFont="1">
      <alignment readingOrder="0"/>
    </xf>
    <xf borderId="4" fillId="7" fontId="4" numFmtId="165"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9" fontId="4" numFmtId="3" xfId="0" applyAlignment="1" applyBorder="1" applyFont="1" applyNumberFormat="1">
      <alignment horizontal="center" vertical="center"/>
    </xf>
    <xf borderId="5" fillId="9" fontId="4" numFmtId="0" xfId="0" applyAlignment="1" applyBorder="1" applyFont="1">
      <alignment horizontal="center" vertical="center"/>
    </xf>
    <xf borderId="8" fillId="18" fontId="6" numFmtId="0" xfId="0" applyAlignment="1" applyBorder="1" applyFill="1" applyFont="1">
      <alignment horizontal="center" readingOrder="0" vertical="center"/>
    </xf>
    <xf borderId="8" fillId="19" fontId="6" numFmtId="0" xfId="0" applyAlignment="1" applyBorder="1" applyFill="1" applyFont="1">
      <alignment horizontal="center" readingOrder="0" vertical="center"/>
    </xf>
    <xf borderId="3" fillId="8" fontId="1" numFmtId="0" xfId="0" applyAlignment="1" applyBorder="1" applyFont="1">
      <alignment horizontal="center" readingOrder="0" shrinkToFit="0" vertical="center" wrapText="1"/>
    </xf>
    <xf borderId="1" fillId="8" fontId="1" numFmtId="0" xfId="0" applyAlignment="1" applyBorder="1" applyFont="1">
      <alignment horizontal="center" readingOrder="0" shrinkToFit="0" vertical="center" wrapText="1"/>
    </xf>
    <xf borderId="3" fillId="11" fontId="1" numFmtId="0" xfId="0" applyAlignment="1" applyBorder="1" applyFont="1">
      <alignment horizontal="center" readingOrder="0" shrinkToFit="0" vertical="center" wrapText="1"/>
    </xf>
    <xf borderId="1" fillId="11" fontId="1" numFmtId="0" xfId="0" applyAlignment="1" applyBorder="1" applyFont="1">
      <alignment horizontal="center" shrinkToFit="0" vertical="center" wrapText="1"/>
    </xf>
    <xf borderId="2" fillId="11" fontId="1" numFmtId="0" xfId="0" applyAlignment="1" applyBorder="1" applyFont="1">
      <alignment horizontal="center" readingOrder="0" shrinkToFit="0" vertical="center" wrapText="1"/>
    </xf>
    <xf borderId="1" fillId="0" fontId="4" numFmtId="3" xfId="0" applyAlignment="1" applyBorder="1" applyFont="1" applyNumberFormat="1">
      <alignment horizontal="center" vertical="center"/>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2" fillId="0" fontId="3" numFmtId="9" xfId="0" applyAlignment="1" applyBorder="1" applyFont="1" applyNumberFormat="1">
      <alignment horizontal="center"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0</xdr:colOff>
      <xdr:row>14</xdr:row>
      <xdr:rowOff>0</xdr:rowOff>
    </xdr:from>
    <xdr:ext cx="1028700" cy="10953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6" max="9" width="14.5"/>
    <col customWidth="1" min="17" max="17" width="20.5"/>
    <col customWidth="1" min="20" max="20" width="15.13"/>
    <col customWidth="1" min="38" max="38" width="65.13"/>
  </cols>
  <sheetData>
    <row r="1">
      <c r="A1" s="1" t="s">
        <v>0</v>
      </c>
      <c r="B1" s="2" t="s">
        <v>1</v>
      </c>
      <c r="C1" s="3" t="s">
        <v>2</v>
      </c>
      <c r="D1" s="3" t="s">
        <v>3</v>
      </c>
      <c r="E1" s="3" t="s">
        <v>4</v>
      </c>
      <c r="F1" s="3" t="s">
        <v>5</v>
      </c>
      <c r="G1" s="3" t="s">
        <v>6</v>
      </c>
      <c r="H1" s="3" t="s">
        <v>7</v>
      </c>
      <c r="I1" s="3" t="s">
        <v>8</v>
      </c>
      <c r="J1" s="4" t="s">
        <v>9</v>
      </c>
      <c r="K1" s="4" t="s">
        <v>10</v>
      </c>
      <c r="L1" s="4" t="s">
        <v>11</v>
      </c>
      <c r="M1" s="4" t="s">
        <v>12</v>
      </c>
      <c r="N1" s="4" t="s">
        <v>13</v>
      </c>
      <c r="O1" s="4" t="s">
        <v>14</v>
      </c>
      <c r="P1" s="4" t="s">
        <v>15</v>
      </c>
      <c r="Q1" s="4" t="s">
        <v>16</v>
      </c>
      <c r="R1" s="4" t="s">
        <v>17</v>
      </c>
      <c r="S1" s="4" t="s">
        <v>18</v>
      </c>
      <c r="T1" s="4" t="s">
        <v>19</v>
      </c>
      <c r="U1" s="5" t="s">
        <v>20</v>
      </c>
      <c r="V1" s="6" t="s">
        <v>21</v>
      </c>
      <c r="W1" s="6" t="s">
        <v>22</v>
      </c>
      <c r="X1" s="6" t="s">
        <v>23</v>
      </c>
      <c r="Y1" s="6" t="s">
        <v>24</v>
      </c>
      <c r="Z1" s="6" t="s">
        <v>25</v>
      </c>
      <c r="AA1" s="6" t="s">
        <v>26</v>
      </c>
      <c r="AB1" s="6" t="s">
        <v>27</v>
      </c>
      <c r="AC1" s="6" t="s">
        <v>28</v>
      </c>
      <c r="AD1" s="7" t="s">
        <v>29</v>
      </c>
      <c r="AE1" s="7" t="s">
        <v>30</v>
      </c>
      <c r="AF1" s="8" t="s">
        <v>31</v>
      </c>
      <c r="AG1" s="8" t="s">
        <v>32</v>
      </c>
      <c r="AH1" s="9" t="s">
        <v>33</v>
      </c>
      <c r="AI1" s="7" t="s">
        <v>34</v>
      </c>
      <c r="AJ1" s="7" t="s">
        <v>35</v>
      </c>
      <c r="AK1" s="10" t="s">
        <v>36</v>
      </c>
      <c r="AL1" s="11" t="s">
        <v>37</v>
      </c>
      <c r="AM1" s="12"/>
      <c r="AN1" s="12"/>
      <c r="AO1" s="12"/>
      <c r="AP1" s="12"/>
      <c r="AQ1" s="12"/>
    </row>
    <row r="2">
      <c r="A2" s="13">
        <v>55.0</v>
      </c>
      <c r="B2" s="14" t="s">
        <v>38</v>
      </c>
      <c r="C2" s="15">
        <v>45419.0</v>
      </c>
      <c r="D2" s="16">
        <v>2304.0</v>
      </c>
      <c r="E2" s="17"/>
      <c r="F2" s="16">
        <v>5361.0</v>
      </c>
      <c r="G2" s="16">
        <v>5992.0</v>
      </c>
      <c r="H2" s="16">
        <v>10227.0</v>
      </c>
      <c r="I2" s="18">
        <f t="shared" ref="I2:I8" si="1">F2/G2</f>
        <v>0.8946929239</v>
      </c>
      <c r="J2" s="19">
        <v>989.0</v>
      </c>
      <c r="K2" s="20">
        <v>30.0</v>
      </c>
      <c r="L2" s="21">
        <v>3.0</v>
      </c>
      <c r="M2" s="20" t="b">
        <v>0</v>
      </c>
      <c r="N2" s="20" t="s">
        <v>39</v>
      </c>
      <c r="O2" s="20"/>
      <c r="P2" s="20">
        <v>5.0</v>
      </c>
      <c r="Q2" s="20" t="s">
        <v>40</v>
      </c>
      <c r="R2" s="20" t="s">
        <v>41</v>
      </c>
      <c r="S2" s="20" t="s">
        <v>42</v>
      </c>
      <c r="T2" s="22" t="s">
        <v>43</v>
      </c>
      <c r="U2" s="23">
        <v>41.0</v>
      </c>
      <c r="V2" s="24">
        <v>45537.0</v>
      </c>
      <c r="W2" s="20">
        <v>83.0</v>
      </c>
      <c r="X2" s="25">
        <v>1540.0</v>
      </c>
      <c r="Y2" s="26">
        <f t="shared" ref="Y2:Y7" si="2">X2/D2</f>
        <v>0.6684027778</v>
      </c>
      <c r="Z2" s="27">
        <v>92.37</v>
      </c>
      <c r="AA2" s="28">
        <f>Z2*0.05</f>
        <v>4.6185</v>
      </c>
      <c r="AB2" s="27">
        <v>655.25</v>
      </c>
      <c r="AC2" s="27">
        <f t="shared" ref="AC2:AC7" si="3">IF(AB2&gt;AA2,AA2,AB2)</f>
        <v>4.6185</v>
      </c>
      <c r="AD2" s="29">
        <v>3.33</v>
      </c>
      <c r="AE2" s="29">
        <v>1667.37</v>
      </c>
      <c r="AF2" s="29">
        <f t="shared" ref="AF2:AF8" si="4">AE2/W2</f>
        <v>20.08879518</v>
      </c>
      <c r="AG2" s="19" t="s">
        <v>44</v>
      </c>
      <c r="AH2" s="30" t="s">
        <v>45</v>
      </c>
      <c r="AI2" s="19">
        <v>80.0</v>
      </c>
      <c r="AJ2" s="19">
        <v>0.0</v>
      </c>
      <c r="AK2" s="31">
        <f>AC2*'Data preparation'!$B$3/'Data preparation'!$B$2</f>
        <v>14.28402062</v>
      </c>
      <c r="AL2" s="32" t="s">
        <v>46</v>
      </c>
    </row>
    <row r="3" ht="33.0" customHeight="1">
      <c r="A3" s="13">
        <v>48.0</v>
      </c>
      <c r="B3" s="14" t="s">
        <v>47</v>
      </c>
      <c r="C3" s="15">
        <v>45419.0</v>
      </c>
      <c r="D3" s="16">
        <v>1536.0</v>
      </c>
      <c r="E3" s="33"/>
      <c r="F3" s="34">
        <v>6293.0</v>
      </c>
      <c r="G3" s="34">
        <v>7557.0</v>
      </c>
      <c r="H3" s="34">
        <v>11448.0</v>
      </c>
      <c r="I3" s="18">
        <f t="shared" si="1"/>
        <v>0.8327378589</v>
      </c>
      <c r="J3" s="19">
        <v>274.0</v>
      </c>
      <c r="K3" s="20">
        <v>30.0</v>
      </c>
      <c r="L3" s="21">
        <v>3.0</v>
      </c>
      <c r="M3" s="21" t="b">
        <v>1</v>
      </c>
      <c r="N3" s="20" t="s">
        <v>39</v>
      </c>
      <c r="O3" s="21"/>
      <c r="P3" s="20">
        <v>5.0</v>
      </c>
      <c r="Q3" s="20" t="s">
        <v>48</v>
      </c>
      <c r="R3" s="20"/>
      <c r="S3" s="21" t="s">
        <v>42</v>
      </c>
      <c r="T3" s="35" t="s">
        <v>43</v>
      </c>
      <c r="U3" s="23">
        <v>43.0</v>
      </c>
      <c r="V3" s="24">
        <v>45537.0</v>
      </c>
      <c r="W3" s="20">
        <v>152.0</v>
      </c>
      <c r="X3" s="25">
        <v>800.0</v>
      </c>
      <c r="Y3" s="26">
        <f t="shared" si="2"/>
        <v>0.5208333333</v>
      </c>
      <c r="Z3" s="27">
        <v>6.77</v>
      </c>
      <c r="AA3" s="27">
        <v>5.57</v>
      </c>
      <c r="AB3" s="27">
        <v>3.78</v>
      </c>
      <c r="AC3" s="27">
        <f t="shared" si="3"/>
        <v>3.78</v>
      </c>
      <c r="AD3" s="36">
        <v>0.08</v>
      </c>
      <c r="AE3" s="29">
        <v>19.0</v>
      </c>
      <c r="AF3" s="29">
        <f t="shared" si="4"/>
        <v>0.125</v>
      </c>
      <c r="AG3" s="37" t="s">
        <v>44</v>
      </c>
      <c r="AH3" s="30" t="s">
        <v>45</v>
      </c>
      <c r="AI3" s="19">
        <v>40.0</v>
      </c>
      <c r="AJ3" s="19">
        <v>0.0</v>
      </c>
      <c r="AK3" s="31">
        <f>AC3*'Data preparation'!$B$3/'Data preparation'!$B$2</f>
        <v>11.69072165</v>
      </c>
      <c r="AL3" s="32" t="s">
        <v>49</v>
      </c>
    </row>
    <row r="4" ht="41.25" customHeight="1">
      <c r="A4" s="13">
        <v>148.0</v>
      </c>
      <c r="B4" s="14" t="s">
        <v>50</v>
      </c>
      <c r="C4" s="15">
        <v>45504.0</v>
      </c>
      <c r="D4" s="38">
        <v>1536.0</v>
      </c>
      <c r="E4" s="39" t="s">
        <v>51</v>
      </c>
      <c r="F4" s="16">
        <v>5971.0</v>
      </c>
      <c r="G4" s="16">
        <v>6762.0</v>
      </c>
      <c r="H4" s="16">
        <v>11025.0</v>
      </c>
      <c r="I4" s="18">
        <f t="shared" si="1"/>
        <v>0.8830227743</v>
      </c>
      <c r="J4" s="19">
        <v>732.0</v>
      </c>
      <c r="K4" s="20">
        <v>30.0</v>
      </c>
      <c r="L4" s="20">
        <v>3.0</v>
      </c>
      <c r="M4" s="20" t="b">
        <v>0</v>
      </c>
      <c r="N4" s="40" t="s">
        <v>52</v>
      </c>
      <c r="O4" s="40"/>
      <c r="P4" s="20"/>
      <c r="Q4" s="20" t="s">
        <v>53</v>
      </c>
      <c r="R4" s="20" t="s">
        <v>41</v>
      </c>
      <c r="S4" s="21" t="s">
        <v>42</v>
      </c>
      <c r="T4" s="35" t="s">
        <v>43</v>
      </c>
      <c r="U4" s="23">
        <v>26.0</v>
      </c>
      <c r="V4" s="24">
        <v>45537.0</v>
      </c>
      <c r="W4" s="20">
        <v>130.0</v>
      </c>
      <c r="X4" s="25">
        <v>584.0</v>
      </c>
      <c r="Y4" s="26">
        <f t="shared" si="2"/>
        <v>0.3802083333</v>
      </c>
      <c r="Z4" s="27">
        <v>19.95</v>
      </c>
      <c r="AA4" s="27">
        <v>5.57</v>
      </c>
      <c r="AB4" s="27">
        <v>4.85</v>
      </c>
      <c r="AC4" s="27">
        <f t="shared" si="3"/>
        <v>4.85</v>
      </c>
      <c r="AD4" s="29">
        <v>0.28</v>
      </c>
      <c r="AE4" s="41">
        <v>16.65</v>
      </c>
      <c r="AF4" s="41">
        <f t="shared" si="4"/>
        <v>0.1280769231</v>
      </c>
      <c r="AG4" s="19" t="s">
        <v>54</v>
      </c>
      <c r="AH4" s="30" t="s">
        <v>45</v>
      </c>
      <c r="AI4" s="19">
        <v>30.0</v>
      </c>
      <c r="AJ4" s="19">
        <v>0.0</v>
      </c>
      <c r="AK4" s="31">
        <f>AC4*'Data preparation'!$B$3/'Data preparation'!$B$2</f>
        <v>15</v>
      </c>
      <c r="AL4" s="42" t="s">
        <v>55</v>
      </c>
    </row>
    <row r="5" ht="31.5" customHeight="1">
      <c r="A5" s="37">
        <v>167.0</v>
      </c>
      <c r="B5" s="43" t="s">
        <v>56</v>
      </c>
      <c r="C5" s="44">
        <v>45467.0</v>
      </c>
      <c r="D5" s="16">
        <v>768.0</v>
      </c>
      <c r="E5" s="17"/>
      <c r="F5" s="16">
        <v>2678.0</v>
      </c>
      <c r="G5" s="16">
        <v>3456.0</v>
      </c>
      <c r="H5" s="16">
        <v>6558.0</v>
      </c>
      <c r="I5" s="18">
        <f t="shared" si="1"/>
        <v>0.7748842593</v>
      </c>
      <c r="J5" s="19">
        <v>15.0</v>
      </c>
      <c r="K5" s="20">
        <v>30.0</v>
      </c>
      <c r="L5" s="21">
        <v>3.0</v>
      </c>
      <c r="M5" s="21" t="b">
        <v>1</v>
      </c>
      <c r="N5" s="20" t="s">
        <v>57</v>
      </c>
      <c r="O5" s="20" t="s">
        <v>58</v>
      </c>
      <c r="P5" s="20">
        <v>3.0</v>
      </c>
      <c r="Q5" s="21" t="s">
        <v>59</v>
      </c>
      <c r="R5" s="20" t="s">
        <v>41</v>
      </c>
      <c r="S5" s="20"/>
      <c r="T5" s="22" t="s">
        <v>43</v>
      </c>
      <c r="U5" s="23">
        <v>20.0</v>
      </c>
      <c r="V5" s="24">
        <v>45538.0</v>
      </c>
      <c r="W5" s="20">
        <v>168.0</v>
      </c>
      <c r="X5" s="25">
        <v>386.0</v>
      </c>
      <c r="Y5" s="26">
        <f t="shared" si="2"/>
        <v>0.5026041667</v>
      </c>
      <c r="Z5" s="27">
        <v>1.08</v>
      </c>
      <c r="AA5" s="27">
        <v>1.92</v>
      </c>
      <c r="AB5" s="27">
        <v>2.83</v>
      </c>
      <c r="AC5" s="27">
        <f t="shared" si="3"/>
        <v>1.92</v>
      </c>
      <c r="AD5" s="29">
        <v>0.019</v>
      </c>
      <c r="AE5" s="29">
        <v>8.9</v>
      </c>
      <c r="AF5" s="29">
        <f t="shared" si="4"/>
        <v>0.05297619048</v>
      </c>
      <c r="AG5" s="19" t="s">
        <v>54</v>
      </c>
      <c r="AH5" s="30" t="s">
        <v>45</v>
      </c>
      <c r="AI5" s="19">
        <v>10.0</v>
      </c>
      <c r="AJ5" s="19">
        <v>0.0</v>
      </c>
      <c r="AK5" s="37">
        <f>AA5*'Data preparation'!$B$3/'Data preparation'!$B$2</f>
        <v>5.93814433</v>
      </c>
      <c r="AL5" s="32" t="s">
        <v>60</v>
      </c>
      <c r="AP5" s="45"/>
    </row>
    <row r="6" ht="41.25" customHeight="1">
      <c r="A6" s="13">
        <v>59.0</v>
      </c>
      <c r="B6" s="14" t="s">
        <v>61</v>
      </c>
      <c r="C6" s="46">
        <v>45498.0</v>
      </c>
      <c r="D6" s="16">
        <v>1152.0</v>
      </c>
      <c r="E6" s="33" t="s">
        <v>62</v>
      </c>
      <c r="F6" s="34">
        <v>4787.0</v>
      </c>
      <c r="G6" s="34">
        <v>5496.0</v>
      </c>
      <c r="H6" s="34">
        <v>8328.0</v>
      </c>
      <c r="I6" s="18">
        <f t="shared" si="1"/>
        <v>0.8709970888</v>
      </c>
      <c r="J6" s="19">
        <v>54.0</v>
      </c>
      <c r="K6" s="20">
        <v>30.0</v>
      </c>
      <c r="L6" s="20">
        <v>3.0</v>
      </c>
      <c r="M6" s="21" t="b">
        <v>1</v>
      </c>
      <c r="N6" s="20" t="s">
        <v>63</v>
      </c>
      <c r="O6" s="20" t="s">
        <v>64</v>
      </c>
      <c r="P6" s="20">
        <v>10.0</v>
      </c>
      <c r="Q6" s="20" t="s">
        <v>65</v>
      </c>
      <c r="R6" s="20"/>
      <c r="S6" s="20" t="s">
        <v>42</v>
      </c>
      <c r="T6" s="22" t="s">
        <v>43</v>
      </c>
      <c r="U6" s="23">
        <v>21.0</v>
      </c>
      <c r="V6" s="24">
        <v>45537.0</v>
      </c>
      <c r="W6" s="20">
        <v>119.0</v>
      </c>
      <c r="X6" s="25">
        <v>665.0</v>
      </c>
      <c r="Y6" s="26">
        <f t="shared" si="2"/>
        <v>0.5772569444</v>
      </c>
      <c r="Z6" s="27">
        <v>5.82</v>
      </c>
      <c r="AA6" s="27">
        <v>2.92</v>
      </c>
      <c r="AB6" s="27">
        <v>7.67</v>
      </c>
      <c r="AC6" s="27">
        <f t="shared" si="3"/>
        <v>2.92</v>
      </c>
      <c r="AD6" s="29">
        <v>0.1177</v>
      </c>
      <c r="AE6" s="29">
        <v>20.46</v>
      </c>
      <c r="AF6" s="29">
        <f t="shared" si="4"/>
        <v>0.1719327731</v>
      </c>
      <c r="AG6" s="19" t="s">
        <v>54</v>
      </c>
      <c r="AH6" s="30" t="s">
        <v>45</v>
      </c>
      <c r="AI6" s="19">
        <v>50.0</v>
      </c>
      <c r="AJ6" s="30">
        <v>0.0</v>
      </c>
      <c r="AK6" s="31">
        <f>AC6*'Data preparation'!$B$3/'Data preparation'!$B$2</f>
        <v>9.030927835</v>
      </c>
      <c r="AL6" s="32" t="s">
        <v>66</v>
      </c>
      <c r="AP6" s="47"/>
    </row>
    <row r="7" ht="40.5" customHeight="1">
      <c r="A7" s="13">
        <v>77.0</v>
      </c>
      <c r="B7" s="14" t="s">
        <v>67</v>
      </c>
      <c r="C7" s="15">
        <v>45498.0</v>
      </c>
      <c r="D7" s="38">
        <v>1152.0</v>
      </c>
      <c r="E7" s="48" t="s">
        <v>62</v>
      </c>
      <c r="F7" s="34">
        <v>5243.0</v>
      </c>
      <c r="G7" s="34">
        <v>6119.0</v>
      </c>
      <c r="H7" s="34">
        <v>8205.0</v>
      </c>
      <c r="I7" s="18">
        <f t="shared" si="1"/>
        <v>0.8568393528</v>
      </c>
      <c r="J7" s="19">
        <v>470.0</v>
      </c>
      <c r="K7" s="20">
        <v>30.0</v>
      </c>
      <c r="L7" s="20">
        <v>3.0</v>
      </c>
      <c r="M7" s="20" t="b">
        <v>0</v>
      </c>
      <c r="N7" s="20"/>
      <c r="O7" s="21" t="s">
        <v>58</v>
      </c>
      <c r="P7" s="20">
        <v>5.0</v>
      </c>
      <c r="Q7" s="20" t="s">
        <v>68</v>
      </c>
      <c r="R7" s="20"/>
      <c r="S7" s="20" t="s">
        <v>42</v>
      </c>
      <c r="T7" s="22" t="s">
        <v>69</v>
      </c>
      <c r="U7" s="23">
        <v>35.0</v>
      </c>
      <c r="V7" s="24">
        <v>45531.0</v>
      </c>
      <c r="W7" s="20">
        <v>116.0</v>
      </c>
      <c r="X7" s="25">
        <v>39.0</v>
      </c>
      <c r="Y7" s="26">
        <f t="shared" si="2"/>
        <v>0.03385416667</v>
      </c>
      <c r="Z7" s="49">
        <v>-0.18</v>
      </c>
      <c r="AA7" s="50">
        <v>2.54</v>
      </c>
      <c r="AB7" s="49">
        <v>2.12</v>
      </c>
      <c r="AC7" s="27">
        <f t="shared" si="3"/>
        <v>2.12</v>
      </c>
      <c r="AD7" s="29">
        <v>0.03</v>
      </c>
      <c r="AE7" s="29">
        <v>13.27</v>
      </c>
      <c r="AF7" s="29">
        <f t="shared" si="4"/>
        <v>0.1143965517</v>
      </c>
      <c r="AG7" s="19" t="s">
        <v>54</v>
      </c>
      <c r="AH7" s="30" t="s">
        <v>70</v>
      </c>
      <c r="AI7" s="30" t="s">
        <v>71</v>
      </c>
      <c r="AJ7" s="30" t="s">
        <v>72</v>
      </c>
      <c r="AK7" s="31">
        <f>AC7*'Data preparation'!$B$3/'Data preparation'!$B$2</f>
        <v>6.556701031</v>
      </c>
      <c r="AL7" s="32" t="s">
        <v>73</v>
      </c>
      <c r="AP7" s="47"/>
    </row>
    <row r="8" ht="39.0" customHeight="1">
      <c r="A8" s="13">
        <v>6.0</v>
      </c>
      <c r="B8" s="14" t="s">
        <v>74</v>
      </c>
      <c r="C8" s="51">
        <v>45419.0</v>
      </c>
      <c r="D8" s="16">
        <v>2304.0</v>
      </c>
      <c r="E8" s="17"/>
      <c r="F8" s="16">
        <v>3139.0</v>
      </c>
      <c r="G8" s="16">
        <v>3346.0</v>
      </c>
      <c r="H8" s="16">
        <v>6908.0</v>
      </c>
      <c r="I8" s="18">
        <f t="shared" si="1"/>
        <v>0.9381350867</v>
      </c>
      <c r="J8" s="19">
        <v>2.0</v>
      </c>
      <c r="K8" s="21">
        <v>30.0</v>
      </c>
      <c r="L8" s="21">
        <v>3.0</v>
      </c>
      <c r="M8" s="20" t="b">
        <v>1</v>
      </c>
      <c r="N8" s="20" t="s">
        <v>63</v>
      </c>
      <c r="O8" s="20" t="s">
        <v>58</v>
      </c>
      <c r="P8" s="20">
        <v>3.0</v>
      </c>
      <c r="Q8" s="20" t="s">
        <v>75</v>
      </c>
      <c r="R8" s="21"/>
      <c r="S8" s="21" t="s">
        <v>42</v>
      </c>
      <c r="T8" s="35" t="s">
        <v>43</v>
      </c>
      <c r="U8" s="23">
        <v>12.0</v>
      </c>
      <c r="V8" s="52">
        <v>45531.0</v>
      </c>
      <c r="W8" s="20">
        <v>208.0</v>
      </c>
      <c r="X8" s="27"/>
      <c r="Y8" s="27"/>
      <c r="Z8" s="49">
        <v>1.22</v>
      </c>
      <c r="AA8" s="49">
        <v>1.44</v>
      </c>
      <c r="AB8" s="49">
        <v>3.58</v>
      </c>
      <c r="AC8" s="49"/>
      <c r="AD8" s="36">
        <v>0.0044</v>
      </c>
      <c r="AE8" s="29">
        <v>15.98</v>
      </c>
      <c r="AF8" s="29">
        <f t="shared" si="4"/>
        <v>0.07682692308</v>
      </c>
      <c r="AG8" s="37" t="s">
        <v>44</v>
      </c>
      <c r="AH8" s="30" t="s">
        <v>70</v>
      </c>
      <c r="AI8" s="30" t="s">
        <v>71</v>
      </c>
      <c r="AJ8" s="30" t="s">
        <v>76</v>
      </c>
      <c r="AK8" s="37">
        <f>AA8*'Data preparation'!$B$3/'Data preparation'!$B$2</f>
        <v>4.453608247</v>
      </c>
      <c r="AL8" s="32"/>
      <c r="AP8" s="47"/>
    </row>
    <row r="9">
      <c r="AP9" s="47"/>
    </row>
    <row r="10">
      <c r="AK10" s="53"/>
    </row>
    <row r="12" ht="20.25" customHeight="1">
      <c r="V12" s="54"/>
      <c r="W12" s="54"/>
    </row>
    <row r="13" ht="20.25" customHeight="1"/>
    <row r="14" ht="20.25" customHeight="1"/>
    <row r="15" ht="20.25" customHeight="1"/>
    <row r="16" ht="20.25" customHeight="1"/>
    <row r="17" ht="20.25" customHeight="1"/>
    <row r="18" ht="20.25" customHeight="1"/>
  </sheetData>
  <autoFilter ref="$A$1:$AL$8">
    <sortState ref="A1:AL8">
      <sortCondition descending="1" ref="AK1:AK8"/>
      <sortCondition descending="1" ref="AA1:AA8"/>
      <sortCondition descending="1" ref="Z1:Z8"/>
      <sortCondition descending="1" ref="AF1:AF8"/>
    </sortState>
  </autoFilter>
  <conditionalFormatting sqref="W2:W8">
    <cfRule type="colorScale" priority="1">
      <colorScale>
        <cfvo type="min"/>
        <cfvo type="max"/>
        <color rgb="FFFFFFFF"/>
        <color rgb="FFFFD666"/>
      </colorScale>
    </cfRule>
  </conditionalFormatting>
  <conditionalFormatting sqref="AF2:AF8">
    <cfRule type="colorScale" priority="2">
      <colorScale>
        <cfvo type="min"/>
        <cfvo type="max"/>
        <color rgb="FFFFFFFF"/>
        <color rgb="FF57BB8A"/>
      </colorScale>
    </cfRule>
  </conditionalFormatting>
  <conditionalFormatting sqref="AE2:AE8">
    <cfRule type="colorScale" priority="3">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2.63" defaultRowHeight="15.75"/>
  <cols>
    <col customWidth="1" min="1" max="1" width="21.13"/>
    <col customWidth="1" min="12" max="12" width="20.75"/>
    <col customWidth="1" min="13" max="13" width="48.25"/>
    <col customWidth="1" min="14" max="14" width="44.75"/>
  </cols>
  <sheetData>
    <row r="1">
      <c r="A1" s="55" t="s">
        <v>77</v>
      </c>
    </row>
    <row r="2">
      <c r="A2" s="55" t="s">
        <v>78</v>
      </c>
      <c r="B2" s="56">
        <f>MAX('Modelos actuales'!AC2:AC7)</f>
        <v>4.85</v>
      </c>
      <c r="E2" s="54" t="s">
        <v>79</v>
      </c>
      <c r="I2" s="54" t="s">
        <v>80</v>
      </c>
    </row>
    <row r="3">
      <c r="A3" s="55" t="s">
        <v>81</v>
      </c>
      <c r="B3" s="54">
        <v>15.0</v>
      </c>
      <c r="F3" s="47">
        <f>AVERAGE(F6:F15)</f>
        <v>-0.003</v>
      </c>
      <c r="J3" s="47">
        <f>AVERAGE(J6:J28)</f>
        <v>1.915263158</v>
      </c>
    </row>
    <row r="6">
      <c r="A6" s="57"/>
      <c r="B6" s="57"/>
      <c r="E6" s="58" t="s">
        <v>82</v>
      </c>
      <c r="F6" s="47">
        <f t="shared" ref="F6:F15" si="1">REPLACE(E6,FIND(".",E6),1,",")*1</f>
        <v>0.07</v>
      </c>
      <c r="I6" s="59" t="s">
        <v>83</v>
      </c>
      <c r="J6" s="47">
        <f t="shared" ref="J6:J21" si="2">REPLACE(I6,FIND(".",I6),1,",")*1</f>
        <v>2.84</v>
      </c>
    </row>
    <row r="7">
      <c r="E7" s="58" t="s">
        <v>84</v>
      </c>
      <c r="F7" s="47">
        <f t="shared" si="1"/>
        <v>0</v>
      </c>
      <c r="I7" s="60">
        <v>45628.0</v>
      </c>
      <c r="J7" s="47">
        <f t="shared" si="2"/>
        <v>2.12</v>
      </c>
    </row>
    <row r="8">
      <c r="E8" s="61" t="s">
        <v>84</v>
      </c>
      <c r="F8" s="47">
        <f t="shared" si="1"/>
        <v>0</v>
      </c>
      <c r="I8" s="62" t="s">
        <v>85</v>
      </c>
      <c r="J8" s="47">
        <f t="shared" si="2"/>
        <v>2.24</v>
      </c>
    </row>
    <row r="9">
      <c r="E9" s="58" t="s">
        <v>86</v>
      </c>
      <c r="F9" s="47">
        <f t="shared" si="1"/>
        <v>0.02</v>
      </c>
      <c r="I9" s="62" t="s">
        <v>87</v>
      </c>
      <c r="J9" s="47">
        <f t="shared" si="2"/>
        <v>2.43</v>
      </c>
    </row>
    <row r="10">
      <c r="E10" s="61" t="s">
        <v>88</v>
      </c>
      <c r="F10" s="47">
        <f t="shared" si="1"/>
        <v>-0.04</v>
      </c>
      <c r="I10" s="62" t="s">
        <v>89</v>
      </c>
      <c r="J10" s="47">
        <f t="shared" si="2"/>
        <v>2.46</v>
      </c>
    </row>
    <row r="11">
      <c r="E11" s="58" t="s">
        <v>90</v>
      </c>
      <c r="F11" s="47">
        <f t="shared" si="1"/>
        <v>0.03</v>
      </c>
      <c r="I11" s="62" t="s">
        <v>91</v>
      </c>
      <c r="J11" s="47">
        <f t="shared" si="2"/>
        <v>1.33</v>
      </c>
    </row>
    <row r="12">
      <c r="E12" s="61" t="s">
        <v>92</v>
      </c>
      <c r="F12" s="47">
        <f t="shared" si="1"/>
        <v>-0.07</v>
      </c>
      <c r="I12" s="63">
        <v>45475.0</v>
      </c>
      <c r="J12" s="47">
        <f t="shared" si="2"/>
        <v>2.07</v>
      </c>
    </row>
    <row r="13">
      <c r="E13" s="58" t="s">
        <v>88</v>
      </c>
      <c r="F13" s="47">
        <f t="shared" si="1"/>
        <v>-0.04</v>
      </c>
      <c r="I13" s="60">
        <v>45628.0</v>
      </c>
      <c r="J13" s="47">
        <f t="shared" si="2"/>
        <v>2.12</v>
      </c>
    </row>
    <row r="14">
      <c r="E14" s="61" t="s">
        <v>82</v>
      </c>
      <c r="F14" s="47">
        <f t="shared" si="1"/>
        <v>0.07</v>
      </c>
      <c r="I14" s="62" t="s">
        <v>93</v>
      </c>
      <c r="J14" s="47">
        <f t="shared" si="2"/>
        <v>1.97</v>
      </c>
    </row>
    <row r="15">
      <c r="E15" s="58" t="s">
        <v>92</v>
      </c>
      <c r="F15" s="47">
        <f t="shared" si="1"/>
        <v>-0.07</v>
      </c>
      <c r="I15" s="62" t="s">
        <v>94</v>
      </c>
      <c r="J15" s="47">
        <f t="shared" si="2"/>
        <v>3.41</v>
      </c>
    </row>
    <row r="16">
      <c r="I16" s="62" t="s">
        <v>95</v>
      </c>
      <c r="J16" s="47">
        <f t="shared" si="2"/>
        <v>0.35</v>
      </c>
    </row>
    <row r="17">
      <c r="I17" s="63">
        <v>45506.0</v>
      </c>
      <c r="J17" s="47">
        <f t="shared" si="2"/>
        <v>2.08</v>
      </c>
    </row>
    <row r="18">
      <c r="I18" s="62" t="s">
        <v>96</v>
      </c>
      <c r="J18" s="47">
        <f t="shared" si="2"/>
        <v>1.77</v>
      </c>
    </row>
    <row r="19">
      <c r="I19" s="62" t="s">
        <v>82</v>
      </c>
      <c r="J19" s="47">
        <f t="shared" si="2"/>
        <v>0.07</v>
      </c>
    </row>
    <row r="20">
      <c r="I20" s="62" t="s">
        <v>97</v>
      </c>
      <c r="J20" s="47">
        <f t="shared" si="2"/>
        <v>1.78</v>
      </c>
    </row>
    <row r="21">
      <c r="I21" s="62" t="s">
        <v>98</v>
      </c>
      <c r="J21" s="47">
        <f t="shared" si="2"/>
        <v>1.81</v>
      </c>
    </row>
    <row r="22">
      <c r="I22" s="60">
        <v>45567.0</v>
      </c>
      <c r="J22" s="47"/>
    </row>
    <row r="23">
      <c r="I23" s="62" t="s">
        <v>99</v>
      </c>
      <c r="J23" s="47">
        <f t="shared" ref="J23:J25" si="3">REPLACE(I23,FIND(".",I23),1,",")*1</f>
        <v>1.84</v>
      </c>
    </row>
    <row r="24">
      <c r="I24" s="62" t="s">
        <v>100</v>
      </c>
      <c r="J24" s="47">
        <f t="shared" si="3"/>
        <v>1.85</v>
      </c>
    </row>
    <row r="25">
      <c r="I25" s="62" t="s">
        <v>100</v>
      </c>
      <c r="J25" s="47">
        <f t="shared" si="3"/>
        <v>1.85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23.63"/>
    <col customWidth="1" min="7" max="11" width="13.25"/>
    <col customWidth="1" min="12" max="12" width="10.13"/>
    <col customWidth="1" min="13" max="13" width="65.38"/>
    <col customWidth="1" min="14" max="14" width="54.25"/>
  </cols>
  <sheetData>
    <row r="1">
      <c r="A1" s="64"/>
      <c r="B1" s="64"/>
      <c r="C1" s="64"/>
      <c r="D1" s="65" t="s">
        <v>101</v>
      </c>
      <c r="F1" s="66"/>
      <c r="G1" s="67" t="s">
        <v>102</v>
      </c>
      <c r="L1" s="64"/>
      <c r="M1" s="64"/>
      <c r="N1" s="64"/>
    </row>
    <row r="2">
      <c r="A2" s="68" t="s">
        <v>103</v>
      </c>
      <c r="B2" s="68" t="s">
        <v>104</v>
      </c>
      <c r="C2" s="68" t="s">
        <v>105</v>
      </c>
      <c r="D2" s="69" t="s">
        <v>3</v>
      </c>
      <c r="E2" s="70" t="s">
        <v>4</v>
      </c>
      <c r="F2" s="71" t="s">
        <v>106</v>
      </c>
      <c r="G2" s="72" t="s">
        <v>107</v>
      </c>
      <c r="H2" s="72" t="s">
        <v>108</v>
      </c>
      <c r="I2" s="72" t="s">
        <v>109</v>
      </c>
      <c r="J2" s="72" t="s">
        <v>23</v>
      </c>
      <c r="K2" s="72" t="s">
        <v>24</v>
      </c>
      <c r="L2" s="68" t="s">
        <v>110</v>
      </c>
      <c r="M2" s="68" t="s">
        <v>111</v>
      </c>
      <c r="N2" s="68" t="s">
        <v>112</v>
      </c>
      <c r="P2" s="73" t="s">
        <v>113</v>
      </c>
    </row>
    <row r="3" ht="108.0" customHeight="1">
      <c r="A3" s="35" t="s">
        <v>67</v>
      </c>
      <c r="B3" s="74">
        <v>45418.0</v>
      </c>
      <c r="C3" s="75"/>
      <c r="D3" s="76">
        <v>768.0</v>
      </c>
      <c r="E3" s="77"/>
      <c r="F3" s="78"/>
      <c r="G3" s="79">
        <v>17.31</v>
      </c>
      <c r="H3" s="79" t="s">
        <v>114</v>
      </c>
      <c r="I3" s="79">
        <v>31.38</v>
      </c>
      <c r="J3" s="79"/>
      <c r="K3" s="80">
        <f>J3/D3</f>
        <v>0</v>
      </c>
      <c r="L3" s="81" t="s">
        <v>115</v>
      </c>
      <c r="M3" s="82" t="s">
        <v>116</v>
      </c>
      <c r="N3" s="83" t="s">
        <v>117</v>
      </c>
    </row>
    <row r="4" ht="108.0" customHeight="1">
      <c r="A4" s="35" t="s">
        <v>50</v>
      </c>
      <c r="B4" s="74">
        <v>45418.0</v>
      </c>
      <c r="C4" s="75"/>
      <c r="D4" s="76">
        <v>768.0</v>
      </c>
      <c r="E4" s="77"/>
      <c r="F4" s="78"/>
      <c r="G4" s="84">
        <v>182.82</v>
      </c>
      <c r="H4" s="84">
        <v>46.72</v>
      </c>
      <c r="I4" s="84">
        <v>47.49</v>
      </c>
      <c r="J4" s="84"/>
      <c r="K4" s="84"/>
      <c r="L4" s="81" t="s">
        <v>115</v>
      </c>
      <c r="M4" s="82" t="s">
        <v>118</v>
      </c>
      <c r="N4" s="85" t="s">
        <v>119</v>
      </c>
    </row>
    <row r="5" ht="42.0" customHeight="1">
      <c r="A5" s="86" t="s">
        <v>47</v>
      </c>
      <c r="B5" s="74">
        <v>45419.0</v>
      </c>
      <c r="C5" s="75"/>
      <c r="D5" s="76">
        <v>1536.0</v>
      </c>
      <c r="E5" s="77"/>
      <c r="F5" s="78"/>
      <c r="G5" s="49">
        <v>11.21</v>
      </c>
      <c r="H5" s="49">
        <v>16.21</v>
      </c>
      <c r="I5" s="49">
        <v>12.73</v>
      </c>
      <c r="J5" s="49"/>
      <c r="K5" s="49"/>
      <c r="L5" s="81" t="s">
        <v>120</v>
      </c>
      <c r="M5" s="87"/>
      <c r="N5" s="88"/>
    </row>
    <row r="6" ht="52.5" customHeight="1">
      <c r="A6" s="89" t="s">
        <v>38</v>
      </c>
      <c r="B6" s="90">
        <v>45419.0</v>
      </c>
      <c r="C6" s="75"/>
      <c r="D6" s="76">
        <v>2304.0</v>
      </c>
      <c r="E6" s="77"/>
      <c r="F6" s="78"/>
      <c r="G6" s="91"/>
      <c r="H6" s="91"/>
      <c r="I6" s="91"/>
      <c r="J6" s="91"/>
      <c r="K6" s="91"/>
      <c r="L6" s="81" t="s">
        <v>120</v>
      </c>
      <c r="M6" s="87"/>
      <c r="N6" s="86" t="s">
        <v>121</v>
      </c>
    </row>
    <row r="7">
      <c r="A7" s="35" t="s">
        <v>74</v>
      </c>
      <c r="B7" s="74">
        <v>45419.0</v>
      </c>
      <c r="C7" s="75"/>
      <c r="D7" s="92">
        <v>2304.0</v>
      </c>
      <c r="E7" s="77"/>
      <c r="F7" s="78"/>
      <c r="G7" s="93"/>
      <c r="H7" s="93"/>
      <c r="I7" s="93"/>
      <c r="J7" s="93"/>
      <c r="K7" s="93"/>
      <c r="L7" s="81" t="s">
        <v>120</v>
      </c>
      <c r="M7" s="87"/>
      <c r="N7" s="86" t="s">
        <v>122</v>
      </c>
    </row>
    <row r="8">
      <c r="A8" s="35" t="s">
        <v>56</v>
      </c>
      <c r="B8" s="94">
        <v>45467.0</v>
      </c>
      <c r="C8" s="75"/>
      <c r="D8" s="92">
        <v>768.0</v>
      </c>
      <c r="E8" s="77"/>
      <c r="F8" s="78"/>
      <c r="G8" s="91"/>
      <c r="H8" s="91"/>
      <c r="I8" s="91"/>
      <c r="J8" s="91"/>
      <c r="K8" s="91"/>
      <c r="L8" s="81" t="s">
        <v>120</v>
      </c>
      <c r="M8" s="87"/>
      <c r="N8" s="88"/>
    </row>
    <row r="9" ht="55.5" customHeight="1">
      <c r="A9" s="35" t="s">
        <v>67</v>
      </c>
      <c r="B9" s="94">
        <v>45498.0</v>
      </c>
      <c r="C9" s="95" t="s">
        <v>123</v>
      </c>
      <c r="D9" s="92">
        <v>1152.0</v>
      </c>
      <c r="E9" s="96" t="s">
        <v>62</v>
      </c>
      <c r="F9" s="97"/>
      <c r="G9" s="49">
        <v>0.11</v>
      </c>
      <c r="H9" s="49">
        <v>3.76</v>
      </c>
      <c r="I9" s="49">
        <v>3.44</v>
      </c>
      <c r="J9" s="49">
        <v>39.0</v>
      </c>
      <c r="K9" s="80">
        <f>J9/D9</f>
        <v>0.03385416667</v>
      </c>
      <c r="L9" s="81" t="s">
        <v>120</v>
      </c>
      <c r="M9" s="95"/>
      <c r="N9" s="86" t="s">
        <v>124</v>
      </c>
    </row>
    <row r="10" ht="49.5" customHeight="1">
      <c r="A10" s="35" t="s">
        <v>61</v>
      </c>
      <c r="B10" s="94">
        <v>45498.0</v>
      </c>
      <c r="C10" s="95" t="s">
        <v>125</v>
      </c>
      <c r="D10" s="92">
        <v>1152.0</v>
      </c>
      <c r="E10" s="96" t="s">
        <v>62</v>
      </c>
      <c r="F10" s="97"/>
      <c r="G10" s="49">
        <v>21.87</v>
      </c>
      <c r="H10" s="49">
        <v>8.63</v>
      </c>
      <c r="I10" s="49">
        <v>6.51</v>
      </c>
      <c r="J10" s="49"/>
      <c r="K10" s="49"/>
      <c r="L10" s="86" t="s">
        <v>120</v>
      </c>
      <c r="M10" s="95"/>
      <c r="N10" s="86"/>
    </row>
    <row r="11" ht="49.5" customHeight="1">
      <c r="A11" s="86" t="s">
        <v>47</v>
      </c>
      <c r="B11" s="98">
        <v>45502.0</v>
      </c>
      <c r="C11" s="95" t="s">
        <v>126</v>
      </c>
      <c r="D11" s="92">
        <v>1728.0</v>
      </c>
      <c r="E11" s="96" t="s">
        <v>127</v>
      </c>
      <c r="F11" s="97" t="s">
        <v>128</v>
      </c>
      <c r="G11" s="49">
        <v>11.2</v>
      </c>
      <c r="H11" s="49">
        <v>5.5</v>
      </c>
      <c r="I11" s="49">
        <v>8.9</v>
      </c>
      <c r="J11" s="49"/>
      <c r="K11" s="49"/>
      <c r="L11" s="86" t="s">
        <v>120</v>
      </c>
      <c r="M11" s="95" t="s">
        <v>129</v>
      </c>
      <c r="N11" s="86" t="s">
        <v>130</v>
      </c>
    </row>
    <row r="12" ht="73.5" customHeight="1">
      <c r="A12" s="86" t="s">
        <v>50</v>
      </c>
      <c r="B12" s="98">
        <v>45504.0</v>
      </c>
      <c r="C12" s="95" t="s">
        <v>131</v>
      </c>
      <c r="D12" s="92">
        <v>1536.0</v>
      </c>
      <c r="E12" s="96" t="s">
        <v>51</v>
      </c>
      <c r="F12" s="97" t="s">
        <v>132</v>
      </c>
      <c r="G12" s="49">
        <v>47.88</v>
      </c>
      <c r="H12" s="49" t="s">
        <v>114</v>
      </c>
      <c r="I12" s="49">
        <v>19.73</v>
      </c>
      <c r="J12" s="49"/>
      <c r="K12" s="49"/>
      <c r="L12" s="86" t="s">
        <v>120</v>
      </c>
      <c r="M12" s="95" t="s">
        <v>133</v>
      </c>
      <c r="N12" s="86" t="s">
        <v>134</v>
      </c>
    </row>
    <row r="13" ht="55.5" customHeight="1">
      <c r="A13" s="99" t="s">
        <v>67</v>
      </c>
      <c r="B13" s="100">
        <v>45537.0</v>
      </c>
      <c r="C13" s="101" t="s">
        <v>135</v>
      </c>
      <c r="D13" s="92">
        <v>3072.0</v>
      </c>
      <c r="E13" s="96" t="s">
        <v>136</v>
      </c>
      <c r="F13" s="97" t="s">
        <v>137</v>
      </c>
      <c r="G13" s="49">
        <v>-0.05</v>
      </c>
      <c r="H13" s="49">
        <v>6.32</v>
      </c>
      <c r="I13" s="49">
        <v>10.29</v>
      </c>
      <c r="J13" s="49">
        <v>119.0</v>
      </c>
      <c r="K13" s="80">
        <f t="shared" ref="K13:K14" si="1">J13/D13</f>
        <v>0.03873697917</v>
      </c>
      <c r="L13" s="102" t="s">
        <v>115</v>
      </c>
      <c r="M13" s="103" t="s">
        <v>138</v>
      </c>
      <c r="N13" s="104"/>
    </row>
    <row r="14" ht="55.5" customHeight="1">
      <c r="A14" s="35" t="s">
        <v>67</v>
      </c>
      <c r="B14" s="105">
        <v>45539.0</v>
      </c>
      <c r="C14" s="106" t="s">
        <v>139</v>
      </c>
      <c r="D14" s="92">
        <v>288.0</v>
      </c>
      <c r="E14" s="96" t="s">
        <v>140</v>
      </c>
      <c r="F14" s="107" t="s">
        <v>141</v>
      </c>
      <c r="G14" s="27">
        <v>-0.01</v>
      </c>
      <c r="H14" s="27">
        <v>0.0</v>
      </c>
      <c r="I14" s="27">
        <v>0.01</v>
      </c>
      <c r="J14" s="27">
        <v>6.0</v>
      </c>
      <c r="K14" s="108">
        <f t="shared" si="1"/>
        <v>0.02083333333</v>
      </c>
      <c r="L14" s="81" t="s">
        <v>115</v>
      </c>
      <c r="M14" s="103" t="s">
        <v>142</v>
      </c>
      <c r="N14" s="104"/>
    </row>
    <row r="15" ht="86.25" customHeight="1">
      <c r="A15" s="109" t="s">
        <v>50</v>
      </c>
      <c r="B15" s="110">
        <v>45540.0</v>
      </c>
      <c r="C15" s="106" t="s">
        <v>143</v>
      </c>
      <c r="D15" s="92">
        <v>1296.0</v>
      </c>
      <c r="E15" s="96" t="s">
        <v>144</v>
      </c>
      <c r="F15" s="97"/>
      <c r="G15" s="49"/>
      <c r="H15" s="49"/>
      <c r="I15" s="49"/>
      <c r="J15" s="49"/>
      <c r="K15" s="80"/>
      <c r="L15" s="12"/>
      <c r="N15" s="104"/>
    </row>
    <row r="16">
      <c r="A16" s="111"/>
      <c r="B16" s="111"/>
      <c r="D16" s="112"/>
      <c r="F16" s="113"/>
      <c r="L16" s="12"/>
      <c r="N16" s="104"/>
    </row>
    <row r="17">
      <c r="A17" s="111"/>
      <c r="B17" s="111"/>
      <c r="D17" s="112"/>
      <c r="F17" s="113"/>
      <c r="L17" s="12"/>
      <c r="N17" s="104"/>
    </row>
    <row r="18">
      <c r="A18" s="111"/>
      <c r="B18" s="111"/>
      <c r="D18" s="112"/>
      <c r="F18" s="113"/>
      <c r="L18" s="12"/>
      <c r="N18" s="104"/>
    </row>
    <row r="19">
      <c r="A19" s="111"/>
      <c r="B19" s="111"/>
      <c r="D19" s="112"/>
      <c r="F19" s="113"/>
      <c r="L19" s="12"/>
      <c r="N19" s="104"/>
    </row>
    <row r="20">
      <c r="A20" s="111"/>
      <c r="B20" s="111"/>
      <c r="D20" s="112"/>
      <c r="F20" s="113"/>
      <c r="L20" s="12"/>
      <c r="N20" s="104"/>
    </row>
    <row r="21">
      <c r="A21" s="111"/>
      <c r="B21" s="111"/>
      <c r="D21" s="112"/>
      <c r="F21" s="113"/>
      <c r="L21" s="12"/>
      <c r="N21" s="104"/>
    </row>
    <row r="22">
      <c r="A22" s="111"/>
      <c r="B22" s="111"/>
      <c r="D22" s="112"/>
      <c r="F22" s="113"/>
      <c r="L22" s="12"/>
      <c r="N22" s="104"/>
    </row>
    <row r="23">
      <c r="D23" s="112"/>
      <c r="F23" s="113"/>
      <c r="L23" s="12"/>
      <c r="N23" s="104"/>
    </row>
    <row r="24">
      <c r="D24" s="112"/>
      <c r="F24" s="113"/>
      <c r="L24" s="12"/>
      <c r="N24" s="104"/>
    </row>
    <row r="25">
      <c r="D25" s="112"/>
      <c r="F25" s="113"/>
      <c r="L25" s="12"/>
      <c r="N25" s="104"/>
    </row>
    <row r="26">
      <c r="D26" s="112"/>
      <c r="F26" s="113"/>
      <c r="L26" s="12"/>
      <c r="N26" s="104"/>
    </row>
    <row r="27">
      <c r="D27" s="112"/>
      <c r="F27" s="113"/>
      <c r="L27" s="12"/>
      <c r="N27" s="104"/>
    </row>
    <row r="28">
      <c r="D28" s="112"/>
      <c r="F28" s="113"/>
      <c r="L28" s="12"/>
      <c r="N28" s="104"/>
    </row>
    <row r="29">
      <c r="D29" s="112"/>
      <c r="F29" s="113"/>
      <c r="L29" s="12"/>
      <c r="N29" s="104"/>
    </row>
    <row r="30">
      <c r="D30" s="112"/>
      <c r="F30" s="113"/>
      <c r="L30" s="12"/>
      <c r="N30" s="104"/>
    </row>
    <row r="31">
      <c r="D31" s="112"/>
      <c r="F31" s="113"/>
      <c r="L31" s="12"/>
      <c r="N31" s="104"/>
    </row>
    <row r="32">
      <c r="D32" s="112"/>
      <c r="F32" s="113"/>
      <c r="L32" s="12"/>
      <c r="N32" s="104"/>
    </row>
    <row r="33">
      <c r="D33" s="112"/>
      <c r="F33" s="113"/>
      <c r="L33" s="12"/>
      <c r="N33" s="104"/>
    </row>
    <row r="34">
      <c r="D34" s="112"/>
      <c r="F34" s="113"/>
      <c r="L34" s="12"/>
      <c r="N34" s="104"/>
    </row>
    <row r="35">
      <c r="D35" s="112"/>
      <c r="F35" s="113"/>
      <c r="L35" s="12"/>
      <c r="N35" s="104"/>
    </row>
    <row r="36">
      <c r="D36" s="112"/>
      <c r="F36" s="113"/>
      <c r="L36" s="12"/>
      <c r="N36" s="104"/>
    </row>
    <row r="37">
      <c r="D37" s="112"/>
      <c r="F37" s="113"/>
      <c r="L37" s="12"/>
      <c r="N37" s="104"/>
    </row>
    <row r="38">
      <c r="D38" s="112"/>
      <c r="F38" s="113"/>
      <c r="L38" s="12"/>
      <c r="N38" s="104"/>
    </row>
    <row r="39">
      <c r="D39" s="112"/>
      <c r="F39" s="113"/>
      <c r="L39" s="12"/>
      <c r="N39" s="104"/>
    </row>
    <row r="40">
      <c r="D40" s="112"/>
      <c r="F40" s="113"/>
      <c r="L40" s="12"/>
      <c r="N40" s="104"/>
    </row>
    <row r="41">
      <c r="D41" s="112"/>
      <c r="F41" s="113"/>
      <c r="L41" s="12"/>
      <c r="N41" s="104"/>
    </row>
    <row r="42">
      <c r="D42" s="112"/>
      <c r="F42" s="113"/>
      <c r="L42" s="12"/>
      <c r="N42" s="104"/>
    </row>
    <row r="43">
      <c r="D43" s="112"/>
      <c r="F43" s="113"/>
      <c r="L43" s="12"/>
      <c r="N43" s="104"/>
    </row>
    <row r="44">
      <c r="D44" s="112"/>
      <c r="F44" s="113"/>
      <c r="L44" s="12"/>
      <c r="N44" s="104"/>
    </row>
    <row r="45">
      <c r="D45" s="112"/>
      <c r="F45" s="113"/>
      <c r="L45" s="12"/>
      <c r="N45" s="104"/>
    </row>
    <row r="46">
      <c r="D46" s="112"/>
      <c r="F46" s="113"/>
      <c r="L46" s="12"/>
      <c r="N46" s="104"/>
    </row>
    <row r="47">
      <c r="D47" s="112"/>
      <c r="F47" s="113"/>
      <c r="L47" s="12"/>
      <c r="N47" s="104"/>
    </row>
    <row r="48">
      <c r="D48" s="112"/>
      <c r="F48" s="113"/>
      <c r="L48" s="12"/>
      <c r="N48" s="104"/>
    </row>
    <row r="49">
      <c r="D49" s="112"/>
      <c r="F49" s="113"/>
      <c r="L49" s="12"/>
      <c r="N49" s="104"/>
    </row>
    <row r="50">
      <c r="D50" s="112"/>
      <c r="F50" s="113"/>
      <c r="L50" s="12"/>
      <c r="N50" s="104"/>
    </row>
    <row r="51">
      <c r="D51" s="112"/>
      <c r="F51" s="113"/>
      <c r="L51" s="12"/>
      <c r="N51" s="104"/>
    </row>
    <row r="52">
      <c r="D52" s="112"/>
      <c r="F52" s="113"/>
      <c r="L52" s="12"/>
      <c r="N52" s="104"/>
    </row>
    <row r="53">
      <c r="D53" s="112"/>
      <c r="F53" s="113"/>
      <c r="L53" s="12"/>
      <c r="N53" s="104"/>
    </row>
    <row r="54">
      <c r="D54" s="112"/>
      <c r="F54" s="113"/>
      <c r="L54" s="12"/>
      <c r="N54" s="104"/>
    </row>
    <row r="55">
      <c r="D55" s="112"/>
      <c r="F55" s="113"/>
      <c r="L55" s="12"/>
      <c r="N55" s="104"/>
    </row>
    <row r="56">
      <c r="D56" s="112"/>
      <c r="F56" s="113"/>
      <c r="L56" s="12"/>
      <c r="N56" s="104"/>
    </row>
    <row r="57">
      <c r="D57" s="112"/>
      <c r="F57" s="113"/>
      <c r="L57" s="12"/>
      <c r="N57" s="104"/>
    </row>
    <row r="58">
      <c r="D58" s="112"/>
      <c r="F58" s="113"/>
      <c r="L58" s="12"/>
      <c r="N58" s="104"/>
    </row>
    <row r="59">
      <c r="D59" s="112"/>
      <c r="F59" s="113"/>
      <c r="L59" s="12"/>
      <c r="N59" s="104"/>
    </row>
    <row r="60">
      <c r="D60" s="112"/>
      <c r="F60" s="113"/>
      <c r="L60" s="12"/>
      <c r="N60" s="104"/>
    </row>
    <row r="61">
      <c r="D61" s="112"/>
      <c r="F61" s="113"/>
      <c r="L61" s="12"/>
      <c r="N61" s="104"/>
    </row>
    <row r="62">
      <c r="D62" s="112"/>
      <c r="F62" s="113"/>
      <c r="L62" s="12"/>
      <c r="N62" s="104"/>
    </row>
    <row r="63">
      <c r="D63" s="112"/>
      <c r="F63" s="113"/>
      <c r="L63" s="12"/>
      <c r="N63" s="104"/>
    </row>
    <row r="64">
      <c r="D64" s="112"/>
      <c r="F64" s="113"/>
      <c r="L64" s="12"/>
      <c r="N64" s="104"/>
    </row>
    <row r="65">
      <c r="D65" s="112"/>
      <c r="F65" s="113"/>
      <c r="L65" s="12"/>
      <c r="N65" s="104"/>
    </row>
    <row r="66">
      <c r="D66" s="112"/>
      <c r="F66" s="113"/>
      <c r="L66" s="12"/>
      <c r="N66" s="104"/>
    </row>
    <row r="67">
      <c r="D67" s="112"/>
      <c r="F67" s="113"/>
      <c r="L67" s="12"/>
      <c r="N67" s="104"/>
    </row>
    <row r="68">
      <c r="D68" s="112"/>
      <c r="F68" s="113"/>
      <c r="L68" s="12"/>
      <c r="N68" s="104"/>
    </row>
    <row r="69">
      <c r="D69" s="112"/>
      <c r="F69" s="113"/>
      <c r="L69" s="12"/>
      <c r="N69" s="104"/>
    </row>
    <row r="70">
      <c r="D70" s="112"/>
      <c r="F70" s="113"/>
      <c r="L70" s="12"/>
      <c r="N70" s="104"/>
    </row>
    <row r="71">
      <c r="D71" s="112"/>
      <c r="F71" s="113"/>
      <c r="L71" s="12"/>
      <c r="N71" s="104"/>
    </row>
    <row r="72">
      <c r="D72" s="112"/>
      <c r="F72" s="113"/>
      <c r="L72" s="12"/>
      <c r="N72" s="104"/>
    </row>
    <row r="73">
      <c r="D73" s="112"/>
      <c r="F73" s="113"/>
      <c r="L73" s="12"/>
      <c r="N73" s="104"/>
    </row>
    <row r="74">
      <c r="D74" s="112"/>
      <c r="F74" s="113"/>
      <c r="L74" s="12"/>
      <c r="N74" s="104"/>
    </row>
    <row r="75">
      <c r="D75" s="112"/>
      <c r="F75" s="113"/>
      <c r="L75" s="12"/>
      <c r="N75" s="104"/>
    </row>
    <row r="76">
      <c r="D76" s="112"/>
      <c r="F76" s="113"/>
      <c r="L76" s="12"/>
      <c r="N76" s="104"/>
    </row>
    <row r="77">
      <c r="D77" s="112"/>
      <c r="F77" s="113"/>
      <c r="L77" s="12"/>
      <c r="N77" s="104"/>
    </row>
    <row r="78">
      <c r="D78" s="112"/>
      <c r="F78" s="113"/>
      <c r="L78" s="12"/>
      <c r="N78" s="104"/>
    </row>
    <row r="79">
      <c r="D79" s="112"/>
      <c r="F79" s="113"/>
      <c r="L79" s="12"/>
      <c r="N79" s="104"/>
    </row>
    <row r="80">
      <c r="D80" s="112"/>
      <c r="F80" s="113"/>
      <c r="L80" s="12"/>
      <c r="N80" s="104"/>
    </row>
    <row r="81">
      <c r="D81" s="112"/>
      <c r="F81" s="113"/>
      <c r="L81" s="12"/>
      <c r="N81" s="104"/>
    </row>
    <row r="82">
      <c r="D82" s="112"/>
      <c r="F82" s="113"/>
      <c r="L82" s="12"/>
      <c r="N82" s="104"/>
    </row>
    <row r="83">
      <c r="D83" s="112"/>
      <c r="F83" s="113"/>
      <c r="L83" s="12"/>
      <c r="N83" s="104"/>
    </row>
    <row r="84">
      <c r="D84" s="112"/>
      <c r="F84" s="113"/>
      <c r="L84" s="12"/>
      <c r="N84" s="104"/>
    </row>
    <row r="85">
      <c r="D85" s="112"/>
      <c r="F85" s="113"/>
      <c r="L85" s="12"/>
      <c r="N85" s="104"/>
    </row>
    <row r="86">
      <c r="D86" s="112"/>
      <c r="F86" s="113"/>
      <c r="L86" s="12"/>
      <c r="N86" s="104"/>
    </row>
    <row r="87">
      <c r="D87" s="112"/>
      <c r="F87" s="113"/>
      <c r="L87" s="12"/>
      <c r="N87" s="104"/>
    </row>
    <row r="88">
      <c r="D88" s="112"/>
      <c r="F88" s="113"/>
      <c r="L88" s="12"/>
      <c r="N88" s="104"/>
    </row>
    <row r="89">
      <c r="D89" s="112"/>
      <c r="F89" s="113"/>
      <c r="L89" s="12"/>
      <c r="N89" s="104"/>
    </row>
    <row r="90">
      <c r="D90" s="112"/>
      <c r="F90" s="113"/>
      <c r="L90" s="12"/>
      <c r="N90" s="104"/>
    </row>
    <row r="91">
      <c r="D91" s="112"/>
      <c r="F91" s="113"/>
      <c r="L91" s="12"/>
      <c r="N91" s="104"/>
    </row>
    <row r="92">
      <c r="D92" s="112"/>
      <c r="F92" s="113"/>
      <c r="L92" s="12"/>
      <c r="N92" s="104"/>
    </row>
    <row r="93">
      <c r="D93" s="112"/>
      <c r="F93" s="113"/>
      <c r="L93" s="12"/>
      <c r="N93" s="104"/>
    </row>
    <row r="94">
      <c r="D94" s="112"/>
      <c r="F94" s="113"/>
      <c r="L94" s="12"/>
      <c r="N94" s="104"/>
    </row>
    <row r="95">
      <c r="D95" s="112"/>
      <c r="F95" s="113"/>
      <c r="L95" s="12"/>
      <c r="N95" s="104"/>
    </row>
    <row r="96">
      <c r="D96" s="112"/>
      <c r="F96" s="113"/>
      <c r="L96" s="12"/>
      <c r="N96" s="104"/>
    </row>
    <row r="97">
      <c r="D97" s="112"/>
      <c r="F97" s="113"/>
      <c r="L97" s="12"/>
      <c r="N97" s="104"/>
    </row>
    <row r="98">
      <c r="D98" s="112"/>
      <c r="F98" s="113"/>
      <c r="L98" s="12"/>
      <c r="N98" s="104"/>
    </row>
    <row r="99">
      <c r="D99" s="112"/>
      <c r="F99" s="113"/>
      <c r="L99" s="12"/>
      <c r="N99" s="104"/>
    </row>
    <row r="100">
      <c r="D100" s="112"/>
      <c r="F100" s="113"/>
      <c r="L100" s="12"/>
      <c r="N100" s="104"/>
    </row>
    <row r="101">
      <c r="D101" s="112"/>
      <c r="F101" s="113"/>
      <c r="L101" s="12"/>
      <c r="N101" s="104"/>
    </row>
    <row r="102">
      <c r="D102" s="112"/>
      <c r="F102" s="113"/>
      <c r="L102" s="12"/>
      <c r="N102" s="104"/>
    </row>
    <row r="103">
      <c r="D103" s="112"/>
      <c r="F103" s="113"/>
      <c r="L103" s="12"/>
      <c r="N103" s="104"/>
    </row>
    <row r="104">
      <c r="D104" s="112"/>
      <c r="F104" s="113"/>
      <c r="L104" s="12"/>
      <c r="N104" s="104"/>
    </row>
    <row r="105">
      <c r="D105" s="112"/>
      <c r="F105" s="113"/>
      <c r="L105" s="12"/>
      <c r="N105" s="104"/>
    </row>
    <row r="106">
      <c r="D106" s="112"/>
      <c r="F106" s="113"/>
      <c r="L106" s="12"/>
      <c r="N106" s="104"/>
    </row>
    <row r="107">
      <c r="D107" s="112"/>
      <c r="F107" s="113"/>
      <c r="L107" s="12"/>
      <c r="N107" s="104"/>
    </row>
    <row r="108">
      <c r="D108" s="112"/>
      <c r="F108" s="113"/>
      <c r="L108" s="12"/>
      <c r="N108" s="104"/>
    </row>
    <row r="109">
      <c r="D109" s="112"/>
      <c r="F109" s="113"/>
      <c r="L109" s="12"/>
      <c r="N109" s="104"/>
    </row>
    <row r="110">
      <c r="D110" s="112"/>
      <c r="F110" s="113"/>
      <c r="L110" s="12"/>
      <c r="N110" s="104"/>
    </row>
    <row r="111">
      <c r="D111" s="112"/>
      <c r="F111" s="113"/>
      <c r="L111" s="12"/>
      <c r="N111" s="104"/>
    </row>
    <row r="112">
      <c r="D112" s="112"/>
      <c r="F112" s="113"/>
      <c r="L112" s="12"/>
      <c r="N112" s="104"/>
    </row>
    <row r="113">
      <c r="D113" s="112"/>
      <c r="F113" s="113"/>
      <c r="L113" s="12"/>
      <c r="N113" s="104"/>
    </row>
    <row r="114">
      <c r="D114" s="112"/>
      <c r="F114" s="113"/>
      <c r="L114" s="12"/>
      <c r="N114" s="104"/>
    </row>
    <row r="115">
      <c r="D115" s="112"/>
      <c r="F115" s="113"/>
      <c r="L115" s="12"/>
      <c r="N115" s="104"/>
    </row>
    <row r="116">
      <c r="D116" s="112"/>
      <c r="F116" s="113"/>
      <c r="L116" s="12"/>
      <c r="N116" s="104"/>
    </row>
    <row r="117">
      <c r="D117" s="112"/>
      <c r="F117" s="113"/>
      <c r="L117" s="12"/>
      <c r="N117" s="104"/>
    </row>
    <row r="118">
      <c r="D118" s="112"/>
      <c r="F118" s="113"/>
      <c r="L118" s="12"/>
      <c r="N118" s="104"/>
    </row>
    <row r="119">
      <c r="D119" s="112"/>
      <c r="F119" s="113"/>
      <c r="L119" s="12"/>
      <c r="N119" s="104"/>
    </row>
    <row r="120">
      <c r="D120" s="112"/>
      <c r="F120" s="113"/>
      <c r="L120" s="12"/>
      <c r="N120" s="104"/>
    </row>
    <row r="121">
      <c r="D121" s="112"/>
      <c r="F121" s="113"/>
      <c r="L121" s="12"/>
      <c r="N121" s="104"/>
    </row>
    <row r="122">
      <c r="D122" s="112"/>
      <c r="F122" s="113"/>
      <c r="L122" s="12"/>
      <c r="N122" s="104"/>
    </row>
    <row r="123">
      <c r="D123" s="112"/>
      <c r="F123" s="113"/>
      <c r="L123" s="12"/>
      <c r="N123" s="104"/>
    </row>
    <row r="124">
      <c r="D124" s="112"/>
      <c r="F124" s="113"/>
      <c r="L124" s="12"/>
      <c r="N124" s="104"/>
    </row>
    <row r="125">
      <c r="D125" s="112"/>
      <c r="F125" s="113"/>
      <c r="L125" s="12"/>
      <c r="N125" s="104"/>
    </row>
    <row r="126">
      <c r="D126" s="112"/>
      <c r="F126" s="113"/>
      <c r="L126" s="12"/>
      <c r="N126" s="104"/>
    </row>
    <row r="127">
      <c r="D127" s="112"/>
      <c r="F127" s="113"/>
      <c r="L127" s="12"/>
      <c r="N127" s="104"/>
    </row>
    <row r="128">
      <c r="D128" s="112"/>
      <c r="F128" s="113"/>
      <c r="L128" s="12"/>
      <c r="N128" s="104"/>
    </row>
    <row r="129">
      <c r="D129" s="112"/>
      <c r="F129" s="113"/>
      <c r="L129" s="12"/>
      <c r="N129" s="104"/>
    </row>
    <row r="130">
      <c r="D130" s="112"/>
      <c r="F130" s="113"/>
      <c r="L130" s="12"/>
      <c r="N130" s="104"/>
    </row>
    <row r="131">
      <c r="D131" s="112"/>
      <c r="F131" s="113"/>
      <c r="L131" s="12"/>
      <c r="N131" s="104"/>
    </row>
    <row r="132">
      <c r="D132" s="112"/>
      <c r="F132" s="113"/>
      <c r="L132" s="12"/>
      <c r="N132" s="104"/>
    </row>
    <row r="133">
      <c r="D133" s="112"/>
      <c r="F133" s="113"/>
      <c r="L133" s="12"/>
      <c r="N133" s="104"/>
    </row>
    <row r="134">
      <c r="D134" s="112"/>
      <c r="F134" s="113"/>
      <c r="L134" s="12"/>
      <c r="N134" s="104"/>
    </row>
    <row r="135">
      <c r="D135" s="112"/>
      <c r="F135" s="113"/>
      <c r="L135" s="12"/>
      <c r="N135" s="104"/>
    </row>
    <row r="136">
      <c r="D136" s="112"/>
      <c r="F136" s="113"/>
      <c r="L136" s="12"/>
      <c r="N136" s="104"/>
    </row>
    <row r="137">
      <c r="D137" s="112"/>
      <c r="F137" s="113"/>
      <c r="L137" s="12"/>
      <c r="N137" s="104"/>
    </row>
    <row r="138">
      <c r="D138" s="112"/>
      <c r="F138" s="113"/>
      <c r="L138" s="12"/>
      <c r="N138" s="104"/>
    </row>
    <row r="139">
      <c r="D139" s="112"/>
      <c r="F139" s="113"/>
      <c r="L139" s="12"/>
      <c r="N139" s="104"/>
    </row>
    <row r="140">
      <c r="D140" s="112"/>
      <c r="F140" s="113"/>
      <c r="L140" s="12"/>
      <c r="N140" s="104"/>
    </row>
    <row r="141">
      <c r="D141" s="112"/>
      <c r="F141" s="113"/>
      <c r="L141" s="12"/>
      <c r="N141" s="104"/>
    </row>
    <row r="142">
      <c r="D142" s="112"/>
      <c r="F142" s="113"/>
      <c r="L142" s="12"/>
      <c r="N142" s="104"/>
    </row>
    <row r="143">
      <c r="D143" s="112"/>
      <c r="F143" s="113"/>
      <c r="L143" s="12"/>
      <c r="N143" s="104"/>
    </row>
    <row r="144">
      <c r="D144" s="112"/>
      <c r="F144" s="113"/>
      <c r="L144" s="12"/>
      <c r="N144" s="104"/>
    </row>
    <row r="145">
      <c r="D145" s="112"/>
      <c r="F145" s="113"/>
      <c r="L145" s="12"/>
      <c r="N145" s="104"/>
    </row>
    <row r="146">
      <c r="D146" s="112"/>
      <c r="F146" s="113"/>
      <c r="L146" s="12"/>
      <c r="N146" s="104"/>
    </row>
    <row r="147">
      <c r="D147" s="112"/>
      <c r="F147" s="113"/>
      <c r="L147" s="12"/>
      <c r="N147" s="104"/>
    </row>
    <row r="148">
      <c r="D148" s="112"/>
      <c r="F148" s="113"/>
      <c r="L148" s="12"/>
      <c r="N148" s="104"/>
    </row>
    <row r="149">
      <c r="D149" s="112"/>
      <c r="F149" s="113"/>
      <c r="L149" s="12"/>
      <c r="N149" s="104"/>
    </row>
    <row r="150">
      <c r="D150" s="112"/>
      <c r="F150" s="113"/>
      <c r="L150" s="12"/>
      <c r="N150" s="104"/>
    </row>
    <row r="151">
      <c r="D151" s="112"/>
      <c r="F151" s="113"/>
      <c r="L151" s="12"/>
      <c r="N151" s="104"/>
    </row>
    <row r="152">
      <c r="D152" s="112"/>
      <c r="F152" s="113"/>
      <c r="L152" s="12"/>
      <c r="N152" s="104"/>
    </row>
    <row r="153">
      <c r="D153" s="112"/>
      <c r="F153" s="113"/>
      <c r="L153" s="12"/>
      <c r="N153" s="104"/>
    </row>
    <row r="154">
      <c r="D154" s="112"/>
      <c r="F154" s="113"/>
      <c r="L154" s="12"/>
      <c r="N154" s="104"/>
    </row>
    <row r="155">
      <c r="D155" s="112"/>
      <c r="F155" s="113"/>
      <c r="L155" s="12"/>
      <c r="N155" s="104"/>
    </row>
    <row r="156">
      <c r="D156" s="112"/>
      <c r="F156" s="113"/>
      <c r="L156" s="12"/>
      <c r="N156" s="104"/>
    </row>
    <row r="157">
      <c r="D157" s="112"/>
      <c r="F157" s="113"/>
      <c r="L157" s="12"/>
      <c r="N157" s="104"/>
    </row>
    <row r="158">
      <c r="D158" s="112"/>
      <c r="F158" s="113"/>
      <c r="L158" s="12"/>
      <c r="N158" s="104"/>
    </row>
    <row r="159">
      <c r="D159" s="112"/>
      <c r="F159" s="113"/>
      <c r="L159" s="12"/>
      <c r="N159" s="104"/>
    </row>
    <row r="160">
      <c r="D160" s="112"/>
      <c r="F160" s="113"/>
      <c r="L160" s="12"/>
      <c r="N160" s="104"/>
    </row>
    <row r="161">
      <c r="D161" s="112"/>
      <c r="F161" s="113"/>
      <c r="L161" s="12"/>
      <c r="N161" s="104"/>
    </row>
    <row r="162">
      <c r="D162" s="112"/>
      <c r="F162" s="113"/>
      <c r="L162" s="12"/>
      <c r="N162" s="104"/>
    </row>
    <row r="163">
      <c r="D163" s="112"/>
      <c r="F163" s="113"/>
      <c r="L163" s="12"/>
      <c r="N163" s="104"/>
    </row>
    <row r="164">
      <c r="D164" s="112"/>
      <c r="F164" s="113"/>
      <c r="L164" s="12"/>
      <c r="N164" s="104"/>
    </row>
    <row r="165">
      <c r="D165" s="112"/>
      <c r="F165" s="113"/>
      <c r="L165" s="12"/>
      <c r="N165" s="104"/>
    </row>
    <row r="166">
      <c r="D166" s="112"/>
      <c r="F166" s="113"/>
      <c r="L166" s="12"/>
      <c r="N166" s="104"/>
    </row>
    <row r="167">
      <c r="D167" s="112"/>
      <c r="F167" s="113"/>
      <c r="L167" s="12"/>
      <c r="N167" s="104"/>
    </row>
    <row r="168">
      <c r="D168" s="112"/>
      <c r="F168" s="113"/>
      <c r="L168" s="12"/>
      <c r="N168" s="104"/>
    </row>
    <row r="169">
      <c r="D169" s="112"/>
      <c r="F169" s="113"/>
      <c r="L169" s="12"/>
      <c r="N169" s="104"/>
    </row>
    <row r="170">
      <c r="D170" s="112"/>
      <c r="F170" s="113"/>
      <c r="L170" s="12"/>
      <c r="N170" s="104"/>
    </row>
    <row r="171">
      <c r="D171" s="112"/>
      <c r="F171" s="113"/>
      <c r="L171" s="12"/>
      <c r="N171" s="104"/>
    </row>
    <row r="172">
      <c r="D172" s="112"/>
      <c r="F172" s="113"/>
      <c r="L172" s="12"/>
      <c r="N172" s="104"/>
    </row>
    <row r="173">
      <c r="D173" s="112"/>
      <c r="F173" s="113"/>
      <c r="L173" s="12"/>
      <c r="N173" s="104"/>
    </row>
    <row r="174">
      <c r="D174" s="112"/>
      <c r="F174" s="113"/>
      <c r="L174" s="12"/>
      <c r="N174" s="104"/>
    </row>
    <row r="175">
      <c r="D175" s="112"/>
      <c r="F175" s="113"/>
      <c r="L175" s="12"/>
      <c r="N175" s="104"/>
    </row>
    <row r="176">
      <c r="D176" s="112"/>
      <c r="F176" s="113"/>
      <c r="L176" s="12"/>
      <c r="N176" s="104"/>
    </row>
    <row r="177">
      <c r="D177" s="112"/>
      <c r="F177" s="113"/>
      <c r="L177" s="12"/>
      <c r="N177" s="104"/>
    </row>
    <row r="178">
      <c r="D178" s="112"/>
      <c r="F178" s="113"/>
      <c r="L178" s="12"/>
      <c r="N178" s="104"/>
    </row>
    <row r="179">
      <c r="D179" s="112"/>
      <c r="F179" s="113"/>
      <c r="L179" s="12"/>
      <c r="N179" s="104"/>
    </row>
    <row r="180">
      <c r="D180" s="112"/>
      <c r="F180" s="113"/>
      <c r="L180" s="12"/>
      <c r="N180" s="104"/>
    </row>
    <row r="181">
      <c r="D181" s="112"/>
      <c r="F181" s="113"/>
      <c r="L181" s="12"/>
      <c r="N181" s="104"/>
    </row>
    <row r="182">
      <c r="D182" s="112"/>
      <c r="F182" s="113"/>
      <c r="L182" s="12"/>
      <c r="N182" s="104"/>
    </row>
    <row r="183">
      <c r="D183" s="112"/>
      <c r="F183" s="113"/>
      <c r="L183" s="12"/>
      <c r="N183" s="104"/>
    </row>
    <row r="184">
      <c r="D184" s="112"/>
      <c r="F184" s="113"/>
      <c r="L184" s="12"/>
      <c r="N184" s="104"/>
    </row>
    <row r="185">
      <c r="D185" s="112"/>
      <c r="F185" s="113"/>
      <c r="L185" s="12"/>
      <c r="N185" s="104"/>
    </row>
    <row r="186">
      <c r="D186" s="112"/>
      <c r="F186" s="113"/>
      <c r="L186" s="12"/>
      <c r="N186" s="104"/>
    </row>
    <row r="187">
      <c r="D187" s="112"/>
      <c r="F187" s="113"/>
      <c r="L187" s="12"/>
      <c r="N187" s="104"/>
    </row>
    <row r="188">
      <c r="D188" s="112"/>
      <c r="F188" s="113"/>
      <c r="L188" s="12"/>
      <c r="N188" s="104"/>
    </row>
    <row r="189">
      <c r="D189" s="112"/>
      <c r="F189" s="113"/>
      <c r="L189" s="12"/>
      <c r="N189" s="104"/>
    </row>
    <row r="190">
      <c r="D190" s="112"/>
      <c r="F190" s="113"/>
      <c r="L190" s="12"/>
      <c r="N190" s="104"/>
    </row>
    <row r="191">
      <c r="D191" s="112"/>
      <c r="F191" s="113"/>
      <c r="L191" s="12"/>
      <c r="N191" s="104"/>
    </row>
    <row r="192">
      <c r="D192" s="112"/>
      <c r="F192" s="113"/>
      <c r="L192" s="12"/>
      <c r="N192" s="104"/>
    </row>
    <row r="193">
      <c r="D193" s="112"/>
      <c r="F193" s="113"/>
      <c r="L193" s="12"/>
      <c r="N193" s="104"/>
    </row>
    <row r="194">
      <c r="D194" s="112"/>
      <c r="F194" s="113"/>
      <c r="L194" s="12"/>
      <c r="N194" s="104"/>
    </row>
    <row r="195">
      <c r="D195" s="112"/>
      <c r="F195" s="113"/>
      <c r="L195" s="12"/>
      <c r="N195" s="104"/>
    </row>
    <row r="196">
      <c r="D196" s="112"/>
      <c r="F196" s="113"/>
      <c r="L196" s="12"/>
      <c r="N196" s="104"/>
    </row>
    <row r="197">
      <c r="D197" s="112"/>
      <c r="F197" s="113"/>
      <c r="L197" s="12"/>
      <c r="N197" s="104"/>
    </row>
    <row r="198">
      <c r="D198" s="112"/>
      <c r="F198" s="113"/>
      <c r="L198" s="12"/>
      <c r="N198" s="104"/>
    </row>
    <row r="199">
      <c r="D199" s="112"/>
      <c r="F199" s="113"/>
      <c r="L199" s="12"/>
      <c r="N199" s="104"/>
    </row>
    <row r="200">
      <c r="D200" s="112"/>
      <c r="F200" s="113"/>
      <c r="L200" s="12"/>
      <c r="N200" s="104"/>
    </row>
    <row r="201">
      <c r="D201" s="112"/>
      <c r="F201" s="113"/>
      <c r="L201" s="12"/>
      <c r="N201" s="104"/>
    </row>
    <row r="202">
      <c r="D202" s="112"/>
      <c r="F202" s="113"/>
      <c r="L202" s="12"/>
      <c r="N202" s="104"/>
    </row>
    <row r="203">
      <c r="D203" s="112"/>
      <c r="F203" s="113"/>
      <c r="L203" s="12"/>
      <c r="N203" s="104"/>
    </row>
    <row r="204">
      <c r="D204" s="112"/>
      <c r="F204" s="113"/>
      <c r="L204" s="12"/>
      <c r="N204" s="104"/>
    </row>
    <row r="205">
      <c r="D205" s="112"/>
      <c r="F205" s="113"/>
      <c r="L205" s="12"/>
      <c r="N205" s="104"/>
    </row>
    <row r="206">
      <c r="D206" s="112"/>
      <c r="F206" s="113"/>
      <c r="L206" s="12"/>
      <c r="N206" s="104"/>
    </row>
    <row r="207">
      <c r="D207" s="112"/>
      <c r="F207" s="113"/>
      <c r="L207" s="12"/>
      <c r="N207" s="104"/>
    </row>
    <row r="208">
      <c r="D208" s="112"/>
      <c r="F208" s="113"/>
      <c r="L208" s="12"/>
      <c r="N208" s="104"/>
    </row>
    <row r="209">
      <c r="D209" s="112"/>
      <c r="F209" s="113"/>
      <c r="L209" s="12"/>
      <c r="N209" s="104"/>
    </row>
    <row r="210">
      <c r="D210" s="112"/>
      <c r="F210" s="113"/>
      <c r="L210" s="12"/>
      <c r="N210" s="104"/>
    </row>
    <row r="211">
      <c r="D211" s="112"/>
      <c r="F211" s="113"/>
      <c r="L211" s="12"/>
      <c r="N211" s="104"/>
    </row>
    <row r="212">
      <c r="D212" s="112"/>
      <c r="F212" s="113"/>
      <c r="L212" s="12"/>
      <c r="N212" s="104"/>
    </row>
    <row r="213">
      <c r="D213" s="112"/>
      <c r="F213" s="113"/>
      <c r="L213" s="12"/>
      <c r="N213" s="104"/>
    </row>
    <row r="214">
      <c r="D214" s="112"/>
      <c r="F214" s="113"/>
      <c r="L214" s="12"/>
      <c r="N214" s="104"/>
    </row>
    <row r="215">
      <c r="D215" s="112"/>
      <c r="F215" s="113"/>
      <c r="L215" s="12"/>
      <c r="N215" s="104"/>
    </row>
    <row r="216">
      <c r="D216" s="112"/>
      <c r="F216" s="113"/>
      <c r="L216" s="12"/>
      <c r="N216" s="104"/>
    </row>
    <row r="217">
      <c r="D217" s="112"/>
      <c r="F217" s="113"/>
      <c r="L217" s="12"/>
      <c r="N217" s="104"/>
    </row>
    <row r="218">
      <c r="D218" s="112"/>
      <c r="F218" s="113"/>
      <c r="L218" s="12"/>
      <c r="N218" s="104"/>
    </row>
    <row r="219">
      <c r="D219" s="112"/>
      <c r="F219" s="113"/>
      <c r="L219" s="12"/>
      <c r="N219" s="104"/>
    </row>
    <row r="220">
      <c r="D220" s="112"/>
      <c r="F220" s="113"/>
      <c r="L220" s="12"/>
      <c r="N220" s="104"/>
    </row>
    <row r="221">
      <c r="D221" s="112"/>
      <c r="F221" s="113"/>
      <c r="L221" s="12"/>
      <c r="N221" s="104"/>
    </row>
    <row r="222">
      <c r="D222" s="112"/>
      <c r="F222" s="113"/>
      <c r="L222" s="12"/>
      <c r="N222" s="104"/>
    </row>
    <row r="223">
      <c r="D223" s="112"/>
      <c r="F223" s="113"/>
      <c r="L223" s="12"/>
      <c r="N223" s="104"/>
    </row>
    <row r="224">
      <c r="D224" s="112"/>
      <c r="F224" s="113"/>
      <c r="L224" s="12"/>
      <c r="N224" s="104"/>
    </row>
    <row r="225">
      <c r="D225" s="112"/>
      <c r="F225" s="113"/>
      <c r="L225" s="12"/>
      <c r="N225" s="104"/>
    </row>
    <row r="226">
      <c r="D226" s="112"/>
      <c r="F226" s="113"/>
      <c r="L226" s="12"/>
      <c r="N226" s="104"/>
    </row>
    <row r="227">
      <c r="D227" s="112"/>
      <c r="F227" s="113"/>
      <c r="L227" s="12"/>
      <c r="N227" s="104"/>
    </row>
    <row r="228">
      <c r="D228" s="112"/>
      <c r="F228" s="113"/>
      <c r="L228" s="12"/>
      <c r="N228" s="104"/>
    </row>
    <row r="229">
      <c r="D229" s="112"/>
      <c r="F229" s="113"/>
      <c r="L229" s="12"/>
      <c r="N229" s="104"/>
    </row>
    <row r="230">
      <c r="D230" s="112"/>
      <c r="F230" s="113"/>
      <c r="L230" s="12"/>
      <c r="N230" s="104"/>
    </row>
    <row r="231">
      <c r="D231" s="112"/>
      <c r="F231" s="113"/>
      <c r="L231" s="12"/>
      <c r="N231" s="104"/>
    </row>
    <row r="232">
      <c r="D232" s="112"/>
      <c r="F232" s="113"/>
      <c r="L232" s="12"/>
      <c r="N232" s="104"/>
    </row>
    <row r="233">
      <c r="D233" s="112"/>
      <c r="F233" s="113"/>
      <c r="L233" s="12"/>
      <c r="N233" s="104"/>
    </row>
    <row r="234">
      <c r="D234" s="112"/>
      <c r="F234" s="113"/>
      <c r="L234" s="12"/>
      <c r="N234" s="104"/>
    </row>
    <row r="235">
      <c r="D235" s="112"/>
      <c r="F235" s="113"/>
      <c r="L235" s="12"/>
      <c r="N235" s="104"/>
    </row>
    <row r="236">
      <c r="D236" s="112"/>
      <c r="F236" s="113"/>
      <c r="L236" s="12"/>
      <c r="N236" s="104"/>
    </row>
    <row r="237">
      <c r="D237" s="112"/>
      <c r="F237" s="113"/>
      <c r="L237" s="12"/>
      <c r="N237" s="104"/>
    </row>
    <row r="238">
      <c r="D238" s="112"/>
      <c r="F238" s="113"/>
      <c r="L238" s="12"/>
      <c r="N238" s="104"/>
    </row>
    <row r="239">
      <c r="D239" s="112"/>
      <c r="F239" s="113"/>
      <c r="L239" s="12"/>
      <c r="N239" s="104"/>
    </row>
    <row r="240">
      <c r="D240" s="112"/>
      <c r="F240" s="113"/>
      <c r="L240" s="12"/>
      <c r="N240" s="104"/>
    </row>
    <row r="241">
      <c r="D241" s="112"/>
      <c r="F241" s="113"/>
      <c r="L241" s="12"/>
      <c r="N241" s="104"/>
    </row>
    <row r="242">
      <c r="D242" s="112"/>
      <c r="F242" s="113"/>
      <c r="L242" s="12"/>
      <c r="N242" s="104"/>
    </row>
    <row r="243">
      <c r="D243" s="112"/>
      <c r="F243" s="113"/>
      <c r="L243" s="12"/>
      <c r="N243" s="104"/>
    </row>
    <row r="244">
      <c r="D244" s="112"/>
      <c r="F244" s="113"/>
      <c r="L244" s="12"/>
      <c r="N244" s="104"/>
    </row>
    <row r="245">
      <c r="D245" s="112"/>
      <c r="F245" s="113"/>
      <c r="L245" s="12"/>
      <c r="N245" s="104"/>
    </row>
    <row r="246">
      <c r="D246" s="112"/>
      <c r="F246" s="113"/>
      <c r="L246" s="12"/>
      <c r="N246" s="104"/>
    </row>
    <row r="247">
      <c r="D247" s="112"/>
      <c r="F247" s="113"/>
      <c r="L247" s="12"/>
      <c r="N247" s="104"/>
    </row>
    <row r="248">
      <c r="D248" s="112"/>
      <c r="F248" s="113"/>
      <c r="L248" s="12"/>
      <c r="N248" s="104"/>
    </row>
    <row r="249">
      <c r="D249" s="112"/>
      <c r="F249" s="113"/>
      <c r="L249" s="12"/>
      <c r="N249" s="104"/>
    </row>
    <row r="250">
      <c r="D250" s="112"/>
      <c r="F250" s="113"/>
      <c r="L250" s="12"/>
      <c r="N250" s="104"/>
    </row>
    <row r="251">
      <c r="D251" s="112"/>
      <c r="F251" s="113"/>
      <c r="L251" s="12"/>
      <c r="N251" s="104"/>
    </row>
    <row r="252">
      <c r="D252" s="112"/>
      <c r="F252" s="113"/>
      <c r="L252" s="12"/>
      <c r="N252" s="104"/>
    </row>
    <row r="253">
      <c r="D253" s="112"/>
      <c r="F253" s="113"/>
      <c r="L253" s="12"/>
      <c r="N253" s="104"/>
    </row>
    <row r="254">
      <c r="D254" s="112"/>
      <c r="F254" s="113"/>
      <c r="L254" s="12"/>
      <c r="N254" s="104"/>
    </row>
    <row r="255">
      <c r="D255" s="112"/>
      <c r="F255" s="113"/>
      <c r="L255" s="12"/>
      <c r="N255" s="104"/>
    </row>
    <row r="256">
      <c r="D256" s="112"/>
      <c r="F256" s="113"/>
      <c r="L256" s="12"/>
      <c r="N256" s="104"/>
    </row>
    <row r="257">
      <c r="D257" s="112"/>
      <c r="F257" s="113"/>
      <c r="L257" s="12"/>
      <c r="N257" s="104"/>
    </row>
    <row r="258">
      <c r="D258" s="112"/>
      <c r="F258" s="113"/>
      <c r="L258" s="12"/>
      <c r="N258" s="104"/>
    </row>
    <row r="259">
      <c r="D259" s="112"/>
      <c r="F259" s="113"/>
      <c r="L259" s="12"/>
      <c r="N259" s="104"/>
    </row>
    <row r="260">
      <c r="D260" s="112"/>
      <c r="F260" s="113"/>
      <c r="L260" s="12"/>
      <c r="N260" s="104"/>
    </row>
    <row r="261">
      <c r="D261" s="112"/>
      <c r="F261" s="113"/>
      <c r="L261" s="12"/>
      <c r="N261" s="104"/>
    </row>
    <row r="262">
      <c r="D262" s="112"/>
      <c r="F262" s="113"/>
      <c r="L262" s="12"/>
      <c r="N262" s="104"/>
    </row>
    <row r="263">
      <c r="D263" s="112"/>
      <c r="F263" s="113"/>
      <c r="L263" s="12"/>
      <c r="N263" s="104"/>
    </row>
    <row r="264">
      <c r="D264" s="112"/>
      <c r="F264" s="113"/>
      <c r="L264" s="12"/>
      <c r="N264" s="104"/>
    </row>
    <row r="265">
      <c r="D265" s="112"/>
      <c r="F265" s="113"/>
      <c r="L265" s="12"/>
      <c r="N265" s="104"/>
    </row>
    <row r="266">
      <c r="D266" s="112"/>
      <c r="F266" s="113"/>
      <c r="L266" s="12"/>
      <c r="N266" s="104"/>
    </row>
    <row r="267">
      <c r="D267" s="112"/>
      <c r="F267" s="113"/>
      <c r="L267" s="12"/>
      <c r="N267" s="104"/>
    </row>
    <row r="268">
      <c r="D268" s="112"/>
      <c r="F268" s="113"/>
      <c r="L268" s="12"/>
      <c r="N268" s="104"/>
    </row>
    <row r="269">
      <c r="D269" s="112"/>
      <c r="F269" s="113"/>
      <c r="L269" s="12"/>
      <c r="N269" s="104"/>
    </row>
    <row r="270">
      <c r="D270" s="112"/>
      <c r="F270" s="113"/>
      <c r="L270" s="12"/>
      <c r="N270" s="104"/>
    </row>
    <row r="271">
      <c r="D271" s="112"/>
      <c r="F271" s="113"/>
      <c r="L271" s="12"/>
      <c r="N271" s="104"/>
    </row>
    <row r="272">
      <c r="D272" s="112"/>
      <c r="F272" s="113"/>
      <c r="L272" s="12"/>
      <c r="N272" s="104"/>
    </row>
    <row r="273">
      <c r="D273" s="112"/>
      <c r="F273" s="113"/>
      <c r="L273" s="12"/>
      <c r="N273" s="104"/>
    </row>
    <row r="274">
      <c r="D274" s="112"/>
      <c r="F274" s="113"/>
      <c r="L274" s="12"/>
      <c r="N274" s="104"/>
    </row>
    <row r="275">
      <c r="D275" s="112"/>
      <c r="F275" s="113"/>
      <c r="L275" s="12"/>
      <c r="N275" s="104"/>
    </row>
    <row r="276">
      <c r="D276" s="112"/>
      <c r="F276" s="113"/>
      <c r="L276" s="12"/>
      <c r="N276" s="104"/>
    </row>
    <row r="277">
      <c r="D277" s="112"/>
      <c r="F277" s="113"/>
      <c r="L277" s="12"/>
      <c r="N277" s="104"/>
    </row>
    <row r="278">
      <c r="D278" s="112"/>
      <c r="F278" s="113"/>
      <c r="L278" s="12"/>
      <c r="N278" s="104"/>
    </row>
    <row r="279">
      <c r="D279" s="112"/>
      <c r="F279" s="113"/>
      <c r="L279" s="12"/>
      <c r="N279" s="104"/>
    </row>
    <row r="280">
      <c r="D280" s="112"/>
      <c r="F280" s="113"/>
      <c r="L280" s="12"/>
      <c r="N280" s="104"/>
    </row>
    <row r="281">
      <c r="D281" s="112"/>
      <c r="F281" s="113"/>
      <c r="L281" s="12"/>
      <c r="N281" s="104"/>
    </row>
    <row r="282">
      <c r="D282" s="112"/>
      <c r="F282" s="113"/>
      <c r="L282" s="12"/>
      <c r="N282" s="104"/>
    </row>
    <row r="283">
      <c r="D283" s="112"/>
      <c r="F283" s="113"/>
      <c r="L283" s="12"/>
      <c r="N283" s="104"/>
    </row>
    <row r="284">
      <c r="D284" s="112"/>
      <c r="F284" s="113"/>
      <c r="L284" s="12"/>
      <c r="N284" s="104"/>
    </row>
    <row r="285">
      <c r="D285" s="112"/>
      <c r="F285" s="113"/>
      <c r="L285" s="12"/>
      <c r="N285" s="104"/>
    </row>
    <row r="286">
      <c r="D286" s="112"/>
      <c r="F286" s="113"/>
      <c r="L286" s="12"/>
      <c r="N286" s="104"/>
    </row>
    <row r="287">
      <c r="D287" s="112"/>
      <c r="F287" s="113"/>
      <c r="L287" s="12"/>
      <c r="N287" s="104"/>
    </row>
    <row r="288">
      <c r="D288" s="112"/>
      <c r="F288" s="113"/>
      <c r="L288" s="12"/>
      <c r="N288" s="104"/>
    </row>
    <row r="289">
      <c r="D289" s="112"/>
      <c r="F289" s="113"/>
      <c r="L289" s="12"/>
      <c r="N289" s="104"/>
    </row>
    <row r="290">
      <c r="D290" s="112"/>
      <c r="F290" s="113"/>
      <c r="L290" s="12"/>
      <c r="N290" s="104"/>
    </row>
    <row r="291">
      <c r="D291" s="112"/>
      <c r="F291" s="113"/>
      <c r="L291" s="12"/>
      <c r="N291" s="104"/>
    </row>
    <row r="292">
      <c r="D292" s="112"/>
      <c r="F292" s="113"/>
      <c r="L292" s="12"/>
      <c r="N292" s="104"/>
    </row>
    <row r="293">
      <c r="D293" s="112"/>
      <c r="F293" s="113"/>
      <c r="L293" s="12"/>
      <c r="N293" s="104"/>
    </row>
    <row r="294">
      <c r="D294" s="112"/>
      <c r="F294" s="113"/>
      <c r="L294" s="12"/>
      <c r="N294" s="104"/>
    </row>
    <row r="295">
      <c r="D295" s="112"/>
      <c r="F295" s="113"/>
      <c r="L295" s="12"/>
      <c r="N295" s="104"/>
    </row>
    <row r="296">
      <c r="D296" s="112"/>
      <c r="F296" s="113"/>
      <c r="L296" s="12"/>
      <c r="N296" s="104"/>
    </row>
    <row r="297">
      <c r="D297" s="112"/>
      <c r="F297" s="113"/>
      <c r="L297" s="12"/>
      <c r="N297" s="104"/>
    </row>
    <row r="298">
      <c r="D298" s="112"/>
      <c r="F298" s="113"/>
      <c r="L298" s="12"/>
      <c r="N298" s="104"/>
    </row>
    <row r="299">
      <c r="D299" s="112"/>
      <c r="F299" s="113"/>
      <c r="L299" s="12"/>
      <c r="N299" s="104"/>
    </row>
    <row r="300">
      <c r="D300" s="112"/>
      <c r="F300" s="113"/>
      <c r="L300" s="12"/>
      <c r="N300" s="104"/>
    </row>
    <row r="301">
      <c r="D301" s="112"/>
      <c r="F301" s="113"/>
      <c r="L301" s="12"/>
      <c r="N301" s="104"/>
    </row>
    <row r="302">
      <c r="D302" s="112"/>
      <c r="F302" s="113"/>
      <c r="L302" s="12"/>
      <c r="N302" s="104"/>
    </row>
    <row r="303">
      <c r="D303" s="112"/>
      <c r="F303" s="113"/>
      <c r="L303" s="12"/>
      <c r="N303" s="104"/>
    </row>
    <row r="304">
      <c r="D304" s="112"/>
      <c r="F304" s="113"/>
      <c r="L304" s="12"/>
      <c r="N304" s="104"/>
    </row>
    <row r="305">
      <c r="D305" s="112"/>
      <c r="F305" s="113"/>
      <c r="L305" s="12"/>
      <c r="N305" s="104"/>
    </row>
    <row r="306">
      <c r="D306" s="112"/>
      <c r="F306" s="113"/>
      <c r="L306" s="12"/>
      <c r="N306" s="104"/>
    </row>
    <row r="307">
      <c r="D307" s="112"/>
      <c r="F307" s="113"/>
      <c r="L307" s="12"/>
      <c r="N307" s="104"/>
    </row>
    <row r="308">
      <c r="D308" s="112"/>
      <c r="F308" s="113"/>
      <c r="L308" s="12"/>
      <c r="N308" s="104"/>
    </row>
    <row r="309">
      <c r="D309" s="112"/>
      <c r="F309" s="113"/>
      <c r="L309" s="12"/>
      <c r="N309" s="104"/>
    </row>
    <row r="310">
      <c r="D310" s="112"/>
      <c r="F310" s="113"/>
      <c r="L310" s="12"/>
      <c r="N310" s="104"/>
    </row>
    <row r="311">
      <c r="D311" s="112"/>
      <c r="F311" s="113"/>
      <c r="L311" s="12"/>
      <c r="N311" s="104"/>
    </row>
    <row r="312">
      <c r="D312" s="112"/>
      <c r="F312" s="113"/>
      <c r="L312" s="12"/>
      <c r="N312" s="104"/>
    </row>
    <row r="313">
      <c r="D313" s="112"/>
      <c r="F313" s="113"/>
      <c r="L313" s="12"/>
      <c r="N313" s="104"/>
    </row>
    <row r="314">
      <c r="D314" s="112"/>
      <c r="F314" s="113"/>
      <c r="L314" s="12"/>
      <c r="N314" s="104"/>
    </row>
    <row r="315">
      <c r="D315" s="112"/>
      <c r="F315" s="113"/>
      <c r="L315" s="12"/>
      <c r="N315" s="104"/>
    </row>
    <row r="316">
      <c r="D316" s="112"/>
      <c r="F316" s="113"/>
      <c r="L316" s="12"/>
      <c r="N316" s="104"/>
    </row>
    <row r="317">
      <c r="D317" s="112"/>
      <c r="F317" s="113"/>
      <c r="L317" s="12"/>
      <c r="N317" s="104"/>
    </row>
    <row r="318">
      <c r="D318" s="112"/>
      <c r="F318" s="113"/>
      <c r="L318" s="12"/>
      <c r="N318" s="104"/>
    </row>
    <row r="319">
      <c r="D319" s="112"/>
      <c r="F319" s="113"/>
      <c r="L319" s="12"/>
      <c r="N319" s="104"/>
    </row>
    <row r="320">
      <c r="D320" s="112"/>
      <c r="F320" s="113"/>
      <c r="L320" s="12"/>
      <c r="N320" s="104"/>
    </row>
    <row r="321">
      <c r="D321" s="112"/>
      <c r="F321" s="113"/>
      <c r="L321" s="12"/>
      <c r="N321" s="104"/>
    </row>
    <row r="322">
      <c r="D322" s="112"/>
      <c r="F322" s="113"/>
      <c r="L322" s="12"/>
      <c r="N322" s="104"/>
    </row>
    <row r="323">
      <c r="D323" s="112"/>
      <c r="F323" s="113"/>
      <c r="L323" s="12"/>
      <c r="N323" s="104"/>
    </row>
    <row r="324">
      <c r="D324" s="112"/>
      <c r="F324" s="113"/>
      <c r="L324" s="12"/>
      <c r="N324" s="104"/>
    </row>
    <row r="325">
      <c r="D325" s="112"/>
      <c r="F325" s="113"/>
      <c r="L325" s="12"/>
      <c r="N325" s="104"/>
    </row>
    <row r="326">
      <c r="D326" s="112"/>
      <c r="F326" s="113"/>
      <c r="L326" s="12"/>
      <c r="N326" s="104"/>
    </row>
    <row r="327">
      <c r="D327" s="112"/>
      <c r="F327" s="113"/>
      <c r="L327" s="12"/>
      <c r="N327" s="104"/>
    </row>
    <row r="328">
      <c r="D328" s="112"/>
      <c r="F328" s="113"/>
      <c r="L328" s="12"/>
      <c r="N328" s="104"/>
    </row>
    <row r="329">
      <c r="D329" s="112"/>
      <c r="F329" s="113"/>
      <c r="L329" s="12"/>
      <c r="N329" s="104"/>
    </row>
    <row r="330">
      <c r="D330" s="112"/>
      <c r="F330" s="113"/>
      <c r="L330" s="12"/>
      <c r="N330" s="104"/>
    </row>
    <row r="331">
      <c r="D331" s="112"/>
      <c r="F331" s="113"/>
      <c r="L331" s="12"/>
      <c r="N331" s="104"/>
    </row>
    <row r="332">
      <c r="D332" s="112"/>
      <c r="F332" s="113"/>
      <c r="L332" s="12"/>
      <c r="N332" s="104"/>
    </row>
    <row r="333">
      <c r="D333" s="112"/>
      <c r="F333" s="113"/>
      <c r="L333" s="12"/>
      <c r="N333" s="104"/>
    </row>
    <row r="334">
      <c r="D334" s="112"/>
      <c r="F334" s="113"/>
      <c r="L334" s="12"/>
      <c r="N334" s="104"/>
    </row>
    <row r="335">
      <c r="D335" s="112"/>
      <c r="F335" s="113"/>
      <c r="L335" s="12"/>
      <c r="N335" s="104"/>
    </row>
    <row r="336">
      <c r="D336" s="112"/>
      <c r="F336" s="113"/>
      <c r="L336" s="12"/>
      <c r="N336" s="104"/>
    </row>
    <row r="337">
      <c r="D337" s="112"/>
      <c r="F337" s="113"/>
      <c r="L337" s="12"/>
      <c r="N337" s="104"/>
    </row>
    <row r="338">
      <c r="D338" s="112"/>
      <c r="F338" s="113"/>
      <c r="L338" s="12"/>
      <c r="N338" s="104"/>
    </row>
    <row r="339">
      <c r="D339" s="112"/>
      <c r="F339" s="113"/>
      <c r="L339" s="12"/>
      <c r="N339" s="104"/>
    </row>
    <row r="340">
      <c r="D340" s="112"/>
      <c r="F340" s="113"/>
      <c r="L340" s="12"/>
      <c r="N340" s="104"/>
    </row>
    <row r="341">
      <c r="D341" s="112"/>
      <c r="F341" s="113"/>
      <c r="L341" s="12"/>
      <c r="N341" s="104"/>
    </row>
    <row r="342">
      <c r="D342" s="112"/>
      <c r="F342" s="113"/>
      <c r="L342" s="12"/>
      <c r="N342" s="104"/>
    </row>
    <row r="343">
      <c r="D343" s="112"/>
      <c r="F343" s="113"/>
      <c r="L343" s="12"/>
      <c r="N343" s="104"/>
    </row>
    <row r="344">
      <c r="D344" s="112"/>
      <c r="F344" s="113"/>
      <c r="L344" s="12"/>
      <c r="N344" s="104"/>
    </row>
    <row r="345">
      <c r="D345" s="112"/>
      <c r="F345" s="113"/>
      <c r="L345" s="12"/>
      <c r="N345" s="104"/>
    </row>
    <row r="346">
      <c r="D346" s="112"/>
      <c r="F346" s="113"/>
      <c r="L346" s="12"/>
      <c r="N346" s="104"/>
    </row>
    <row r="347">
      <c r="D347" s="112"/>
      <c r="F347" s="113"/>
      <c r="L347" s="12"/>
      <c r="N347" s="104"/>
    </row>
    <row r="348">
      <c r="D348" s="112"/>
      <c r="F348" s="113"/>
      <c r="L348" s="12"/>
      <c r="N348" s="104"/>
    </row>
    <row r="349">
      <c r="D349" s="112"/>
      <c r="F349" s="113"/>
      <c r="L349" s="12"/>
      <c r="N349" s="104"/>
    </row>
    <row r="350">
      <c r="D350" s="112"/>
      <c r="F350" s="113"/>
      <c r="L350" s="12"/>
      <c r="N350" s="104"/>
    </row>
    <row r="351">
      <c r="D351" s="112"/>
      <c r="F351" s="113"/>
      <c r="L351" s="12"/>
      <c r="N351" s="104"/>
    </row>
    <row r="352">
      <c r="D352" s="112"/>
      <c r="F352" s="113"/>
      <c r="L352" s="12"/>
      <c r="N352" s="104"/>
    </row>
    <row r="353">
      <c r="D353" s="112"/>
      <c r="F353" s="113"/>
      <c r="L353" s="12"/>
      <c r="N353" s="104"/>
    </row>
    <row r="354">
      <c r="D354" s="112"/>
      <c r="F354" s="113"/>
      <c r="L354" s="12"/>
      <c r="N354" s="104"/>
    </row>
    <row r="355">
      <c r="D355" s="112"/>
      <c r="F355" s="113"/>
      <c r="L355" s="12"/>
      <c r="N355" s="104"/>
    </row>
    <row r="356">
      <c r="D356" s="112"/>
      <c r="F356" s="113"/>
      <c r="L356" s="12"/>
      <c r="N356" s="104"/>
    </row>
    <row r="357">
      <c r="D357" s="112"/>
      <c r="F357" s="113"/>
      <c r="L357" s="12"/>
      <c r="N357" s="104"/>
    </row>
    <row r="358">
      <c r="D358" s="112"/>
      <c r="F358" s="113"/>
      <c r="L358" s="12"/>
      <c r="N358" s="104"/>
    </row>
    <row r="359">
      <c r="D359" s="112"/>
      <c r="F359" s="113"/>
      <c r="L359" s="12"/>
      <c r="N359" s="104"/>
    </row>
    <row r="360">
      <c r="D360" s="112"/>
      <c r="F360" s="113"/>
      <c r="L360" s="12"/>
      <c r="N360" s="104"/>
    </row>
    <row r="361">
      <c r="D361" s="112"/>
      <c r="F361" s="113"/>
      <c r="L361" s="12"/>
      <c r="N361" s="104"/>
    </row>
    <row r="362">
      <c r="D362" s="112"/>
      <c r="F362" s="113"/>
      <c r="L362" s="12"/>
      <c r="N362" s="104"/>
    </row>
    <row r="363">
      <c r="D363" s="112"/>
      <c r="F363" s="113"/>
      <c r="L363" s="12"/>
      <c r="N363" s="104"/>
    </row>
    <row r="364">
      <c r="D364" s="112"/>
      <c r="F364" s="113"/>
      <c r="L364" s="12"/>
      <c r="N364" s="104"/>
    </row>
    <row r="365">
      <c r="D365" s="112"/>
      <c r="F365" s="113"/>
      <c r="L365" s="12"/>
      <c r="N365" s="104"/>
    </row>
    <row r="366">
      <c r="D366" s="112"/>
      <c r="F366" s="113"/>
      <c r="L366" s="12"/>
      <c r="N366" s="104"/>
    </row>
    <row r="367">
      <c r="D367" s="112"/>
      <c r="F367" s="113"/>
      <c r="L367" s="12"/>
      <c r="N367" s="104"/>
    </row>
    <row r="368">
      <c r="D368" s="112"/>
      <c r="F368" s="113"/>
      <c r="L368" s="12"/>
      <c r="N368" s="104"/>
    </row>
    <row r="369">
      <c r="D369" s="112"/>
      <c r="F369" s="113"/>
      <c r="L369" s="12"/>
      <c r="N369" s="104"/>
    </row>
    <row r="370">
      <c r="D370" s="112"/>
      <c r="F370" s="113"/>
      <c r="L370" s="12"/>
      <c r="N370" s="104"/>
    </row>
    <row r="371">
      <c r="D371" s="112"/>
      <c r="F371" s="113"/>
      <c r="L371" s="12"/>
      <c r="N371" s="104"/>
    </row>
    <row r="372">
      <c r="D372" s="112"/>
      <c r="F372" s="113"/>
      <c r="L372" s="12"/>
      <c r="N372" s="104"/>
    </row>
    <row r="373">
      <c r="D373" s="112"/>
      <c r="F373" s="113"/>
      <c r="L373" s="12"/>
      <c r="N373" s="104"/>
    </row>
    <row r="374">
      <c r="D374" s="112"/>
      <c r="F374" s="113"/>
      <c r="L374" s="12"/>
      <c r="N374" s="104"/>
    </row>
    <row r="375">
      <c r="D375" s="112"/>
      <c r="F375" s="113"/>
      <c r="L375" s="12"/>
      <c r="N375" s="104"/>
    </row>
    <row r="376">
      <c r="D376" s="112"/>
      <c r="F376" s="113"/>
      <c r="L376" s="12"/>
      <c r="N376" s="104"/>
    </row>
    <row r="377">
      <c r="D377" s="112"/>
      <c r="F377" s="113"/>
      <c r="L377" s="12"/>
      <c r="N377" s="104"/>
    </row>
    <row r="378">
      <c r="D378" s="112"/>
      <c r="F378" s="113"/>
      <c r="L378" s="12"/>
      <c r="N378" s="104"/>
    </row>
    <row r="379">
      <c r="D379" s="112"/>
      <c r="F379" s="113"/>
      <c r="L379" s="12"/>
      <c r="N379" s="104"/>
    </row>
    <row r="380">
      <c r="D380" s="112"/>
      <c r="F380" s="113"/>
      <c r="L380" s="12"/>
      <c r="N380" s="104"/>
    </row>
    <row r="381">
      <c r="D381" s="112"/>
      <c r="F381" s="113"/>
      <c r="L381" s="12"/>
      <c r="N381" s="104"/>
    </row>
    <row r="382">
      <c r="D382" s="112"/>
      <c r="F382" s="113"/>
      <c r="L382" s="12"/>
      <c r="N382" s="104"/>
    </row>
    <row r="383">
      <c r="D383" s="112"/>
      <c r="F383" s="113"/>
      <c r="L383" s="12"/>
      <c r="N383" s="104"/>
    </row>
    <row r="384">
      <c r="D384" s="112"/>
      <c r="F384" s="113"/>
      <c r="L384" s="12"/>
      <c r="N384" s="104"/>
    </row>
    <row r="385">
      <c r="D385" s="112"/>
      <c r="F385" s="113"/>
      <c r="L385" s="12"/>
      <c r="N385" s="104"/>
    </row>
    <row r="386">
      <c r="D386" s="112"/>
      <c r="F386" s="113"/>
      <c r="L386" s="12"/>
      <c r="N386" s="104"/>
    </row>
    <row r="387">
      <c r="D387" s="112"/>
      <c r="F387" s="113"/>
      <c r="L387" s="12"/>
      <c r="N387" s="104"/>
    </row>
    <row r="388">
      <c r="D388" s="112"/>
      <c r="F388" s="113"/>
      <c r="L388" s="12"/>
      <c r="N388" s="104"/>
    </row>
    <row r="389">
      <c r="D389" s="112"/>
      <c r="F389" s="113"/>
      <c r="L389" s="12"/>
      <c r="N389" s="104"/>
    </row>
    <row r="390">
      <c r="D390" s="112"/>
      <c r="F390" s="113"/>
      <c r="L390" s="12"/>
      <c r="N390" s="104"/>
    </row>
    <row r="391">
      <c r="D391" s="112"/>
      <c r="F391" s="113"/>
      <c r="L391" s="12"/>
      <c r="N391" s="104"/>
    </row>
    <row r="392">
      <c r="D392" s="112"/>
      <c r="F392" s="113"/>
      <c r="L392" s="12"/>
      <c r="N392" s="104"/>
    </row>
    <row r="393">
      <c r="D393" s="112"/>
      <c r="F393" s="113"/>
      <c r="L393" s="12"/>
      <c r="N393" s="104"/>
    </row>
    <row r="394">
      <c r="D394" s="112"/>
      <c r="F394" s="113"/>
      <c r="L394" s="12"/>
      <c r="N394" s="104"/>
    </row>
    <row r="395">
      <c r="D395" s="112"/>
      <c r="F395" s="113"/>
      <c r="L395" s="12"/>
      <c r="N395" s="104"/>
    </row>
    <row r="396">
      <c r="D396" s="112"/>
      <c r="F396" s="113"/>
      <c r="L396" s="12"/>
      <c r="N396" s="104"/>
    </row>
    <row r="397">
      <c r="D397" s="112"/>
      <c r="F397" s="113"/>
      <c r="L397" s="12"/>
      <c r="N397" s="104"/>
    </row>
    <row r="398">
      <c r="D398" s="112"/>
      <c r="F398" s="113"/>
      <c r="L398" s="12"/>
      <c r="N398" s="104"/>
    </row>
    <row r="399">
      <c r="D399" s="112"/>
      <c r="F399" s="113"/>
      <c r="L399" s="12"/>
      <c r="N399" s="104"/>
    </row>
    <row r="400">
      <c r="D400" s="112"/>
      <c r="F400" s="113"/>
      <c r="L400" s="12"/>
      <c r="N400" s="104"/>
    </row>
    <row r="401">
      <c r="D401" s="112"/>
      <c r="F401" s="113"/>
      <c r="L401" s="12"/>
      <c r="N401" s="104"/>
    </row>
    <row r="402">
      <c r="D402" s="112"/>
      <c r="F402" s="113"/>
      <c r="L402" s="12"/>
      <c r="N402" s="104"/>
    </row>
    <row r="403">
      <c r="D403" s="112"/>
      <c r="F403" s="113"/>
      <c r="L403" s="12"/>
      <c r="N403" s="104"/>
    </row>
    <row r="404">
      <c r="D404" s="112"/>
      <c r="F404" s="113"/>
      <c r="L404" s="12"/>
      <c r="N404" s="104"/>
    </row>
    <row r="405">
      <c r="D405" s="112"/>
      <c r="F405" s="113"/>
      <c r="L405" s="12"/>
      <c r="N405" s="104"/>
    </row>
    <row r="406">
      <c r="D406" s="112"/>
      <c r="F406" s="113"/>
      <c r="L406" s="12"/>
      <c r="N406" s="104"/>
    </row>
    <row r="407">
      <c r="D407" s="112"/>
      <c r="F407" s="113"/>
      <c r="L407" s="12"/>
      <c r="N407" s="104"/>
    </row>
    <row r="408">
      <c r="D408" s="112"/>
      <c r="F408" s="113"/>
      <c r="L408" s="12"/>
      <c r="N408" s="104"/>
    </row>
    <row r="409">
      <c r="D409" s="112"/>
      <c r="F409" s="113"/>
      <c r="L409" s="12"/>
      <c r="N409" s="104"/>
    </row>
    <row r="410">
      <c r="D410" s="112"/>
      <c r="F410" s="113"/>
      <c r="L410" s="12"/>
      <c r="N410" s="104"/>
    </row>
    <row r="411">
      <c r="D411" s="112"/>
      <c r="F411" s="113"/>
      <c r="L411" s="12"/>
      <c r="N411" s="104"/>
    </row>
    <row r="412">
      <c r="D412" s="112"/>
      <c r="F412" s="113"/>
      <c r="L412" s="12"/>
      <c r="N412" s="104"/>
    </row>
    <row r="413">
      <c r="D413" s="112"/>
      <c r="F413" s="113"/>
      <c r="L413" s="12"/>
      <c r="N413" s="104"/>
    </row>
    <row r="414">
      <c r="D414" s="112"/>
      <c r="F414" s="113"/>
      <c r="L414" s="12"/>
      <c r="N414" s="104"/>
    </row>
    <row r="415">
      <c r="D415" s="112"/>
      <c r="F415" s="113"/>
      <c r="L415" s="12"/>
      <c r="N415" s="104"/>
    </row>
    <row r="416">
      <c r="D416" s="112"/>
      <c r="F416" s="113"/>
      <c r="L416" s="12"/>
      <c r="N416" s="104"/>
    </row>
    <row r="417">
      <c r="D417" s="112"/>
      <c r="F417" s="113"/>
      <c r="L417" s="12"/>
      <c r="N417" s="104"/>
    </row>
    <row r="418">
      <c r="D418" s="112"/>
      <c r="F418" s="113"/>
      <c r="L418" s="12"/>
      <c r="N418" s="104"/>
    </row>
    <row r="419">
      <c r="D419" s="112"/>
      <c r="F419" s="113"/>
      <c r="L419" s="12"/>
      <c r="N419" s="104"/>
    </row>
    <row r="420">
      <c r="D420" s="112"/>
      <c r="F420" s="113"/>
      <c r="L420" s="12"/>
      <c r="N420" s="104"/>
    </row>
    <row r="421">
      <c r="D421" s="112"/>
      <c r="F421" s="113"/>
      <c r="L421" s="12"/>
      <c r="N421" s="104"/>
    </row>
    <row r="422">
      <c r="D422" s="112"/>
      <c r="F422" s="113"/>
      <c r="L422" s="12"/>
      <c r="N422" s="104"/>
    </row>
    <row r="423">
      <c r="D423" s="112"/>
      <c r="F423" s="113"/>
      <c r="L423" s="12"/>
      <c r="N423" s="104"/>
    </row>
    <row r="424">
      <c r="D424" s="112"/>
      <c r="F424" s="113"/>
      <c r="L424" s="12"/>
      <c r="N424" s="104"/>
    </row>
    <row r="425">
      <c r="D425" s="112"/>
      <c r="F425" s="113"/>
      <c r="L425" s="12"/>
      <c r="N425" s="104"/>
    </row>
    <row r="426">
      <c r="D426" s="112"/>
      <c r="F426" s="113"/>
      <c r="L426" s="12"/>
      <c r="N426" s="104"/>
    </row>
    <row r="427">
      <c r="D427" s="112"/>
      <c r="F427" s="113"/>
      <c r="L427" s="12"/>
      <c r="N427" s="104"/>
    </row>
    <row r="428">
      <c r="D428" s="112"/>
      <c r="F428" s="113"/>
      <c r="L428" s="12"/>
      <c r="N428" s="104"/>
    </row>
    <row r="429">
      <c r="D429" s="112"/>
      <c r="F429" s="113"/>
      <c r="L429" s="12"/>
      <c r="N429" s="104"/>
    </row>
    <row r="430">
      <c r="D430" s="112"/>
      <c r="F430" s="113"/>
      <c r="L430" s="12"/>
      <c r="N430" s="104"/>
    </row>
    <row r="431">
      <c r="D431" s="112"/>
      <c r="F431" s="113"/>
      <c r="L431" s="12"/>
      <c r="N431" s="104"/>
    </row>
    <row r="432">
      <c r="D432" s="112"/>
      <c r="F432" s="113"/>
      <c r="L432" s="12"/>
      <c r="N432" s="104"/>
    </row>
    <row r="433">
      <c r="D433" s="112"/>
      <c r="F433" s="113"/>
      <c r="L433" s="12"/>
      <c r="N433" s="104"/>
    </row>
    <row r="434">
      <c r="D434" s="112"/>
      <c r="F434" s="113"/>
      <c r="L434" s="12"/>
      <c r="N434" s="104"/>
    </row>
    <row r="435">
      <c r="D435" s="112"/>
      <c r="F435" s="113"/>
      <c r="L435" s="12"/>
      <c r="N435" s="104"/>
    </row>
    <row r="436">
      <c r="D436" s="112"/>
      <c r="F436" s="113"/>
      <c r="L436" s="12"/>
      <c r="N436" s="104"/>
    </row>
    <row r="437">
      <c r="D437" s="112"/>
      <c r="F437" s="113"/>
      <c r="L437" s="12"/>
      <c r="N437" s="104"/>
    </row>
    <row r="438">
      <c r="D438" s="112"/>
      <c r="F438" s="113"/>
      <c r="L438" s="12"/>
      <c r="N438" s="104"/>
    </row>
    <row r="439">
      <c r="D439" s="112"/>
      <c r="F439" s="113"/>
      <c r="L439" s="12"/>
      <c r="N439" s="104"/>
    </row>
    <row r="440">
      <c r="D440" s="112"/>
      <c r="F440" s="113"/>
      <c r="L440" s="12"/>
      <c r="N440" s="104"/>
    </row>
    <row r="441">
      <c r="D441" s="112"/>
      <c r="F441" s="113"/>
      <c r="L441" s="12"/>
      <c r="N441" s="104"/>
    </row>
    <row r="442">
      <c r="D442" s="112"/>
      <c r="F442" s="113"/>
      <c r="L442" s="12"/>
      <c r="N442" s="104"/>
    </row>
    <row r="443">
      <c r="D443" s="112"/>
      <c r="F443" s="113"/>
      <c r="L443" s="12"/>
      <c r="N443" s="104"/>
    </row>
    <row r="444">
      <c r="D444" s="112"/>
      <c r="F444" s="113"/>
      <c r="L444" s="12"/>
      <c r="N444" s="104"/>
    </row>
    <row r="445">
      <c r="D445" s="112"/>
      <c r="F445" s="113"/>
      <c r="L445" s="12"/>
      <c r="N445" s="104"/>
    </row>
    <row r="446">
      <c r="D446" s="112"/>
      <c r="F446" s="113"/>
      <c r="L446" s="12"/>
      <c r="N446" s="104"/>
    </row>
    <row r="447">
      <c r="D447" s="112"/>
      <c r="F447" s="113"/>
      <c r="L447" s="12"/>
      <c r="N447" s="104"/>
    </row>
    <row r="448">
      <c r="D448" s="112"/>
      <c r="F448" s="113"/>
      <c r="L448" s="12"/>
      <c r="N448" s="104"/>
    </row>
    <row r="449">
      <c r="D449" s="112"/>
      <c r="F449" s="113"/>
      <c r="L449" s="12"/>
      <c r="N449" s="104"/>
    </row>
    <row r="450">
      <c r="D450" s="112"/>
      <c r="F450" s="113"/>
      <c r="L450" s="12"/>
      <c r="N450" s="104"/>
    </row>
    <row r="451">
      <c r="D451" s="112"/>
      <c r="F451" s="113"/>
      <c r="L451" s="12"/>
      <c r="N451" s="104"/>
    </row>
    <row r="452">
      <c r="D452" s="112"/>
      <c r="F452" s="113"/>
      <c r="L452" s="12"/>
      <c r="N452" s="104"/>
    </row>
    <row r="453">
      <c r="D453" s="112"/>
      <c r="F453" s="113"/>
      <c r="L453" s="12"/>
      <c r="N453" s="104"/>
    </row>
    <row r="454">
      <c r="D454" s="112"/>
      <c r="F454" s="113"/>
      <c r="L454" s="12"/>
      <c r="N454" s="104"/>
    </row>
    <row r="455">
      <c r="D455" s="112"/>
      <c r="F455" s="113"/>
      <c r="L455" s="12"/>
      <c r="N455" s="104"/>
    </row>
    <row r="456">
      <c r="D456" s="112"/>
      <c r="F456" s="113"/>
      <c r="L456" s="12"/>
      <c r="N456" s="104"/>
    </row>
    <row r="457">
      <c r="D457" s="112"/>
      <c r="F457" s="113"/>
      <c r="L457" s="12"/>
      <c r="N457" s="104"/>
    </row>
    <row r="458">
      <c r="D458" s="112"/>
      <c r="F458" s="113"/>
      <c r="L458" s="12"/>
      <c r="N458" s="104"/>
    </row>
    <row r="459">
      <c r="D459" s="112"/>
      <c r="F459" s="113"/>
      <c r="L459" s="12"/>
      <c r="N459" s="104"/>
    </row>
    <row r="460">
      <c r="D460" s="112"/>
      <c r="F460" s="113"/>
      <c r="L460" s="12"/>
      <c r="N460" s="104"/>
    </row>
    <row r="461">
      <c r="D461" s="112"/>
      <c r="F461" s="113"/>
      <c r="L461" s="12"/>
      <c r="N461" s="104"/>
    </row>
    <row r="462">
      <c r="D462" s="112"/>
      <c r="F462" s="113"/>
      <c r="L462" s="12"/>
      <c r="N462" s="104"/>
    </row>
    <row r="463">
      <c r="D463" s="112"/>
      <c r="F463" s="113"/>
      <c r="L463" s="12"/>
      <c r="N463" s="104"/>
    </row>
    <row r="464">
      <c r="D464" s="112"/>
      <c r="F464" s="113"/>
      <c r="L464" s="12"/>
      <c r="N464" s="104"/>
    </row>
    <row r="465">
      <c r="D465" s="112"/>
      <c r="F465" s="113"/>
      <c r="L465" s="12"/>
      <c r="N465" s="104"/>
    </row>
    <row r="466">
      <c r="D466" s="112"/>
      <c r="F466" s="113"/>
      <c r="L466" s="12"/>
      <c r="N466" s="104"/>
    </row>
    <row r="467">
      <c r="D467" s="112"/>
      <c r="F467" s="113"/>
      <c r="L467" s="12"/>
      <c r="N467" s="104"/>
    </row>
    <row r="468">
      <c r="D468" s="112"/>
      <c r="F468" s="113"/>
      <c r="L468" s="12"/>
      <c r="N468" s="104"/>
    </row>
    <row r="469">
      <c r="D469" s="112"/>
      <c r="F469" s="113"/>
      <c r="L469" s="12"/>
      <c r="N469" s="104"/>
    </row>
    <row r="470">
      <c r="D470" s="112"/>
      <c r="F470" s="113"/>
      <c r="L470" s="12"/>
      <c r="N470" s="104"/>
    </row>
    <row r="471">
      <c r="D471" s="112"/>
      <c r="F471" s="113"/>
      <c r="L471" s="12"/>
      <c r="N471" s="104"/>
    </row>
    <row r="472">
      <c r="D472" s="112"/>
      <c r="F472" s="113"/>
      <c r="L472" s="12"/>
      <c r="N472" s="104"/>
    </row>
    <row r="473">
      <c r="D473" s="112"/>
      <c r="F473" s="113"/>
      <c r="L473" s="12"/>
      <c r="N473" s="104"/>
    </row>
    <row r="474">
      <c r="D474" s="112"/>
      <c r="F474" s="113"/>
      <c r="L474" s="12"/>
      <c r="N474" s="104"/>
    </row>
    <row r="475">
      <c r="D475" s="112"/>
      <c r="F475" s="113"/>
      <c r="L475" s="12"/>
      <c r="N475" s="104"/>
    </row>
    <row r="476">
      <c r="D476" s="112"/>
      <c r="F476" s="113"/>
      <c r="L476" s="12"/>
      <c r="N476" s="104"/>
    </row>
    <row r="477">
      <c r="D477" s="112"/>
      <c r="F477" s="113"/>
      <c r="L477" s="12"/>
      <c r="N477" s="104"/>
    </row>
    <row r="478">
      <c r="D478" s="112"/>
      <c r="F478" s="113"/>
      <c r="L478" s="12"/>
      <c r="N478" s="104"/>
    </row>
    <row r="479">
      <c r="D479" s="112"/>
      <c r="F479" s="113"/>
      <c r="L479" s="12"/>
      <c r="N479" s="104"/>
    </row>
    <row r="480">
      <c r="D480" s="112"/>
      <c r="F480" s="113"/>
      <c r="L480" s="12"/>
      <c r="N480" s="104"/>
    </row>
    <row r="481">
      <c r="D481" s="112"/>
      <c r="F481" s="113"/>
      <c r="L481" s="12"/>
      <c r="N481" s="104"/>
    </row>
    <row r="482">
      <c r="D482" s="112"/>
      <c r="F482" s="113"/>
      <c r="L482" s="12"/>
      <c r="N482" s="104"/>
    </row>
    <row r="483">
      <c r="D483" s="112"/>
      <c r="F483" s="113"/>
      <c r="L483" s="12"/>
      <c r="N483" s="104"/>
    </row>
    <row r="484">
      <c r="D484" s="112"/>
      <c r="F484" s="113"/>
      <c r="L484" s="12"/>
      <c r="N484" s="104"/>
    </row>
    <row r="485">
      <c r="D485" s="112"/>
      <c r="F485" s="113"/>
      <c r="L485" s="12"/>
      <c r="N485" s="104"/>
    </row>
    <row r="486">
      <c r="D486" s="112"/>
      <c r="F486" s="113"/>
      <c r="L486" s="12"/>
      <c r="N486" s="104"/>
    </row>
    <row r="487">
      <c r="D487" s="112"/>
      <c r="F487" s="113"/>
      <c r="L487" s="12"/>
      <c r="N487" s="104"/>
    </row>
    <row r="488">
      <c r="D488" s="112"/>
      <c r="F488" s="113"/>
      <c r="L488" s="12"/>
      <c r="N488" s="104"/>
    </row>
    <row r="489">
      <c r="D489" s="112"/>
      <c r="F489" s="113"/>
      <c r="L489" s="12"/>
      <c r="N489" s="104"/>
    </row>
    <row r="490">
      <c r="D490" s="112"/>
      <c r="F490" s="113"/>
      <c r="L490" s="12"/>
      <c r="N490" s="104"/>
    </row>
    <row r="491">
      <c r="D491" s="112"/>
      <c r="F491" s="113"/>
      <c r="L491" s="12"/>
      <c r="N491" s="104"/>
    </row>
    <row r="492">
      <c r="D492" s="112"/>
      <c r="F492" s="113"/>
      <c r="L492" s="12"/>
      <c r="N492" s="104"/>
    </row>
    <row r="493">
      <c r="D493" s="112"/>
      <c r="F493" s="113"/>
      <c r="L493" s="12"/>
      <c r="N493" s="104"/>
    </row>
    <row r="494">
      <c r="D494" s="112"/>
      <c r="F494" s="113"/>
      <c r="L494" s="12"/>
      <c r="N494" s="104"/>
    </row>
    <row r="495">
      <c r="D495" s="112"/>
      <c r="F495" s="113"/>
      <c r="L495" s="12"/>
      <c r="N495" s="104"/>
    </row>
    <row r="496">
      <c r="D496" s="112"/>
      <c r="F496" s="113"/>
      <c r="L496" s="12"/>
      <c r="N496" s="104"/>
    </row>
    <row r="497">
      <c r="D497" s="112"/>
      <c r="F497" s="113"/>
      <c r="L497" s="12"/>
      <c r="N497" s="104"/>
    </row>
    <row r="498">
      <c r="D498" s="112"/>
      <c r="F498" s="113"/>
      <c r="L498" s="12"/>
      <c r="N498" s="104"/>
    </row>
    <row r="499">
      <c r="D499" s="112"/>
      <c r="F499" s="113"/>
      <c r="L499" s="12"/>
      <c r="N499" s="104"/>
    </row>
    <row r="500">
      <c r="D500" s="112"/>
      <c r="F500" s="113"/>
      <c r="L500" s="12"/>
      <c r="N500" s="104"/>
    </row>
    <row r="501">
      <c r="D501" s="112"/>
      <c r="F501" s="113"/>
      <c r="L501" s="12"/>
      <c r="N501" s="104"/>
    </row>
    <row r="502">
      <c r="D502" s="112"/>
      <c r="F502" s="113"/>
      <c r="L502" s="12"/>
      <c r="N502" s="104"/>
    </row>
    <row r="503">
      <c r="D503" s="112"/>
      <c r="F503" s="113"/>
      <c r="L503" s="12"/>
      <c r="N503" s="104"/>
    </row>
    <row r="504">
      <c r="D504" s="112"/>
      <c r="F504" s="113"/>
      <c r="L504" s="12"/>
      <c r="N504" s="104"/>
    </row>
    <row r="505">
      <c r="D505" s="112"/>
      <c r="F505" s="113"/>
      <c r="L505" s="12"/>
      <c r="N505" s="104"/>
    </row>
    <row r="506">
      <c r="D506" s="112"/>
      <c r="F506" s="113"/>
      <c r="L506" s="12"/>
      <c r="N506" s="104"/>
    </row>
    <row r="507">
      <c r="D507" s="112"/>
      <c r="F507" s="113"/>
      <c r="L507" s="12"/>
      <c r="N507" s="104"/>
    </row>
    <row r="508">
      <c r="D508" s="112"/>
      <c r="F508" s="113"/>
      <c r="L508" s="12"/>
      <c r="N508" s="104"/>
    </row>
    <row r="509">
      <c r="D509" s="112"/>
      <c r="F509" s="113"/>
      <c r="L509" s="12"/>
      <c r="N509" s="104"/>
    </row>
    <row r="510">
      <c r="D510" s="112"/>
      <c r="F510" s="113"/>
      <c r="L510" s="12"/>
      <c r="N510" s="104"/>
    </row>
    <row r="511">
      <c r="D511" s="112"/>
      <c r="F511" s="113"/>
      <c r="L511" s="12"/>
      <c r="N511" s="104"/>
    </row>
    <row r="512">
      <c r="D512" s="112"/>
      <c r="F512" s="113"/>
      <c r="L512" s="12"/>
      <c r="N512" s="104"/>
    </row>
    <row r="513">
      <c r="D513" s="112"/>
      <c r="F513" s="113"/>
      <c r="L513" s="12"/>
      <c r="N513" s="104"/>
    </row>
    <row r="514">
      <c r="D514" s="112"/>
      <c r="F514" s="113"/>
      <c r="L514" s="12"/>
      <c r="N514" s="104"/>
    </row>
    <row r="515">
      <c r="D515" s="112"/>
      <c r="F515" s="113"/>
      <c r="L515" s="12"/>
      <c r="N515" s="104"/>
    </row>
    <row r="516">
      <c r="D516" s="112"/>
      <c r="F516" s="113"/>
      <c r="L516" s="12"/>
      <c r="N516" s="104"/>
    </row>
    <row r="517">
      <c r="D517" s="112"/>
      <c r="F517" s="113"/>
      <c r="L517" s="12"/>
      <c r="N517" s="104"/>
    </row>
    <row r="518">
      <c r="D518" s="112"/>
      <c r="F518" s="113"/>
      <c r="L518" s="12"/>
      <c r="N518" s="104"/>
    </row>
    <row r="519">
      <c r="D519" s="112"/>
      <c r="F519" s="113"/>
      <c r="L519" s="12"/>
      <c r="N519" s="104"/>
    </row>
    <row r="520">
      <c r="D520" s="112"/>
      <c r="F520" s="113"/>
      <c r="L520" s="12"/>
      <c r="N520" s="104"/>
    </row>
    <row r="521">
      <c r="D521" s="112"/>
      <c r="F521" s="113"/>
      <c r="L521" s="12"/>
      <c r="N521" s="104"/>
    </row>
    <row r="522">
      <c r="D522" s="112"/>
      <c r="F522" s="113"/>
      <c r="L522" s="12"/>
      <c r="N522" s="104"/>
    </row>
    <row r="523">
      <c r="D523" s="112"/>
      <c r="F523" s="113"/>
      <c r="L523" s="12"/>
      <c r="N523" s="104"/>
    </row>
    <row r="524">
      <c r="D524" s="112"/>
      <c r="F524" s="113"/>
      <c r="L524" s="12"/>
      <c r="N524" s="104"/>
    </row>
    <row r="525">
      <c r="D525" s="112"/>
      <c r="F525" s="113"/>
      <c r="L525" s="12"/>
      <c r="N525" s="104"/>
    </row>
    <row r="526">
      <c r="D526" s="112"/>
      <c r="F526" s="113"/>
      <c r="L526" s="12"/>
      <c r="N526" s="104"/>
    </row>
    <row r="527">
      <c r="D527" s="112"/>
      <c r="F527" s="113"/>
      <c r="L527" s="12"/>
      <c r="N527" s="104"/>
    </row>
    <row r="528">
      <c r="D528" s="112"/>
      <c r="F528" s="113"/>
      <c r="L528" s="12"/>
      <c r="N528" s="104"/>
    </row>
    <row r="529">
      <c r="D529" s="112"/>
      <c r="F529" s="113"/>
      <c r="L529" s="12"/>
      <c r="N529" s="104"/>
    </row>
    <row r="530">
      <c r="D530" s="112"/>
      <c r="F530" s="113"/>
      <c r="L530" s="12"/>
      <c r="N530" s="104"/>
    </row>
    <row r="531">
      <c r="D531" s="112"/>
      <c r="F531" s="113"/>
      <c r="L531" s="12"/>
      <c r="N531" s="104"/>
    </row>
    <row r="532">
      <c r="D532" s="112"/>
      <c r="F532" s="113"/>
      <c r="L532" s="12"/>
      <c r="N532" s="104"/>
    </row>
    <row r="533">
      <c r="D533" s="112"/>
      <c r="F533" s="113"/>
      <c r="L533" s="12"/>
      <c r="N533" s="104"/>
    </row>
    <row r="534">
      <c r="D534" s="112"/>
      <c r="F534" s="113"/>
      <c r="L534" s="12"/>
      <c r="N534" s="104"/>
    </row>
    <row r="535">
      <c r="D535" s="112"/>
      <c r="F535" s="113"/>
      <c r="L535" s="12"/>
      <c r="N535" s="104"/>
    </row>
    <row r="536">
      <c r="D536" s="112"/>
      <c r="F536" s="113"/>
      <c r="L536" s="12"/>
      <c r="N536" s="104"/>
    </row>
    <row r="537">
      <c r="D537" s="112"/>
      <c r="F537" s="113"/>
      <c r="L537" s="12"/>
      <c r="N537" s="104"/>
    </row>
    <row r="538">
      <c r="D538" s="112"/>
      <c r="F538" s="113"/>
      <c r="L538" s="12"/>
      <c r="N538" s="104"/>
    </row>
    <row r="539">
      <c r="D539" s="112"/>
      <c r="F539" s="113"/>
      <c r="L539" s="12"/>
      <c r="N539" s="104"/>
    </row>
    <row r="540">
      <c r="D540" s="112"/>
      <c r="F540" s="113"/>
      <c r="L540" s="12"/>
      <c r="N540" s="104"/>
    </row>
    <row r="541">
      <c r="D541" s="112"/>
      <c r="F541" s="113"/>
      <c r="L541" s="12"/>
      <c r="N541" s="104"/>
    </row>
    <row r="542">
      <c r="D542" s="112"/>
      <c r="F542" s="113"/>
      <c r="L542" s="12"/>
      <c r="N542" s="104"/>
    </row>
    <row r="543">
      <c r="D543" s="112"/>
      <c r="F543" s="113"/>
      <c r="L543" s="12"/>
      <c r="N543" s="104"/>
    </row>
    <row r="544">
      <c r="D544" s="112"/>
      <c r="F544" s="113"/>
      <c r="L544" s="12"/>
      <c r="N544" s="104"/>
    </row>
    <row r="545">
      <c r="D545" s="112"/>
      <c r="F545" s="113"/>
      <c r="L545" s="12"/>
      <c r="N545" s="104"/>
    </row>
    <row r="546">
      <c r="D546" s="112"/>
      <c r="F546" s="113"/>
      <c r="L546" s="12"/>
      <c r="N546" s="104"/>
    </row>
    <row r="547">
      <c r="D547" s="112"/>
      <c r="F547" s="113"/>
      <c r="L547" s="12"/>
      <c r="N547" s="104"/>
    </row>
    <row r="548">
      <c r="D548" s="112"/>
      <c r="F548" s="113"/>
      <c r="L548" s="12"/>
      <c r="N548" s="104"/>
    </row>
    <row r="549">
      <c r="D549" s="112"/>
      <c r="F549" s="113"/>
      <c r="L549" s="12"/>
      <c r="N549" s="104"/>
    </row>
    <row r="550">
      <c r="D550" s="112"/>
      <c r="F550" s="113"/>
      <c r="L550" s="12"/>
      <c r="N550" s="104"/>
    </row>
    <row r="551">
      <c r="D551" s="112"/>
      <c r="F551" s="113"/>
      <c r="L551" s="12"/>
      <c r="N551" s="104"/>
    </row>
    <row r="552">
      <c r="D552" s="112"/>
      <c r="F552" s="113"/>
      <c r="L552" s="12"/>
      <c r="N552" s="104"/>
    </row>
    <row r="553">
      <c r="D553" s="112"/>
      <c r="F553" s="113"/>
      <c r="L553" s="12"/>
      <c r="N553" s="104"/>
    </row>
    <row r="554">
      <c r="D554" s="112"/>
      <c r="F554" s="113"/>
      <c r="L554" s="12"/>
      <c r="N554" s="104"/>
    </row>
    <row r="555">
      <c r="D555" s="112"/>
      <c r="F555" s="113"/>
      <c r="L555" s="12"/>
      <c r="N555" s="104"/>
    </row>
    <row r="556">
      <c r="D556" s="112"/>
      <c r="F556" s="113"/>
      <c r="L556" s="12"/>
      <c r="N556" s="104"/>
    </row>
    <row r="557">
      <c r="D557" s="112"/>
      <c r="F557" s="113"/>
      <c r="L557" s="12"/>
      <c r="N557" s="104"/>
    </row>
    <row r="558">
      <c r="D558" s="112"/>
      <c r="F558" s="113"/>
      <c r="L558" s="12"/>
      <c r="N558" s="104"/>
    </row>
    <row r="559">
      <c r="D559" s="112"/>
      <c r="F559" s="113"/>
      <c r="L559" s="12"/>
      <c r="N559" s="104"/>
    </row>
    <row r="560">
      <c r="D560" s="112"/>
      <c r="F560" s="113"/>
      <c r="L560" s="12"/>
      <c r="N560" s="104"/>
    </row>
    <row r="561">
      <c r="D561" s="112"/>
      <c r="F561" s="113"/>
      <c r="L561" s="12"/>
      <c r="N561" s="104"/>
    </row>
    <row r="562">
      <c r="D562" s="112"/>
      <c r="F562" s="113"/>
      <c r="L562" s="12"/>
      <c r="N562" s="104"/>
    </row>
    <row r="563">
      <c r="D563" s="112"/>
      <c r="F563" s="113"/>
      <c r="L563" s="12"/>
      <c r="N563" s="104"/>
    </row>
    <row r="564">
      <c r="D564" s="112"/>
      <c r="F564" s="113"/>
      <c r="L564" s="12"/>
      <c r="N564" s="104"/>
    </row>
    <row r="565">
      <c r="D565" s="112"/>
      <c r="F565" s="113"/>
      <c r="L565" s="12"/>
      <c r="N565" s="104"/>
    </row>
    <row r="566">
      <c r="D566" s="112"/>
      <c r="F566" s="113"/>
      <c r="L566" s="12"/>
      <c r="N566" s="104"/>
    </row>
    <row r="567">
      <c r="D567" s="112"/>
      <c r="F567" s="113"/>
      <c r="L567" s="12"/>
      <c r="N567" s="104"/>
    </row>
    <row r="568">
      <c r="D568" s="112"/>
      <c r="F568" s="113"/>
      <c r="L568" s="12"/>
      <c r="N568" s="104"/>
    </row>
    <row r="569">
      <c r="D569" s="112"/>
      <c r="F569" s="113"/>
      <c r="L569" s="12"/>
      <c r="N569" s="104"/>
    </row>
    <row r="570">
      <c r="D570" s="112"/>
      <c r="F570" s="113"/>
      <c r="L570" s="12"/>
      <c r="N570" s="104"/>
    </row>
    <row r="571">
      <c r="D571" s="112"/>
      <c r="F571" s="113"/>
      <c r="L571" s="12"/>
      <c r="N571" s="104"/>
    </row>
    <row r="572">
      <c r="D572" s="112"/>
      <c r="F572" s="113"/>
      <c r="L572" s="12"/>
      <c r="N572" s="104"/>
    </row>
    <row r="573">
      <c r="D573" s="112"/>
      <c r="F573" s="113"/>
      <c r="L573" s="12"/>
      <c r="N573" s="104"/>
    </row>
    <row r="574">
      <c r="D574" s="112"/>
      <c r="F574" s="113"/>
      <c r="L574" s="12"/>
      <c r="N574" s="104"/>
    </row>
    <row r="575">
      <c r="D575" s="112"/>
      <c r="F575" s="113"/>
      <c r="L575" s="12"/>
      <c r="N575" s="104"/>
    </row>
    <row r="576">
      <c r="D576" s="112"/>
      <c r="F576" s="113"/>
      <c r="L576" s="12"/>
      <c r="N576" s="104"/>
    </row>
    <row r="577">
      <c r="D577" s="112"/>
      <c r="F577" s="113"/>
      <c r="L577" s="12"/>
      <c r="N577" s="104"/>
    </row>
    <row r="578">
      <c r="D578" s="112"/>
      <c r="F578" s="113"/>
      <c r="L578" s="12"/>
      <c r="N578" s="104"/>
    </row>
    <row r="579">
      <c r="D579" s="112"/>
      <c r="F579" s="113"/>
      <c r="L579" s="12"/>
      <c r="N579" s="104"/>
    </row>
    <row r="580">
      <c r="D580" s="112"/>
      <c r="F580" s="113"/>
      <c r="L580" s="12"/>
      <c r="N580" s="104"/>
    </row>
    <row r="581">
      <c r="D581" s="112"/>
      <c r="F581" s="113"/>
      <c r="L581" s="12"/>
      <c r="N581" s="104"/>
    </row>
    <row r="582">
      <c r="D582" s="112"/>
      <c r="F582" s="113"/>
      <c r="L582" s="12"/>
      <c r="N582" s="104"/>
    </row>
    <row r="583">
      <c r="D583" s="112"/>
      <c r="F583" s="113"/>
      <c r="L583" s="12"/>
      <c r="N583" s="104"/>
    </row>
    <row r="584">
      <c r="D584" s="112"/>
      <c r="F584" s="113"/>
      <c r="L584" s="12"/>
      <c r="N584" s="104"/>
    </row>
    <row r="585">
      <c r="D585" s="112"/>
      <c r="F585" s="113"/>
      <c r="L585" s="12"/>
      <c r="N585" s="104"/>
    </row>
    <row r="586">
      <c r="D586" s="112"/>
      <c r="F586" s="113"/>
      <c r="L586" s="12"/>
      <c r="N586" s="104"/>
    </row>
    <row r="587">
      <c r="D587" s="112"/>
      <c r="F587" s="113"/>
      <c r="L587" s="12"/>
      <c r="N587" s="104"/>
    </row>
    <row r="588">
      <c r="D588" s="112"/>
      <c r="F588" s="113"/>
      <c r="L588" s="12"/>
      <c r="N588" s="104"/>
    </row>
    <row r="589">
      <c r="D589" s="112"/>
      <c r="F589" s="113"/>
      <c r="L589" s="12"/>
      <c r="N589" s="104"/>
    </row>
    <row r="590">
      <c r="D590" s="112"/>
      <c r="F590" s="113"/>
      <c r="L590" s="12"/>
      <c r="N590" s="104"/>
    </row>
    <row r="591">
      <c r="D591" s="112"/>
      <c r="F591" s="113"/>
      <c r="L591" s="12"/>
      <c r="N591" s="104"/>
    </row>
    <row r="592">
      <c r="D592" s="112"/>
      <c r="F592" s="113"/>
      <c r="L592" s="12"/>
      <c r="N592" s="104"/>
    </row>
    <row r="593">
      <c r="D593" s="112"/>
      <c r="F593" s="113"/>
      <c r="L593" s="12"/>
      <c r="N593" s="104"/>
    </row>
    <row r="594">
      <c r="D594" s="112"/>
      <c r="F594" s="113"/>
      <c r="L594" s="12"/>
      <c r="N594" s="104"/>
    </row>
    <row r="595">
      <c r="D595" s="112"/>
      <c r="F595" s="113"/>
      <c r="L595" s="12"/>
      <c r="N595" s="104"/>
    </row>
    <row r="596">
      <c r="D596" s="112"/>
      <c r="F596" s="113"/>
      <c r="L596" s="12"/>
      <c r="N596" s="104"/>
    </row>
    <row r="597">
      <c r="D597" s="112"/>
      <c r="F597" s="113"/>
      <c r="L597" s="12"/>
      <c r="N597" s="104"/>
    </row>
    <row r="598">
      <c r="D598" s="112"/>
      <c r="F598" s="113"/>
      <c r="L598" s="12"/>
      <c r="N598" s="104"/>
    </row>
    <row r="599">
      <c r="D599" s="112"/>
      <c r="F599" s="113"/>
      <c r="L599" s="12"/>
      <c r="N599" s="104"/>
    </row>
    <row r="600">
      <c r="D600" s="112"/>
      <c r="F600" s="113"/>
      <c r="L600" s="12"/>
      <c r="N600" s="104"/>
    </row>
    <row r="601">
      <c r="D601" s="112"/>
      <c r="F601" s="113"/>
      <c r="L601" s="12"/>
      <c r="N601" s="104"/>
    </row>
    <row r="602">
      <c r="D602" s="112"/>
      <c r="F602" s="113"/>
      <c r="L602" s="12"/>
      <c r="N602" s="104"/>
    </row>
    <row r="603">
      <c r="D603" s="112"/>
      <c r="F603" s="113"/>
      <c r="L603" s="12"/>
      <c r="N603" s="104"/>
    </row>
    <row r="604">
      <c r="D604" s="112"/>
      <c r="F604" s="113"/>
      <c r="L604" s="12"/>
      <c r="N604" s="104"/>
    </row>
    <row r="605">
      <c r="D605" s="112"/>
      <c r="F605" s="113"/>
      <c r="L605" s="12"/>
      <c r="N605" s="104"/>
    </row>
    <row r="606">
      <c r="D606" s="112"/>
      <c r="F606" s="113"/>
      <c r="L606" s="12"/>
      <c r="N606" s="104"/>
    </row>
    <row r="607">
      <c r="D607" s="112"/>
      <c r="F607" s="113"/>
      <c r="L607" s="12"/>
      <c r="N607" s="104"/>
    </row>
    <row r="608">
      <c r="D608" s="112"/>
      <c r="F608" s="113"/>
      <c r="L608" s="12"/>
      <c r="N608" s="104"/>
    </row>
    <row r="609">
      <c r="D609" s="112"/>
      <c r="F609" s="113"/>
      <c r="L609" s="12"/>
      <c r="N609" s="104"/>
    </row>
    <row r="610">
      <c r="D610" s="112"/>
      <c r="F610" s="113"/>
      <c r="L610" s="12"/>
      <c r="N610" s="104"/>
    </row>
    <row r="611">
      <c r="D611" s="112"/>
      <c r="F611" s="113"/>
      <c r="L611" s="12"/>
      <c r="N611" s="104"/>
    </row>
    <row r="612">
      <c r="D612" s="112"/>
      <c r="F612" s="113"/>
      <c r="L612" s="12"/>
      <c r="N612" s="104"/>
    </row>
    <row r="613">
      <c r="D613" s="112"/>
      <c r="F613" s="113"/>
      <c r="L613" s="12"/>
      <c r="N613" s="104"/>
    </row>
    <row r="614">
      <c r="D614" s="112"/>
      <c r="F614" s="113"/>
      <c r="L614" s="12"/>
      <c r="N614" s="104"/>
    </row>
    <row r="615">
      <c r="D615" s="112"/>
      <c r="F615" s="113"/>
      <c r="L615" s="12"/>
      <c r="N615" s="104"/>
    </row>
    <row r="616">
      <c r="D616" s="112"/>
      <c r="F616" s="113"/>
      <c r="L616" s="12"/>
      <c r="N616" s="104"/>
    </row>
    <row r="617">
      <c r="D617" s="112"/>
      <c r="F617" s="113"/>
      <c r="L617" s="12"/>
      <c r="N617" s="104"/>
    </row>
    <row r="618">
      <c r="D618" s="112"/>
      <c r="F618" s="113"/>
      <c r="L618" s="12"/>
      <c r="N618" s="104"/>
    </row>
    <row r="619">
      <c r="D619" s="112"/>
      <c r="F619" s="113"/>
      <c r="L619" s="12"/>
      <c r="N619" s="104"/>
    </row>
    <row r="620">
      <c r="D620" s="112"/>
      <c r="F620" s="113"/>
      <c r="L620" s="12"/>
      <c r="N620" s="104"/>
    </row>
    <row r="621">
      <c r="D621" s="112"/>
      <c r="F621" s="113"/>
      <c r="L621" s="12"/>
      <c r="N621" s="104"/>
    </row>
    <row r="622">
      <c r="D622" s="112"/>
      <c r="F622" s="113"/>
      <c r="L622" s="12"/>
      <c r="N622" s="104"/>
    </row>
    <row r="623">
      <c r="D623" s="112"/>
      <c r="F623" s="113"/>
      <c r="L623" s="12"/>
      <c r="N623" s="104"/>
    </row>
    <row r="624">
      <c r="D624" s="112"/>
      <c r="F624" s="113"/>
      <c r="L624" s="12"/>
      <c r="N624" s="104"/>
    </row>
    <row r="625">
      <c r="D625" s="112"/>
      <c r="F625" s="113"/>
      <c r="L625" s="12"/>
      <c r="N625" s="104"/>
    </row>
    <row r="626">
      <c r="D626" s="112"/>
      <c r="F626" s="113"/>
      <c r="L626" s="12"/>
      <c r="N626" s="104"/>
    </row>
    <row r="627">
      <c r="D627" s="112"/>
      <c r="F627" s="113"/>
      <c r="L627" s="12"/>
      <c r="N627" s="104"/>
    </row>
    <row r="628">
      <c r="D628" s="112"/>
      <c r="F628" s="113"/>
      <c r="L628" s="12"/>
      <c r="N628" s="104"/>
    </row>
    <row r="629">
      <c r="D629" s="112"/>
      <c r="F629" s="113"/>
      <c r="L629" s="12"/>
      <c r="N629" s="104"/>
    </row>
    <row r="630">
      <c r="D630" s="112"/>
      <c r="F630" s="113"/>
      <c r="L630" s="12"/>
      <c r="N630" s="104"/>
    </row>
    <row r="631">
      <c r="D631" s="112"/>
      <c r="F631" s="113"/>
      <c r="L631" s="12"/>
      <c r="N631" s="104"/>
    </row>
    <row r="632">
      <c r="D632" s="112"/>
      <c r="F632" s="113"/>
      <c r="L632" s="12"/>
      <c r="N632" s="104"/>
    </row>
    <row r="633">
      <c r="D633" s="112"/>
      <c r="F633" s="113"/>
      <c r="L633" s="12"/>
      <c r="N633" s="104"/>
    </row>
    <row r="634">
      <c r="D634" s="112"/>
      <c r="F634" s="113"/>
      <c r="L634" s="12"/>
      <c r="N634" s="104"/>
    </row>
    <row r="635">
      <c r="D635" s="112"/>
      <c r="F635" s="113"/>
      <c r="L635" s="12"/>
      <c r="N635" s="104"/>
    </row>
    <row r="636">
      <c r="D636" s="112"/>
      <c r="F636" s="113"/>
      <c r="L636" s="12"/>
      <c r="N636" s="104"/>
    </row>
    <row r="637">
      <c r="D637" s="112"/>
      <c r="F637" s="113"/>
      <c r="L637" s="12"/>
      <c r="N637" s="104"/>
    </row>
    <row r="638">
      <c r="D638" s="112"/>
      <c r="F638" s="113"/>
      <c r="L638" s="12"/>
      <c r="N638" s="104"/>
    </row>
    <row r="639">
      <c r="D639" s="112"/>
      <c r="F639" s="113"/>
      <c r="L639" s="12"/>
      <c r="N639" s="104"/>
    </row>
    <row r="640">
      <c r="D640" s="112"/>
      <c r="F640" s="113"/>
      <c r="L640" s="12"/>
      <c r="N640" s="104"/>
    </row>
    <row r="641">
      <c r="D641" s="112"/>
      <c r="F641" s="113"/>
      <c r="L641" s="12"/>
      <c r="N641" s="104"/>
    </row>
    <row r="642">
      <c r="D642" s="112"/>
      <c r="F642" s="113"/>
      <c r="L642" s="12"/>
      <c r="N642" s="104"/>
    </row>
    <row r="643">
      <c r="D643" s="112"/>
      <c r="F643" s="113"/>
      <c r="L643" s="12"/>
      <c r="N643" s="104"/>
    </row>
    <row r="644">
      <c r="D644" s="112"/>
      <c r="F644" s="113"/>
      <c r="L644" s="12"/>
      <c r="N644" s="104"/>
    </row>
    <row r="645">
      <c r="D645" s="112"/>
      <c r="F645" s="113"/>
      <c r="L645" s="12"/>
      <c r="N645" s="104"/>
    </row>
    <row r="646">
      <c r="D646" s="112"/>
      <c r="F646" s="113"/>
      <c r="L646" s="12"/>
      <c r="N646" s="104"/>
    </row>
    <row r="647">
      <c r="D647" s="112"/>
      <c r="F647" s="113"/>
      <c r="L647" s="12"/>
      <c r="N647" s="104"/>
    </row>
    <row r="648">
      <c r="D648" s="112"/>
      <c r="F648" s="113"/>
      <c r="L648" s="12"/>
      <c r="N648" s="104"/>
    </row>
    <row r="649">
      <c r="D649" s="112"/>
      <c r="F649" s="113"/>
      <c r="L649" s="12"/>
      <c r="N649" s="104"/>
    </row>
    <row r="650">
      <c r="D650" s="112"/>
      <c r="F650" s="113"/>
      <c r="L650" s="12"/>
      <c r="N650" s="104"/>
    </row>
    <row r="651">
      <c r="D651" s="112"/>
      <c r="F651" s="113"/>
      <c r="L651" s="12"/>
      <c r="N651" s="104"/>
    </row>
    <row r="652">
      <c r="D652" s="112"/>
      <c r="F652" s="113"/>
      <c r="L652" s="12"/>
      <c r="N652" s="104"/>
    </row>
    <row r="653">
      <c r="D653" s="112"/>
      <c r="F653" s="113"/>
      <c r="L653" s="12"/>
      <c r="N653" s="104"/>
    </row>
    <row r="654">
      <c r="D654" s="112"/>
      <c r="F654" s="113"/>
      <c r="L654" s="12"/>
      <c r="N654" s="104"/>
    </row>
    <row r="655">
      <c r="D655" s="112"/>
      <c r="F655" s="113"/>
      <c r="L655" s="12"/>
      <c r="N655" s="104"/>
    </row>
    <row r="656">
      <c r="D656" s="112"/>
      <c r="F656" s="113"/>
      <c r="L656" s="12"/>
      <c r="N656" s="104"/>
    </row>
    <row r="657">
      <c r="D657" s="112"/>
      <c r="F657" s="113"/>
      <c r="L657" s="12"/>
      <c r="N657" s="104"/>
    </row>
    <row r="658">
      <c r="D658" s="112"/>
      <c r="F658" s="113"/>
      <c r="L658" s="12"/>
      <c r="N658" s="104"/>
    </row>
    <row r="659">
      <c r="D659" s="112"/>
      <c r="F659" s="113"/>
      <c r="L659" s="12"/>
      <c r="N659" s="104"/>
    </row>
    <row r="660">
      <c r="D660" s="112"/>
      <c r="F660" s="113"/>
      <c r="L660" s="12"/>
      <c r="N660" s="104"/>
    </row>
    <row r="661">
      <c r="D661" s="112"/>
      <c r="F661" s="113"/>
      <c r="L661" s="12"/>
      <c r="N661" s="104"/>
    </row>
    <row r="662">
      <c r="D662" s="112"/>
      <c r="F662" s="113"/>
      <c r="L662" s="12"/>
      <c r="N662" s="104"/>
    </row>
    <row r="663">
      <c r="D663" s="112"/>
      <c r="F663" s="113"/>
      <c r="L663" s="12"/>
      <c r="N663" s="104"/>
    </row>
    <row r="664">
      <c r="D664" s="112"/>
      <c r="F664" s="113"/>
      <c r="L664" s="12"/>
      <c r="N664" s="104"/>
    </row>
    <row r="665">
      <c r="D665" s="112"/>
      <c r="F665" s="113"/>
      <c r="L665" s="12"/>
      <c r="N665" s="104"/>
    </row>
    <row r="666">
      <c r="D666" s="112"/>
      <c r="F666" s="113"/>
      <c r="L666" s="12"/>
      <c r="N666" s="104"/>
    </row>
    <row r="667">
      <c r="D667" s="112"/>
      <c r="F667" s="113"/>
      <c r="L667" s="12"/>
      <c r="N667" s="104"/>
    </row>
    <row r="668">
      <c r="D668" s="112"/>
      <c r="F668" s="113"/>
      <c r="L668" s="12"/>
      <c r="N668" s="104"/>
    </row>
    <row r="669">
      <c r="D669" s="112"/>
      <c r="F669" s="113"/>
      <c r="L669" s="12"/>
      <c r="N669" s="104"/>
    </row>
    <row r="670">
      <c r="D670" s="112"/>
      <c r="F670" s="113"/>
      <c r="L670" s="12"/>
      <c r="N670" s="104"/>
    </row>
    <row r="671">
      <c r="D671" s="112"/>
      <c r="F671" s="113"/>
      <c r="L671" s="12"/>
      <c r="N671" s="104"/>
    </row>
    <row r="672">
      <c r="D672" s="112"/>
      <c r="F672" s="113"/>
      <c r="L672" s="12"/>
      <c r="N672" s="104"/>
    </row>
    <row r="673">
      <c r="D673" s="112"/>
      <c r="F673" s="113"/>
      <c r="L673" s="12"/>
      <c r="N673" s="104"/>
    </row>
    <row r="674">
      <c r="D674" s="112"/>
      <c r="F674" s="113"/>
      <c r="L674" s="12"/>
      <c r="N674" s="104"/>
    </row>
    <row r="675">
      <c r="D675" s="112"/>
      <c r="F675" s="113"/>
      <c r="L675" s="12"/>
      <c r="N675" s="104"/>
    </row>
    <row r="676">
      <c r="D676" s="112"/>
      <c r="F676" s="113"/>
      <c r="L676" s="12"/>
      <c r="N676" s="104"/>
    </row>
    <row r="677">
      <c r="D677" s="112"/>
      <c r="F677" s="113"/>
      <c r="L677" s="12"/>
      <c r="N677" s="104"/>
    </row>
    <row r="678">
      <c r="D678" s="112"/>
      <c r="F678" s="113"/>
      <c r="L678" s="12"/>
      <c r="N678" s="104"/>
    </row>
    <row r="679">
      <c r="D679" s="112"/>
      <c r="F679" s="113"/>
      <c r="L679" s="12"/>
      <c r="N679" s="104"/>
    </row>
    <row r="680">
      <c r="D680" s="112"/>
      <c r="F680" s="113"/>
      <c r="L680" s="12"/>
      <c r="N680" s="104"/>
    </row>
    <row r="681">
      <c r="D681" s="112"/>
      <c r="F681" s="113"/>
      <c r="L681" s="12"/>
      <c r="N681" s="104"/>
    </row>
    <row r="682">
      <c r="D682" s="112"/>
      <c r="F682" s="113"/>
      <c r="L682" s="12"/>
      <c r="N682" s="104"/>
    </row>
    <row r="683">
      <c r="D683" s="112"/>
      <c r="F683" s="113"/>
      <c r="L683" s="12"/>
      <c r="N683" s="104"/>
    </row>
    <row r="684">
      <c r="D684" s="112"/>
      <c r="F684" s="113"/>
      <c r="L684" s="12"/>
      <c r="N684" s="104"/>
    </row>
    <row r="685">
      <c r="D685" s="112"/>
      <c r="F685" s="113"/>
      <c r="L685" s="12"/>
      <c r="N685" s="104"/>
    </row>
    <row r="686">
      <c r="D686" s="112"/>
      <c r="F686" s="113"/>
      <c r="L686" s="12"/>
      <c r="N686" s="104"/>
    </row>
    <row r="687">
      <c r="D687" s="112"/>
      <c r="F687" s="113"/>
      <c r="L687" s="12"/>
      <c r="N687" s="104"/>
    </row>
    <row r="688">
      <c r="D688" s="112"/>
      <c r="F688" s="113"/>
      <c r="L688" s="12"/>
      <c r="N688" s="104"/>
    </row>
    <row r="689">
      <c r="D689" s="112"/>
      <c r="F689" s="113"/>
      <c r="L689" s="12"/>
      <c r="N689" s="104"/>
    </row>
    <row r="690">
      <c r="D690" s="112"/>
      <c r="F690" s="113"/>
      <c r="L690" s="12"/>
      <c r="N690" s="104"/>
    </row>
    <row r="691">
      <c r="D691" s="112"/>
      <c r="F691" s="113"/>
      <c r="L691" s="12"/>
      <c r="N691" s="104"/>
    </row>
    <row r="692">
      <c r="D692" s="112"/>
      <c r="F692" s="113"/>
      <c r="L692" s="12"/>
      <c r="N692" s="104"/>
    </row>
    <row r="693">
      <c r="D693" s="112"/>
      <c r="F693" s="113"/>
      <c r="L693" s="12"/>
      <c r="N693" s="104"/>
    </row>
    <row r="694">
      <c r="D694" s="112"/>
      <c r="F694" s="113"/>
      <c r="L694" s="12"/>
      <c r="N694" s="104"/>
    </row>
    <row r="695">
      <c r="D695" s="112"/>
      <c r="F695" s="113"/>
      <c r="L695" s="12"/>
      <c r="N695" s="104"/>
    </row>
    <row r="696">
      <c r="D696" s="112"/>
      <c r="F696" s="113"/>
      <c r="L696" s="12"/>
      <c r="N696" s="104"/>
    </row>
    <row r="697">
      <c r="D697" s="112"/>
      <c r="F697" s="113"/>
      <c r="L697" s="12"/>
      <c r="N697" s="104"/>
    </row>
    <row r="698">
      <c r="D698" s="112"/>
      <c r="F698" s="113"/>
      <c r="L698" s="12"/>
      <c r="N698" s="104"/>
    </row>
    <row r="699">
      <c r="D699" s="112"/>
      <c r="F699" s="113"/>
      <c r="L699" s="12"/>
      <c r="N699" s="104"/>
    </row>
    <row r="700">
      <c r="D700" s="112"/>
      <c r="F700" s="113"/>
      <c r="L700" s="12"/>
      <c r="N700" s="104"/>
    </row>
    <row r="701">
      <c r="D701" s="112"/>
      <c r="F701" s="113"/>
      <c r="L701" s="12"/>
      <c r="N701" s="104"/>
    </row>
    <row r="702">
      <c r="D702" s="112"/>
      <c r="F702" s="113"/>
      <c r="L702" s="12"/>
      <c r="N702" s="104"/>
    </row>
    <row r="703">
      <c r="D703" s="112"/>
      <c r="F703" s="113"/>
      <c r="L703" s="12"/>
      <c r="N703" s="104"/>
    </row>
    <row r="704">
      <c r="D704" s="112"/>
      <c r="F704" s="113"/>
      <c r="L704" s="12"/>
      <c r="N704" s="104"/>
    </row>
    <row r="705">
      <c r="D705" s="112"/>
      <c r="F705" s="113"/>
      <c r="L705" s="12"/>
      <c r="N705" s="104"/>
    </row>
    <row r="706">
      <c r="D706" s="112"/>
      <c r="F706" s="113"/>
      <c r="L706" s="12"/>
      <c r="N706" s="104"/>
    </row>
    <row r="707">
      <c r="D707" s="112"/>
      <c r="F707" s="113"/>
      <c r="L707" s="12"/>
      <c r="N707" s="104"/>
    </row>
    <row r="708">
      <c r="D708" s="112"/>
      <c r="F708" s="113"/>
      <c r="L708" s="12"/>
      <c r="N708" s="104"/>
    </row>
    <row r="709">
      <c r="D709" s="112"/>
      <c r="F709" s="113"/>
      <c r="L709" s="12"/>
      <c r="N709" s="104"/>
    </row>
    <row r="710">
      <c r="D710" s="112"/>
      <c r="F710" s="113"/>
      <c r="L710" s="12"/>
      <c r="N710" s="104"/>
    </row>
    <row r="711">
      <c r="D711" s="112"/>
      <c r="F711" s="113"/>
      <c r="L711" s="12"/>
      <c r="N711" s="104"/>
    </row>
    <row r="712">
      <c r="D712" s="112"/>
      <c r="F712" s="113"/>
      <c r="L712" s="12"/>
      <c r="N712" s="104"/>
    </row>
    <row r="713">
      <c r="D713" s="112"/>
      <c r="F713" s="113"/>
      <c r="L713" s="12"/>
      <c r="N713" s="104"/>
    </row>
    <row r="714">
      <c r="D714" s="112"/>
      <c r="F714" s="113"/>
      <c r="L714" s="12"/>
      <c r="N714" s="104"/>
    </row>
    <row r="715">
      <c r="D715" s="112"/>
      <c r="F715" s="113"/>
      <c r="L715" s="12"/>
      <c r="N715" s="104"/>
    </row>
    <row r="716">
      <c r="D716" s="112"/>
      <c r="F716" s="113"/>
      <c r="L716" s="12"/>
      <c r="N716" s="104"/>
    </row>
    <row r="717">
      <c r="D717" s="112"/>
      <c r="F717" s="113"/>
      <c r="L717" s="12"/>
      <c r="N717" s="104"/>
    </row>
    <row r="718">
      <c r="D718" s="112"/>
      <c r="F718" s="113"/>
      <c r="L718" s="12"/>
      <c r="N718" s="104"/>
    </row>
    <row r="719">
      <c r="D719" s="112"/>
      <c r="F719" s="113"/>
      <c r="L719" s="12"/>
      <c r="N719" s="104"/>
    </row>
    <row r="720">
      <c r="D720" s="112"/>
      <c r="F720" s="113"/>
      <c r="L720" s="12"/>
      <c r="N720" s="104"/>
    </row>
    <row r="721">
      <c r="D721" s="112"/>
      <c r="F721" s="113"/>
      <c r="L721" s="12"/>
      <c r="N721" s="104"/>
    </row>
    <row r="722">
      <c r="D722" s="112"/>
      <c r="F722" s="113"/>
      <c r="L722" s="12"/>
      <c r="N722" s="104"/>
    </row>
    <row r="723">
      <c r="D723" s="112"/>
      <c r="F723" s="113"/>
      <c r="L723" s="12"/>
      <c r="N723" s="104"/>
    </row>
    <row r="724">
      <c r="D724" s="112"/>
      <c r="F724" s="113"/>
      <c r="L724" s="12"/>
      <c r="N724" s="104"/>
    </row>
    <row r="725">
      <c r="D725" s="112"/>
      <c r="F725" s="113"/>
      <c r="L725" s="12"/>
      <c r="N725" s="104"/>
    </row>
    <row r="726">
      <c r="D726" s="112"/>
      <c r="F726" s="113"/>
      <c r="L726" s="12"/>
      <c r="N726" s="104"/>
    </row>
    <row r="727">
      <c r="D727" s="112"/>
      <c r="F727" s="113"/>
      <c r="L727" s="12"/>
      <c r="N727" s="104"/>
    </row>
    <row r="728">
      <c r="D728" s="112"/>
      <c r="F728" s="113"/>
      <c r="L728" s="12"/>
      <c r="N728" s="104"/>
    </row>
    <row r="729">
      <c r="D729" s="112"/>
      <c r="F729" s="113"/>
      <c r="L729" s="12"/>
      <c r="N729" s="104"/>
    </row>
    <row r="730">
      <c r="D730" s="112"/>
      <c r="F730" s="113"/>
      <c r="L730" s="12"/>
      <c r="N730" s="104"/>
    </row>
    <row r="731">
      <c r="D731" s="112"/>
      <c r="F731" s="113"/>
      <c r="L731" s="12"/>
      <c r="N731" s="104"/>
    </row>
    <row r="732">
      <c r="D732" s="112"/>
      <c r="F732" s="113"/>
      <c r="L732" s="12"/>
      <c r="N732" s="104"/>
    </row>
    <row r="733">
      <c r="D733" s="112"/>
      <c r="F733" s="113"/>
      <c r="L733" s="12"/>
      <c r="N733" s="104"/>
    </row>
    <row r="734">
      <c r="D734" s="112"/>
      <c r="F734" s="113"/>
      <c r="L734" s="12"/>
      <c r="N734" s="104"/>
    </row>
    <row r="735">
      <c r="D735" s="112"/>
      <c r="F735" s="113"/>
      <c r="L735" s="12"/>
      <c r="N735" s="104"/>
    </row>
    <row r="736">
      <c r="D736" s="112"/>
      <c r="F736" s="113"/>
      <c r="L736" s="12"/>
      <c r="N736" s="104"/>
    </row>
    <row r="737">
      <c r="D737" s="112"/>
      <c r="F737" s="113"/>
      <c r="L737" s="12"/>
      <c r="N737" s="104"/>
    </row>
    <row r="738">
      <c r="D738" s="112"/>
      <c r="F738" s="113"/>
      <c r="L738" s="12"/>
      <c r="N738" s="104"/>
    </row>
    <row r="739">
      <c r="D739" s="112"/>
      <c r="F739" s="113"/>
      <c r="L739" s="12"/>
      <c r="N739" s="104"/>
    </row>
    <row r="740">
      <c r="D740" s="112"/>
      <c r="F740" s="113"/>
      <c r="L740" s="12"/>
      <c r="N740" s="104"/>
    </row>
    <row r="741">
      <c r="D741" s="112"/>
      <c r="F741" s="113"/>
      <c r="L741" s="12"/>
      <c r="N741" s="104"/>
    </row>
    <row r="742">
      <c r="D742" s="112"/>
      <c r="F742" s="113"/>
      <c r="L742" s="12"/>
      <c r="N742" s="104"/>
    </row>
    <row r="743">
      <c r="D743" s="112"/>
      <c r="F743" s="113"/>
      <c r="L743" s="12"/>
      <c r="N743" s="104"/>
    </row>
    <row r="744">
      <c r="D744" s="112"/>
      <c r="F744" s="113"/>
      <c r="L744" s="12"/>
      <c r="N744" s="104"/>
    </row>
    <row r="745">
      <c r="D745" s="112"/>
      <c r="F745" s="113"/>
      <c r="L745" s="12"/>
      <c r="N745" s="104"/>
    </row>
    <row r="746">
      <c r="D746" s="112"/>
      <c r="F746" s="113"/>
      <c r="L746" s="12"/>
      <c r="N746" s="104"/>
    </row>
    <row r="747">
      <c r="D747" s="112"/>
      <c r="F747" s="113"/>
      <c r="L747" s="12"/>
      <c r="N747" s="104"/>
    </row>
    <row r="748">
      <c r="D748" s="112"/>
      <c r="F748" s="113"/>
      <c r="L748" s="12"/>
      <c r="N748" s="104"/>
    </row>
    <row r="749">
      <c r="D749" s="112"/>
      <c r="F749" s="113"/>
      <c r="L749" s="12"/>
      <c r="N749" s="104"/>
    </row>
    <row r="750">
      <c r="D750" s="112"/>
      <c r="F750" s="113"/>
      <c r="L750" s="12"/>
      <c r="N750" s="104"/>
    </row>
    <row r="751">
      <c r="D751" s="112"/>
      <c r="F751" s="113"/>
      <c r="L751" s="12"/>
      <c r="N751" s="104"/>
    </row>
    <row r="752">
      <c r="D752" s="112"/>
      <c r="F752" s="113"/>
      <c r="L752" s="12"/>
      <c r="N752" s="104"/>
    </row>
    <row r="753">
      <c r="D753" s="112"/>
      <c r="F753" s="113"/>
      <c r="L753" s="12"/>
      <c r="N753" s="104"/>
    </row>
    <row r="754">
      <c r="D754" s="112"/>
      <c r="F754" s="113"/>
      <c r="L754" s="12"/>
      <c r="N754" s="104"/>
    </row>
    <row r="755">
      <c r="D755" s="112"/>
      <c r="F755" s="113"/>
      <c r="L755" s="12"/>
      <c r="N755" s="104"/>
    </row>
    <row r="756">
      <c r="D756" s="112"/>
      <c r="F756" s="113"/>
      <c r="L756" s="12"/>
      <c r="N756" s="104"/>
    </row>
    <row r="757">
      <c r="D757" s="112"/>
      <c r="F757" s="113"/>
      <c r="L757" s="12"/>
      <c r="N757" s="104"/>
    </row>
    <row r="758">
      <c r="D758" s="112"/>
      <c r="F758" s="113"/>
      <c r="L758" s="12"/>
      <c r="N758" s="104"/>
    </row>
    <row r="759">
      <c r="D759" s="112"/>
      <c r="F759" s="113"/>
      <c r="L759" s="12"/>
      <c r="N759" s="104"/>
    </row>
    <row r="760">
      <c r="D760" s="112"/>
      <c r="F760" s="113"/>
      <c r="L760" s="12"/>
      <c r="N760" s="104"/>
    </row>
    <row r="761">
      <c r="D761" s="112"/>
      <c r="F761" s="113"/>
      <c r="L761" s="12"/>
      <c r="N761" s="104"/>
    </row>
    <row r="762">
      <c r="D762" s="112"/>
      <c r="F762" s="113"/>
      <c r="L762" s="12"/>
      <c r="N762" s="104"/>
    </row>
    <row r="763">
      <c r="D763" s="112"/>
      <c r="F763" s="113"/>
      <c r="L763" s="12"/>
      <c r="N763" s="104"/>
    </row>
    <row r="764">
      <c r="D764" s="112"/>
      <c r="F764" s="113"/>
      <c r="L764" s="12"/>
      <c r="N764" s="104"/>
    </row>
    <row r="765">
      <c r="D765" s="112"/>
      <c r="F765" s="113"/>
      <c r="L765" s="12"/>
      <c r="N765" s="104"/>
    </row>
    <row r="766">
      <c r="D766" s="112"/>
      <c r="F766" s="113"/>
      <c r="L766" s="12"/>
      <c r="N766" s="104"/>
    </row>
    <row r="767">
      <c r="D767" s="112"/>
      <c r="F767" s="113"/>
      <c r="L767" s="12"/>
      <c r="N767" s="104"/>
    </row>
    <row r="768">
      <c r="D768" s="112"/>
      <c r="F768" s="113"/>
      <c r="L768" s="12"/>
      <c r="N768" s="104"/>
    </row>
    <row r="769">
      <c r="D769" s="112"/>
      <c r="F769" s="113"/>
      <c r="L769" s="12"/>
      <c r="N769" s="104"/>
    </row>
    <row r="770">
      <c r="D770" s="112"/>
      <c r="F770" s="113"/>
      <c r="L770" s="12"/>
      <c r="N770" s="104"/>
    </row>
    <row r="771">
      <c r="D771" s="112"/>
      <c r="F771" s="113"/>
      <c r="L771" s="12"/>
      <c r="N771" s="104"/>
    </row>
    <row r="772">
      <c r="D772" s="112"/>
      <c r="F772" s="113"/>
      <c r="L772" s="12"/>
      <c r="N772" s="104"/>
    </row>
    <row r="773">
      <c r="D773" s="112"/>
      <c r="F773" s="113"/>
      <c r="L773" s="12"/>
      <c r="N773" s="104"/>
    </row>
    <row r="774">
      <c r="D774" s="112"/>
      <c r="F774" s="113"/>
      <c r="L774" s="12"/>
      <c r="N774" s="104"/>
    </row>
    <row r="775">
      <c r="D775" s="112"/>
      <c r="F775" s="113"/>
      <c r="L775" s="12"/>
      <c r="N775" s="104"/>
    </row>
    <row r="776">
      <c r="D776" s="112"/>
      <c r="F776" s="113"/>
      <c r="L776" s="12"/>
      <c r="N776" s="104"/>
    </row>
    <row r="777">
      <c r="D777" s="112"/>
      <c r="F777" s="113"/>
      <c r="L777" s="12"/>
      <c r="N777" s="104"/>
    </row>
    <row r="778">
      <c r="D778" s="112"/>
      <c r="F778" s="113"/>
      <c r="L778" s="12"/>
      <c r="N778" s="104"/>
    </row>
    <row r="779">
      <c r="D779" s="112"/>
      <c r="F779" s="113"/>
      <c r="L779" s="12"/>
      <c r="N779" s="104"/>
    </row>
    <row r="780">
      <c r="D780" s="112"/>
      <c r="F780" s="113"/>
      <c r="L780" s="12"/>
      <c r="N780" s="104"/>
    </row>
    <row r="781">
      <c r="D781" s="112"/>
      <c r="F781" s="113"/>
      <c r="L781" s="12"/>
      <c r="N781" s="104"/>
    </row>
    <row r="782">
      <c r="D782" s="112"/>
      <c r="F782" s="113"/>
      <c r="L782" s="12"/>
      <c r="N782" s="104"/>
    </row>
    <row r="783">
      <c r="D783" s="112"/>
      <c r="F783" s="113"/>
      <c r="L783" s="12"/>
      <c r="N783" s="104"/>
    </row>
    <row r="784">
      <c r="D784" s="112"/>
      <c r="F784" s="113"/>
      <c r="L784" s="12"/>
      <c r="N784" s="104"/>
    </row>
    <row r="785">
      <c r="D785" s="112"/>
      <c r="F785" s="113"/>
      <c r="L785" s="12"/>
      <c r="N785" s="104"/>
    </row>
    <row r="786">
      <c r="D786" s="112"/>
      <c r="F786" s="113"/>
      <c r="L786" s="12"/>
      <c r="N786" s="104"/>
    </row>
    <row r="787">
      <c r="D787" s="112"/>
      <c r="F787" s="113"/>
      <c r="L787" s="12"/>
      <c r="N787" s="104"/>
    </row>
    <row r="788">
      <c r="D788" s="112"/>
      <c r="F788" s="113"/>
      <c r="L788" s="12"/>
      <c r="N788" s="104"/>
    </row>
    <row r="789">
      <c r="D789" s="112"/>
      <c r="F789" s="113"/>
      <c r="L789" s="12"/>
      <c r="N789" s="104"/>
    </row>
    <row r="790">
      <c r="D790" s="112"/>
      <c r="F790" s="113"/>
      <c r="L790" s="12"/>
      <c r="N790" s="104"/>
    </row>
    <row r="791">
      <c r="D791" s="112"/>
      <c r="F791" s="113"/>
      <c r="L791" s="12"/>
      <c r="N791" s="104"/>
    </row>
    <row r="792">
      <c r="D792" s="112"/>
      <c r="F792" s="113"/>
      <c r="L792" s="12"/>
      <c r="N792" s="104"/>
    </row>
    <row r="793">
      <c r="D793" s="112"/>
      <c r="F793" s="113"/>
      <c r="L793" s="12"/>
      <c r="N793" s="104"/>
    </row>
    <row r="794">
      <c r="D794" s="112"/>
      <c r="F794" s="113"/>
      <c r="L794" s="12"/>
      <c r="N794" s="104"/>
    </row>
    <row r="795">
      <c r="D795" s="112"/>
      <c r="F795" s="113"/>
      <c r="L795" s="12"/>
      <c r="N795" s="104"/>
    </row>
    <row r="796">
      <c r="D796" s="112"/>
      <c r="F796" s="113"/>
      <c r="L796" s="12"/>
      <c r="N796" s="104"/>
    </row>
    <row r="797">
      <c r="D797" s="112"/>
      <c r="F797" s="113"/>
      <c r="L797" s="12"/>
      <c r="N797" s="104"/>
    </row>
    <row r="798">
      <c r="D798" s="112"/>
      <c r="F798" s="113"/>
      <c r="L798" s="12"/>
      <c r="N798" s="104"/>
    </row>
    <row r="799">
      <c r="D799" s="112"/>
      <c r="F799" s="113"/>
      <c r="L799" s="12"/>
      <c r="N799" s="104"/>
    </row>
    <row r="800">
      <c r="D800" s="112"/>
      <c r="F800" s="113"/>
      <c r="L800" s="12"/>
      <c r="N800" s="104"/>
    </row>
    <row r="801">
      <c r="D801" s="112"/>
      <c r="F801" s="113"/>
      <c r="L801" s="12"/>
      <c r="N801" s="104"/>
    </row>
    <row r="802">
      <c r="D802" s="112"/>
      <c r="F802" s="113"/>
      <c r="L802" s="12"/>
      <c r="N802" s="104"/>
    </row>
    <row r="803">
      <c r="D803" s="112"/>
      <c r="F803" s="113"/>
      <c r="L803" s="12"/>
      <c r="N803" s="104"/>
    </row>
    <row r="804">
      <c r="D804" s="112"/>
      <c r="F804" s="113"/>
      <c r="L804" s="12"/>
      <c r="N804" s="104"/>
    </row>
    <row r="805">
      <c r="D805" s="112"/>
      <c r="F805" s="113"/>
      <c r="L805" s="12"/>
      <c r="N805" s="104"/>
    </row>
    <row r="806">
      <c r="D806" s="112"/>
      <c r="F806" s="113"/>
      <c r="L806" s="12"/>
      <c r="N806" s="104"/>
    </row>
    <row r="807">
      <c r="D807" s="112"/>
      <c r="F807" s="113"/>
      <c r="L807" s="12"/>
      <c r="N807" s="104"/>
    </row>
    <row r="808">
      <c r="D808" s="112"/>
      <c r="F808" s="113"/>
      <c r="L808" s="12"/>
      <c r="N808" s="104"/>
    </row>
    <row r="809">
      <c r="D809" s="112"/>
      <c r="F809" s="113"/>
      <c r="L809" s="12"/>
      <c r="N809" s="104"/>
    </row>
    <row r="810">
      <c r="D810" s="112"/>
      <c r="F810" s="113"/>
      <c r="L810" s="12"/>
      <c r="N810" s="104"/>
    </row>
    <row r="811">
      <c r="D811" s="112"/>
      <c r="F811" s="113"/>
      <c r="L811" s="12"/>
      <c r="N811" s="104"/>
    </row>
    <row r="812">
      <c r="D812" s="112"/>
      <c r="F812" s="113"/>
      <c r="L812" s="12"/>
      <c r="N812" s="104"/>
    </row>
    <row r="813">
      <c r="D813" s="112"/>
      <c r="F813" s="113"/>
      <c r="L813" s="12"/>
      <c r="N813" s="104"/>
    </row>
    <row r="814">
      <c r="D814" s="112"/>
      <c r="F814" s="113"/>
      <c r="L814" s="12"/>
      <c r="N814" s="104"/>
    </row>
    <row r="815">
      <c r="D815" s="112"/>
      <c r="F815" s="113"/>
      <c r="L815" s="12"/>
      <c r="N815" s="104"/>
    </row>
    <row r="816">
      <c r="D816" s="112"/>
      <c r="F816" s="113"/>
      <c r="L816" s="12"/>
      <c r="N816" s="104"/>
    </row>
    <row r="817">
      <c r="D817" s="112"/>
      <c r="F817" s="113"/>
      <c r="L817" s="12"/>
      <c r="N817" s="104"/>
    </row>
    <row r="818">
      <c r="D818" s="112"/>
      <c r="F818" s="113"/>
      <c r="L818" s="12"/>
      <c r="N818" s="104"/>
    </row>
    <row r="819">
      <c r="D819" s="112"/>
      <c r="F819" s="113"/>
      <c r="L819" s="12"/>
      <c r="N819" s="104"/>
    </row>
    <row r="820">
      <c r="D820" s="112"/>
      <c r="F820" s="113"/>
      <c r="L820" s="12"/>
      <c r="N820" s="104"/>
    </row>
    <row r="821">
      <c r="D821" s="112"/>
      <c r="F821" s="113"/>
      <c r="L821" s="12"/>
      <c r="N821" s="104"/>
    </row>
    <row r="822">
      <c r="D822" s="112"/>
      <c r="F822" s="113"/>
      <c r="L822" s="12"/>
      <c r="N822" s="104"/>
    </row>
    <row r="823">
      <c r="D823" s="112"/>
      <c r="F823" s="113"/>
      <c r="L823" s="12"/>
      <c r="N823" s="104"/>
    </row>
    <row r="824">
      <c r="D824" s="112"/>
      <c r="F824" s="113"/>
      <c r="L824" s="12"/>
      <c r="N824" s="104"/>
    </row>
    <row r="825">
      <c r="D825" s="112"/>
      <c r="F825" s="113"/>
      <c r="L825" s="12"/>
      <c r="N825" s="104"/>
    </row>
    <row r="826">
      <c r="D826" s="112"/>
      <c r="F826" s="113"/>
      <c r="L826" s="12"/>
      <c r="N826" s="104"/>
    </row>
    <row r="827">
      <c r="D827" s="112"/>
      <c r="F827" s="113"/>
      <c r="L827" s="12"/>
      <c r="N827" s="104"/>
    </row>
    <row r="828">
      <c r="D828" s="112"/>
      <c r="F828" s="113"/>
      <c r="L828" s="12"/>
      <c r="N828" s="104"/>
    </row>
    <row r="829">
      <c r="D829" s="112"/>
      <c r="F829" s="113"/>
      <c r="L829" s="12"/>
      <c r="N829" s="104"/>
    </row>
    <row r="830">
      <c r="D830" s="112"/>
      <c r="F830" s="113"/>
      <c r="L830" s="12"/>
      <c r="N830" s="104"/>
    </row>
    <row r="831">
      <c r="D831" s="112"/>
      <c r="F831" s="113"/>
      <c r="L831" s="12"/>
      <c r="N831" s="104"/>
    </row>
    <row r="832">
      <c r="D832" s="112"/>
      <c r="F832" s="113"/>
      <c r="L832" s="12"/>
      <c r="N832" s="104"/>
    </row>
    <row r="833">
      <c r="D833" s="112"/>
      <c r="F833" s="113"/>
      <c r="L833" s="12"/>
      <c r="N833" s="104"/>
    </row>
    <row r="834">
      <c r="D834" s="112"/>
      <c r="F834" s="113"/>
      <c r="L834" s="12"/>
      <c r="N834" s="104"/>
    </row>
    <row r="835">
      <c r="D835" s="112"/>
      <c r="F835" s="113"/>
      <c r="L835" s="12"/>
      <c r="N835" s="104"/>
    </row>
    <row r="836">
      <c r="D836" s="112"/>
      <c r="F836" s="113"/>
      <c r="L836" s="12"/>
      <c r="N836" s="104"/>
    </row>
    <row r="837">
      <c r="D837" s="112"/>
      <c r="F837" s="113"/>
      <c r="L837" s="12"/>
      <c r="N837" s="104"/>
    </row>
    <row r="838">
      <c r="D838" s="112"/>
      <c r="F838" s="113"/>
      <c r="L838" s="12"/>
      <c r="N838" s="104"/>
    </row>
    <row r="839">
      <c r="D839" s="112"/>
      <c r="F839" s="113"/>
      <c r="L839" s="12"/>
      <c r="N839" s="104"/>
    </row>
    <row r="840">
      <c r="D840" s="112"/>
      <c r="F840" s="113"/>
      <c r="L840" s="12"/>
      <c r="N840" s="104"/>
    </row>
    <row r="841">
      <c r="D841" s="112"/>
      <c r="F841" s="113"/>
      <c r="L841" s="12"/>
      <c r="N841" s="104"/>
    </row>
    <row r="842">
      <c r="D842" s="112"/>
      <c r="F842" s="113"/>
      <c r="L842" s="12"/>
      <c r="N842" s="104"/>
    </row>
    <row r="843">
      <c r="D843" s="112"/>
      <c r="F843" s="113"/>
      <c r="L843" s="12"/>
      <c r="N843" s="104"/>
    </row>
    <row r="844">
      <c r="D844" s="112"/>
      <c r="F844" s="113"/>
      <c r="L844" s="12"/>
      <c r="N844" s="104"/>
    </row>
    <row r="845">
      <c r="D845" s="112"/>
      <c r="F845" s="113"/>
      <c r="L845" s="12"/>
      <c r="N845" s="104"/>
    </row>
    <row r="846">
      <c r="D846" s="112"/>
      <c r="F846" s="113"/>
      <c r="L846" s="12"/>
      <c r="N846" s="104"/>
    </row>
    <row r="847">
      <c r="D847" s="112"/>
      <c r="F847" s="113"/>
      <c r="L847" s="12"/>
      <c r="N847" s="104"/>
    </row>
    <row r="848">
      <c r="D848" s="112"/>
      <c r="F848" s="113"/>
      <c r="L848" s="12"/>
      <c r="N848" s="104"/>
    </row>
    <row r="849">
      <c r="D849" s="112"/>
      <c r="F849" s="113"/>
      <c r="L849" s="12"/>
      <c r="N849" s="104"/>
    </row>
    <row r="850">
      <c r="D850" s="112"/>
      <c r="F850" s="113"/>
      <c r="L850" s="12"/>
      <c r="N850" s="104"/>
    </row>
    <row r="851">
      <c r="D851" s="112"/>
      <c r="F851" s="113"/>
      <c r="L851" s="12"/>
      <c r="N851" s="104"/>
    </row>
    <row r="852">
      <c r="D852" s="112"/>
      <c r="F852" s="113"/>
      <c r="L852" s="12"/>
      <c r="N852" s="104"/>
    </row>
    <row r="853">
      <c r="D853" s="112"/>
      <c r="F853" s="113"/>
      <c r="L853" s="12"/>
      <c r="N853" s="104"/>
    </row>
    <row r="854">
      <c r="D854" s="112"/>
      <c r="F854" s="113"/>
      <c r="L854" s="12"/>
      <c r="N854" s="104"/>
    </row>
    <row r="855">
      <c r="D855" s="112"/>
      <c r="F855" s="113"/>
      <c r="L855" s="12"/>
      <c r="N855" s="104"/>
    </row>
    <row r="856">
      <c r="D856" s="112"/>
      <c r="F856" s="113"/>
      <c r="L856" s="12"/>
      <c r="N856" s="104"/>
    </row>
    <row r="857">
      <c r="D857" s="112"/>
      <c r="F857" s="113"/>
      <c r="L857" s="12"/>
      <c r="N857" s="104"/>
    </row>
    <row r="858">
      <c r="D858" s="112"/>
      <c r="F858" s="113"/>
      <c r="L858" s="12"/>
      <c r="N858" s="104"/>
    </row>
    <row r="859">
      <c r="D859" s="112"/>
      <c r="F859" s="113"/>
      <c r="L859" s="12"/>
      <c r="N859" s="104"/>
    </row>
    <row r="860">
      <c r="D860" s="112"/>
      <c r="F860" s="113"/>
      <c r="L860" s="12"/>
      <c r="N860" s="104"/>
    </row>
    <row r="861">
      <c r="D861" s="112"/>
      <c r="F861" s="113"/>
      <c r="L861" s="12"/>
      <c r="N861" s="104"/>
    </row>
    <row r="862">
      <c r="D862" s="112"/>
      <c r="F862" s="113"/>
      <c r="L862" s="12"/>
      <c r="N862" s="104"/>
    </row>
    <row r="863">
      <c r="D863" s="112"/>
      <c r="F863" s="113"/>
      <c r="L863" s="12"/>
      <c r="N863" s="104"/>
    </row>
    <row r="864">
      <c r="D864" s="112"/>
      <c r="F864" s="113"/>
      <c r="L864" s="12"/>
      <c r="N864" s="104"/>
    </row>
    <row r="865">
      <c r="D865" s="112"/>
      <c r="F865" s="113"/>
      <c r="L865" s="12"/>
      <c r="N865" s="104"/>
    </row>
    <row r="866">
      <c r="D866" s="112"/>
      <c r="F866" s="113"/>
      <c r="L866" s="12"/>
      <c r="N866" s="104"/>
    </row>
    <row r="867">
      <c r="D867" s="112"/>
      <c r="F867" s="113"/>
      <c r="L867" s="12"/>
      <c r="N867" s="104"/>
    </row>
    <row r="868">
      <c r="D868" s="112"/>
      <c r="F868" s="113"/>
      <c r="L868" s="12"/>
      <c r="N868" s="104"/>
    </row>
    <row r="869">
      <c r="D869" s="112"/>
      <c r="F869" s="113"/>
      <c r="L869" s="12"/>
      <c r="N869" s="104"/>
    </row>
    <row r="870">
      <c r="D870" s="112"/>
      <c r="F870" s="113"/>
      <c r="L870" s="12"/>
      <c r="N870" s="104"/>
    </row>
    <row r="871">
      <c r="D871" s="112"/>
      <c r="F871" s="113"/>
      <c r="L871" s="12"/>
      <c r="N871" s="104"/>
    </row>
    <row r="872">
      <c r="D872" s="112"/>
      <c r="F872" s="113"/>
      <c r="L872" s="12"/>
      <c r="N872" s="104"/>
    </row>
    <row r="873">
      <c r="D873" s="112"/>
      <c r="F873" s="113"/>
      <c r="L873" s="12"/>
      <c r="N873" s="104"/>
    </row>
    <row r="874">
      <c r="D874" s="112"/>
      <c r="F874" s="113"/>
      <c r="L874" s="12"/>
      <c r="N874" s="104"/>
    </row>
    <row r="875">
      <c r="D875" s="112"/>
      <c r="F875" s="113"/>
      <c r="L875" s="12"/>
      <c r="N875" s="104"/>
    </row>
    <row r="876">
      <c r="D876" s="112"/>
      <c r="F876" s="113"/>
      <c r="L876" s="12"/>
      <c r="N876" s="104"/>
    </row>
    <row r="877">
      <c r="D877" s="112"/>
      <c r="F877" s="113"/>
      <c r="L877" s="12"/>
      <c r="N877" s="104"/>
    </row>
    <row r="878">
      <c r="D878" s="112"/>
      <c r="F878" s="113"/>
      <c r="L878" s="12"/>
      <c r="N878" s="104"/>
    </row>
    <row r="879">
      <c r="D879" s="112"/>
      <c r="F879" s="113"/>
      <c r="L879" s="12"/>
      <c r="N879" s="104"/>
    </row>
    <row r="880">
      <c r="D880" s="112"/>
      <c r="F880" s="113"/>
      <c r="L880" s="12"/>
      <c r="N880" s="104"/>
    </row>
    <row r="881">
      <c r="D881" s="112"/>
      <c r="F881" s="113"/>
      <c r="L881" s="12"/>
      <c r="N881" s="104"/>
    </row>
    <row r="882">
      <c r="D882" s="112"/>
      <c r="F882" s="113"/>
      <c r="L882" s="12"/>
      <c r="N882" s="104"/>
    </row>
    <row r="883">
      <c r="D883" s="112"/>
      <c r="F883" s="113"/>
      <c r="L883" s="12"/>
      <c r="N883" s="104"/>
    </row>
    <row r="884">
      <c r="D884" s="112"/>
      <c r="F884" s="113"/>
      <c r="L884" s="12"/>
      <c r="N884" s="104"/>
    </row>
    <row r="885">
      <c r="D885" s="112"/>
      <c r="F885" s="113"/>
      <c r="L885" s="12"/>
      <c r="N885" s="104"/>
    </row>
    <row r="886">
      <c r="D886" s="112"/>
      <c r="F886" s="113"/>
      <c r="L886" s="12"/>
      <c r="N886" s="104"/>
    </row>
    <row r="887">
      <c r="D887" s="112"/>
      <c r="F887" s="113"/>
      <c r="L887" s="12"/>
      <c r="N887" s="104"/>
    </row>
    <row r="888">
      <c r="D888" s="112"/>
      <c r="F888" s="113"/>
      <c r="L888" s="12"/>
      <c r="N888" s="104"/>
    </row>
    <row r="889">
      <c r="D889" s="112"/>
      <c r="F889" s="113"/>
      <c r="L889" s="12"/>
      <c r="N889" s="104"/>
    </row>
    <row r="890">
      <c r="D890" s="112"/>
      <c r="F890" s="113"/>
      <c r="L890" s="12"/>
      <c r="N890" s="104"/>
    </row>
    <row r="891">
      <c r="D891" s="112"/>
      <c r="F891" s="113"/>
      <c r="L891" s="12"/>
      <c r="N891" s="104"/>
    </row>
    <row r="892">
      <c r="D892" s="112"/>
      <c r="F892" s="113"/>
      <c r="L892" s="12"/>
      <c r="N892" s="104"/>
    </row>
    <row r="893">
      <c r="D893" s="112"/>
      <c r="F893" s="113"/>
      <c r="L893" s="12"/>
      <c r="N893" s="104"/>
    </row>
    <row r="894">
      <c r="D894" s="112"/>
      <c r="F894" s="113"/>
      <c r="L894" s="12"/>
      <c r="N894" s="104"/>
    </row>
    <row r="895">
      <c r="D895" s="112"/>
      <c r="F895" s="113"/>
      <c r="L895" s="12"/>
      <c r="N895" s="104"/>
    </row>
    <row r="896">
      <c r="D896" s="112"/>
      <c r="F896" s="113"/>
      <c r="L896" s="12"/>
      <c r="N896" s="104"/>
    </row>
    <row r="897">
      <c r="D897" s="112"/>
      <c r="F897" s="113"/>
      <c r="L897" s="12"/>
      <c r="N897" s="104"/>
    </row>
    <row r="898">
      <c r="D898" s="112"/>
      <c r="F898" s="113"/>
      <c r="L898" s="12"/>
      <c r="N898" s="104"/>
    </row>
    <row r="899">
      <c r="D899" s="112"/>
      <c r="F899" s="113"/>
      <c r="L899" s="12"/>
      <c r="N899" s="104"/>
    </row>
    <row r="900">
      <c r="D900" s="112"/>
      <c r="F900" s="113"/>
      <c r="L900" s="12"/>
      <c r="N900" s="104"/>
    </row>
    <row r="901">
      <c r="D901" s="112"/>
      <c r="F901" s="113"/>
      <c r="L901" s="12"/>
      <c r="N901" s="104"/>
    </row>
    <row r="902">
      <c r="D902" s="112"/>
      <c r="F902" s="113"/>
      <c r="L902" s="12"/>
      <c r="N902" s="104"/>
    </row>
    <row r="903">
      <c r="D903" s="112"/>
      <c r="F903" s="113"/>
      <c r="L903" s="12"/>
      <c r="N903" s="104"/>
    </row>
    <row r="904">
      <c r="D904" s="112"/>
      <c r="F904" s="113"/>
      <c r="L904" s="12"/>
      <c r="N904" s="104"/>
    </row>
    <row r="905">
      <c r="D905" s="112"/>
      <c r="F905" s="113"/>
      <c r="L905" s="12"/>
      <c r="N905" s="104"/>
    </row>
    <row r="906">
      <c r="D906" s="112"/>
      <c r="F906" s="113"/>
      <c r="L906" s="12"/>
      <c r="N906" s="104"/>
    </row>
    <row r="907">
      <c r="D907" s="112"/>
      <c r="F907" s="113"/>
      <c r="L907" s="12"/>
      <c r="N907" s="104"/>
    </row>
    <row r="908">
      <c r="D908" s="112"/>
      <c r="F908" s="113"/>
      <c r="L908" s="12"/>
      <c r="N908" s="104"/>
    </row>
    <row r="909">
      <c r="D909" s="112"/>
      <c r="F909" s="113"/>
      <c r="L909" s="12"/>
      <c r="N909" s="104"/>
    </row>
    <row r="910">
      <c r="D910" s="112"/>
      <c r="F910" s="113"/>
      <c r="L910" s="12"/>
      <c r="N910" s="104"/>
    </row>
    <row r="911">
      <c r="D911" s="112"/>
      <c r="F911" s="113"/>
      <c r="L911" s="12"/>
      <c r="N911" s="104"/>
    </row>
    <row r="912">
      <c r="D912" s="112"/>
      <c r="F912" s="113"/>
      <c r="L912" s="12"/>
      <c r="N912" s="104"/>
    </row>
    <row r="913">
      <c r="D913" s="112"/>
      <c r="F913" s="113"/>
      <c r="L913" s="12"/>
      <c r="N913" s="104"/>
    </row>
    <row r="914">
      <c r="D914" s="112"/>
      <c r="F914" s="113"/>
      <c r="L914" s="12"/>
      <c r="N914" s="104"/>
    </row>
    <row r="915">
      <c r="D915" s="112"/>
      <c r="F915" s="113"/>
      <c r="L915" s="12"/>
      <c r="N915" s="104"/>
    </row>
    <row r="916">
      <c r="D916" s="112"/>
      <c r="F916" s="113"/>
      <c r="L916" s="12"/>
      <c r="N916" s="104"/>
    </row>
    <row r="917">
      <c r="D917" s="112"/>
      <c r="F917" s="113"/>
      <c r="L917" s="12"/>
      <c r="N917" s="104"/>
    </row>
    <row r="918">
      <c r="D918" s="112"/>
      <c r="F918" s="113"/>
      <c r="L918" s="12"/>
      <c r="N918" s="104"/>
    </row>
    <row r="919">
      <c r="D919" s="112"/>
      <c r="F919" s="113"/>
      <c r="L919" s="12"/>
      <c r="N919" s="104"/>
    </row>
    <row r="920">
      <c r="D920" s="112"/>
      <c r="F920" s="113"/>
      <c r="L920" s="12"/>
      <c r="N920" s="104"/>
    </row>
    <row r="921">
      <c r="D921" s="112"/>
      <c r="F921" s="113"/>
      <c r="L921" s="12"/>
      <c r="N921" s="104"/>
    </row>
    <row r="922">
      <c r="D922" s="112"/>
      <c r="F922" s="113"/>
      <c r="L922" s="12"/>
      <c r="N922" s="104"/>
    </row>
    <row r="923">
      <c r="D923" s="112"/>
      <c r="F923" s="113"/>
      <c r="L923" s="12"/>
      <c r="N923" s="104"/>
    </row>
    <row r="924">
      <c r="D924" s="112"/>
      <c r="F924" s="113"/>
      <c r="L924" s="12"/>
      <c r="N924" s="104"/>
    </row>
    <row r="925">
      <c r="D925" s="112"/>
      <c r="F925" s="113"/>
      <c r="L925" s="12"/>
      <c r="N925" s="104"/>
    </row>
    <row r="926">
      <c r="D926" s="112"/>
      <c r="F926" s="113"/>
      <c r="L926" s="12"/>
      <c r="N926" s="104"/>
    </row>
    <row r="927">
      <c r="D927" s="112"/>
      <c r="F927" s="113"/>
      <c r="L927" s="12"/>
      <c r="N927" s="104"/>
    </row>
    <row r="928">
      <c r="D928" s="112"/>
      <c r="F928" s="113"/>
      <c r="L928" s="12"/>
      <c r="N928" s="104"/>
    </row>
    <row r="929">
      <c r="D929" s="112"/>
      <c r="F929" s="113"/>
      <c r="L929" s="12"/>
      <c r="N929" s="104"/>
    </row>
    <row r="930">
      <c r="D930" s="112"/>
      <c r="F930" s="113"/>
      <c r="L930" s="12"/>
      <c r="N930" s="104"/>
    </row>
    <row r="931">
      <c r="D931" s="112"/>
      <c r="F931" s="113"/>
      <c r="L931" s="12"/>
      <c r="N931" s="104"/>
    </row>
    <row r="932">
      <c r="D932" s="112"/>
      <c r="F932" s="113"/>
      <c r="L932" s="12"/>
      <c r="N932" s="104"/>
    </row>
    <row r="933">
      <c r="D933" s="112"/>
      <c r="F933" s="113"/>
      <c r="L933" s="12"/>
      <c r="N933" s="104"/>
    </row>
    <row r="934">
      <c r="D934" s="112"/>
      <c r="F934" s="113"/>
      <c r="L934" s="12"/>
      <c r="N934" s="104"/>
    </row>
    <row r="935">
      <c r="D935" s="112"/>
      <c r="F935" s="113"/>
      <c r="L935" s="12"/>
      <c r="N935" s="104"/>
    </row>
    <row r="936">
      <c r="D936" s="112"/>
      <c r="F936" s="113"/>
      <c r="L936" s="12"/>
      <c r="N936" s="104"/>
    </row>
    <row r="937">
      <c r="D937" s="112"/>
      <c r="F937" s="113"/>
      <c r="L937" s="12"/>
      <c r="N937" s="104"/>
    </row>
    <row r="938">
      <c r="D938" s="112"/>
      <c r="F938" s="113"/>
      <c r="L938" s="12"/>
      <c r="N938" s="104"/>
    </row>
    <row r="939">
      <c r="D939" s="112"/>
      <c r="F939" s="113"/>
      <c r="L939" s="12"/>
      <c r="N939" s="104"/>
    </row>
    <row r="940">
      <c r="D940" s="112"/>
      <c r="F940" s="113"/>
      <c r="L940" s="12"/>
      <c r="N940" s="104"/>
    </row>
    <row r="941">
      <c r="D941" s="112"/>
      <c r="F941" s="113"/>
      <c r="L941" s="12"/>
      <c r="N941" s="104"/>
    </row>
    <row r="942">
      <c r="D942" s="112"/>
      <c r="F942" s="113"/>
      <c r="L942" s="12"/>
      <c r="N942" s="104"/>
    </row>
    <row r="943">
      <c r="D943" s="112"/>
      <c r="F943" s="113"/>
      <c r="L943" s="12"/>
      <c r="N943" s="104"/>
    </row>
    <row r="944">
      <c r="D944" s="112"/>
      <c r="F944" s="113"/>
      <c r="L944" s="12"/>
      <c r="N944" s="104"/>
    </row>
    <row r="945">
      <c r="D945" s="112"/>
      <c r="F945" s="113"/>
      <c r="L945" s="12"/>
      <c r="N945" s="104"/>
    </row>
    <row r="946">
      <c r="D946" s="112"/>
      <c r="F946" s="113"/>
      <c r="L946" s="12"/>
      <c r="N946" s="104"/>
    </row>
    <row r="947">
      <c r="D947" s="112"/>
      <c r="F947" s="113"/>
      <c r="L947" s="12"/>
      <c r="N947" s="104"/>
    </row>
    <row r="948">
      <c r="D948" s="112"/>
      <c r="F948" s="113"/>
      <c r="L948" s="12"/>
      <c r="N948" s="104"/>
    </row>
    <row r="949">
      <c r="D949" s="112"/>
      <c r="F949" s="113"/>
      <c r="L949" s="12"/>
      <c r="N949" s="104"/>
    </row>
    <row r="950">
      <c r="D950" s="112"/>
      <c r="F950" s="113"/>
      <c r="L950" s="12"/>
      <c r="N950" s="104"/>
    </row>
    <row r="951">
      <c r="D951" s="112"/>
      <c r="F951" s="113"/>
      <c r="L951" s="12"/>
      <c r="N951" s="104"/>
    </row>
    <row r="952">
      <c r="D952" s="112"/>
      <c r="F952" s="113"/>
      <c r="L952" s="12"/>
      <c r="N952" s="104"/>
    </row>
    <row r="953">
      <c r="D953" s="112"/>
      <c r="F953" s="113"/>
      <c r="L953" s="12"/>
      <c r="N953" s="104"/>
    </row>
    <row r="954">
      <c r="D954" s="112"/>
      <c r="F954" s="113"/>
      <c r="L954" s="12"/>
      <c r="N954" s="104"/>
    </row>
    <row r="955">
      <c r="D955" s="112"/>
      <c r="F955" s="113"/>
      <c r="L955" s="12"/>
      <c r="N955" s="104"/>
    </row>
    <row r="956">
      <c r="D956" s="112"/>
      <c r="F956" s="113"/>
      <c r="L956" s="12"/>
      <c r="N956" s="104"/>
    </row>
    <row r="957">
      <c r="D957" s="112"/>
      <c r="F957" s="113"/>
      <c r="L957" s="12"/>
      <c r="N957" s="104"/>
    </row>
    <row r="958">
      <c r="D958" s="112"/>
      <c r="F958" s="113"/>
      <c r="L958" s="12"/>
      <c r="N958" s="104"/>
    </row>
    <row r="959">
      <c r="D959" s="112"/>
      <c r="F959" s="113"/>
      <c r="L959" s="12"/>
      <c r="N959" s="104"/>
    </row>
    <row r="960">
      <c r="D960" s="112"/>
      <c r="F960" s="113"/>
      <c r="L960" s="12"/>
      <c r="N960" s="104"/>
    </row>
    <row r="961">
      <c r="D961" s="112"/>
      <c r="F961" s="113"/>
      <c r="L961" s="12"/>
      <c r="N961" s="104"/>
    </row>
    <row r="962">
      <c r="D962" s="112"/>
      <c r="F962" s="113"/>
      <c r="L962" s="12"/>
      <c r="N962" s="104"/>
    </row>
    <row r="963">
      <c r="D963" s="112"/>
      <c r="F963" s="113"/>
      <c r="L963" s="12"/>
      <c r="N963" s="104"/>
    </row>
    <row r="964">
      <c r="D964" s="112"/>
      <c r="F964" s="113"/>
      <c r="L964" s="12"/>
      <c r="N964" s="104"/>
    </row>
    <row r="965">
      <c r="D965" s="112"/>
      <c r="F965" s="113"/>
      <c r="L965" s="12"/>
      <c r="N965" s="104"/>
    </row>
    <row r="966">
      <c r="D966" s="112"/>
      <c r="F966" s="113"/>
      <c r="L966" s="12"/>
      <c r="N966" s="104"/>
    </row>
    <row r="967">
      <c r="D967" s="112"/>
      <c r="F967" s="113"/>
      <c r="L967" s="12"/>
      <c r="N967" s="104"/>
    </row>
    <row r="968">
      <c r="D968" s="112"/>
      <c r="F968" s="113"/>
      <c r="L968" s="12"/>
      <c r="N968" s="104"/>
    </row>
    <row r="969">
      <c r="D969" s="112"/>
      <c r="F969" s="113"/>
      <c r="L969" s="12"/>
      <c r="N969" s="104"/>
    </row>
    <row r="970">
      <c r="D970" s="112"/>
      <c r="F970" s="113"/>
      <c r="L970" s="12"/>
      <c r="N970" s="104"/>
    </row>
    <row r="971">
      <c r="D971" s="112"/>
      <c r="F971" s="113"/>
      <c r="L971" s="12"/>
      <c r="N971" s="104"/>
    </row>
    <row r="972">
      <c r="D972" s="112"/>
      <c r="F972" s="113"/>
      <c r="L972" s="12"/>
      <c r="N972" s="104"/>
    </row>
    <row r="973">
      <c r="D973" s="112"/>
      <c r="F973" s="113"/>
      <c r="L973" s="12"/>
      <c r="N973" s="104"/>
    </row>
    <row r="974">
      <c r="D974" s="112"/>
      <c r="F974" s="113"/>
      <c r="L974" s="12"/>
      <c r="N974" s="104"/>
    </row>
    <row r="975">
      <c r="D975" s="112"/>
      <c r="F975" s="113"/>
      <c r="L975" s="12"/>
      <c r="N975" s="104"/>
    </row>
    <row r="976">
      <c r="D976" s="112"/>
      <c r="F976" s="113"/>
      <c r="L976" s="12"/>
      <c r="N976" s="104"/>
    </row>
    <row r="977">
      <c r="D977" s="112"/>
      <c r="F977" s="113"/>
      <c r="L977" s="12"/>
      <c r="N977" s="104"/>
    </row>
    <row r="978">
      <c r="D978" s="112"/>
      <c r="F978" s="113"/>
      <c r="L978" s="12"/>
      <c r="N978" s="104"/>
    </row>
    <row r="979">
      <c r="D979" s="112"/>
      <c r="F979" s="113"/>
      <c r="L979" s="12"/>
      <c r="N979" s="104"/>
    </row>
    <row r="980">
      <c r="D980" s="112"/>
      <c r="F980" s="113"/>
      <c r="L980" s="12"/>
      <c r="N980" s="104"/>
    </row>
    <row r="981">
      <c r="D981" s="112"/>
      <c r="F981" s="113"/>
      <c r="L981" s="12"/>
      <c r="N981" s="104"/>
    </row>
    <row r="982">
      <c r="D982" s="112"/>
      <c r="F982" s="113"/>
      <c r="L982" s="12"/>
      <c r="N982" s="104"/>
    </row>
    <row r="983">
      <c r="D983" s="112"/>
      <c r="F983" s="113"/>
      <c r="L983" s="12"/>
      <c r="N983" s="104"/>
    </row>
    <row r="984">
      <c r="D984" s="112"/>
      <c r="F984" s="113"/>
      <c r="L984" s="12"/>
      <c r="N984" s="104"/>
    </row>
    <row r="985">
      <c r="D985" s="112"/>
      <c r="F985" s="113"/>
      <c r="L985" s="12"/>
      <c r="N985" s="104"/>
    </row>
    <row r="986">
      <c r="D986" s="112"/>
      <c r="F986" s="113"/>
      <c r="L986" s="12"/>
      <c r="N986" s="104"/>
    </row>
    <row r="987">
      <c r="D987" s="112"/>
      <c r="F987" s="113"/>
      <c r="L987" s="12"/>
      <c r="N987" s="104"/>
    </row>
    <row r="988">
      <c r="D988" s="112"/>
      <c r="F988" s="113"/>
      <c r="L988" s="12"/>
      <c r="N988" s="104"/>
    </row>
    <row r="989">
      <c r="D989" s="112"/>
      <c r="F989" s="113"/>
      <c r="L989" s="12"/>
      <c r="N989" s="104"/>
    </row>
    <row r="990">
      <c r="D990" s="112"/>
      <c r="F990" s="113"/>
      <c r="L990" s="12"/>
      <c r="N990" s="104"/>
    </row>
    <row r="991">
      <c r="D991" s="112"/>
      <c r="F991" s="113"/>
      <c r="L991" s="12"/>
      <c r="N991" s="104"/>
    </row>
    <row r="992">
      <c r="D992" s="112"/>
      <c r="F992" s="113"/>
      <c r="L992" s="12"/>
      <c r="N992" s="104"/>
    </row>
    <row r="993">
      <c r="D993" s="112"/>
      <c r="F993" s="113"/>
      <c r="L993" s="12"/>
      <c r="N993" s="104"/>
    </row>
    <row r="994">
      <c r="D994" s="112"/>
      <c r="F994" s="113"/>
      <c r="L994" s="12"/>
      <c r="N994" s="104"/>
    </row>
    <row r="995">
      <c r="D995" s="112"/>
      <c r="F995" s="113"/>
      <c r="L995" s="12"/>
      <c r="N995" s="104"/>
    </row>
    <row r="996">
      <c r="D996" s="112"/>
      <c r="F996" s="113"/>
      <c r="L996" s="12"/>
      <c r="N996" s="104"/>
    </row>
    <row r="997">
      <c r="D997" s="112"/>
      <c r="F997" s="113"/>
      <c r="L997" s="12"/>
      <c r="N997" s="104"/>
    </row>
    <row r="998">
      <c r="D998" s="112"/>
      <c r="F998" s="113"/>
      <c r="L998" s="12"/>
      <c r="N998" s="104"/>
    </row>
    <row r="999">
      <c r="D999" s="112"/>
      <c r="F999" s="113"/>
      <c r="L999" s="12"/>
      <c r="N999" s="104"/>
    </row>
    <row r="1000">
      <c r="D1000" s="112"/>
      <c r="F1000" s="113"/>
      <c r="L1000" s="12"/>
      <c r="N1000" s="104"/>
    </row>
    <row r="1001">
      <c r="D1001" s="112"/>
      <c r="F1001" s="113"/>
      <c r="L1001" s="12"/>
      <c r="N1001" s="104"/>
    </row>
  </sheetData>
  <autoFilter ref="$A$2:$N$15"/>
  <mergeCells count="2">
    <mergeCell ref="D1:F1"/>
    <mergeCell ref="G1:K1"/>
  </mergeCells>
  <conditionalFormatting sqref="L3:L14">
    <cfRule type="cellIs" dxfId="0" priority="1" operator="equal">
      <formula>"Si"</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13" max="13" width="20.5"/>
    <col customWidth="1" min="16" max="16" width="15.13"/>
    <col customWidth="1" min="29" max="29" width="65.13"/>
  </cols>
  <sheetData>
    <row r="1">
      <c r="A1" s="1" t="s">
        <v>0</v>
      </c>
      <c r="B1" s="2" t="s">
        <v>1</v>
      </c>
      <c r="C1" s="1" t="s">
        <v>2</v>
      </c>
      <c r="D1" s="3" t="s">
        <v>3</v>
      </c>
      <c r="E1" s="3" t="s">
        <v>4</v>
      </c>
      <c r="F1" s="1" t="s">
        <v>9</v>
      </c>
      <c r="G1" s="1" t="s">
        <v>10</v>
      </c>
      <c r="H1" s="1" t="s">
        <v>11</v>
      </c>
      <c r="I1" s="1" t="s">
        <v>12</v>
      </c>
      <c r="J1" s="1" t="s">
        <v>13</v>
      </c>
      <c r="K1" s="1" t="s">
        <v>14</v>
      </c>
      <c r="L1" s="1" t="s">
        <v>15</v>
      </c>
      <c r="M1" s="1" t="s">
        <v>16</v>
      </c>
      <c r="N1" s="1" t="s">
        <v>17</v>
      </c>
      <c r="O1" s="1" t="s">
        <v>18</v>
      </c>
      <c r="P1" s="1" t="s">
        <v>19</v>
      </c>
      <c r="Q1" s="114" t="s">
        <v>20</v>
      </c>
      <c r="R1" s="1" t="s">
        <v>21</v>
      </c>
      <c r="S1" s="115" t="s">
        <v>109</v>
      </c>
      <c r="T1" s="115" t="s">
        <v>107</v>
      </c>
      <c r="U1" s="115" t="s">
        <v>108</v>
      </c>
      <c r="V1" s="116" t="s">
        <v>36</v>
      </c>
      <c r="W1" s="1" t="s">
        <v>32</v>
      </c>
      <c r="X1" s="116" t="s">
        <v>29</v>
      </c>
      <c r="Y1" s="116" t="s">
        <v>30</v>
      </c>
      <c r="Z1" s="1" t="s">
        <v>22</v>
      </c>
      <c r="AA1" s="1" t="s">
        <v>31</v>
      </c>
      <c r="AB1" s="116" t="s">
        <v>145</v>
      </c>
      <c r="AC1" s="1" t="s">
        <v>37</v>
      </c>
      <c r="AD1" s="12"/>
      <c r="AE1" s="12"/>
      <c r="AF1" s="12"/>
      <c r="AG1" s="12"/>
      <c r="AH1" s="12"/>
    </row>
    <row r="2">
      <c r="A2" s="37">
        <v>55.0</v>
      </c>
      <c r="B2" s="43" t="s">
        <v>38</v>
      </c>
      <c r="C2" s="117">
        <v>45419.0</v>
      </c>
      <c r="D2" s="16">
        <v>2304.0</v>
      </c>
      <c r="E2" s="16"/>
      <c r="F2" s="19">
        <v>91.0</v>
      </c>
      <c r="G2" s="20">
        <v>30.0</v>
      </c>
      <c r="H2" s="21">
        <v>3.0</v>
      </c>
      <c r="I2" s="21" t="b">
        <v>1</v>
      </c>
      <c r="J2" s="20" t="s">
        <v>57</v>
      </c>
      <c r="K2" s="20" t="s">
        <v>58</v>
      </c>
      <c r="L2" s="20">
        <v>5.0</v>
      </c>
      <c r="M2" s="21" t="s">
        <v>146</v>
      </c>
      <c r="N2" s="21"/>
      <c r="O2" s="21"/>
      <c r="P2" s="35" t="s">
        <v>69</v>
      </c>
      <c r="Q2" s="23">
        <v>18.0</v>
      </c>
      <c r="R2" s="118">
        <v>45465.0</v>
      </c>
      <c r="S2" s="27">
        <v>341.17</v>
      </c>
      <c r="T2" s="27">
        <v>228.32</v>
      </c>
      <c r="U2" s="27">
        <f>T2*0.3</f>
        <v>68.496</v>
      </c>
      <c r="V2" s="37">
        <f>U2*'Data preparation'!$B$3/'Data preparation'!$B$2</f>
        <v>211.843299</v>
      </c>
      <c r="W2" s="19" t="s">
        <v>147</v>
      </c>
      <c r="X2" s="29">
        <v>15.0684194244387</v>
      </c>
      <c r="Y2" s="29">
        <v>445.1980482158149</v>
      </c>
      <c r="Z2" s="20">
        <v>56.0</v>
      </c>
      <c r="AA2" s="29">
        <f t="shared" ref="AA2:AA9" si="1">Y2/Z2</f>
        <v>7.949965147</v>
      </c>
      <c r="AB2" s="29" t="str">
        <f t="shared" ref="AB2:AB9" si="2">#REF!*AA2</f>
        <v>#REF!</v>
      </c>
      <c r="AC2" s="119"/>
    </row>
    <row r="3">
      <c r="A3" s="37">
        <v>148.0</v>
      </c>
      <c r="B3" s="43" t="s">
        <v>50</v>
      </c>
      <c r="C3" s="117">
        <v>45418.0</v>
      </c>
      <c r="D3" s="16">
        <v>768.0</v>
      </c>
      <c r="E3" s="17"/>
      <c r="F3" s="19">
        <v>300.0</v>
      </c>
      <c r="G3" s="40">
        <v>30.0</v>
      </c>
      <c r="H3" s="120">
        <v>3.0</v>
      </c>
      <c r="I3" s="21" t="b">
        <v>0</v>
      </c>
      <c r="J3" s="40" t="s">
        <v>63</v>
      </c>
      <c r="K3" s="120"/>
      <c r="L3" s="20">
        <v>10.0</v>
      </c>
      <c r="M3" s="21" t="s">
        <v>148</v>
      </c>
      <c r="N3" s="20" t="s">
        <v>41</v>
      </c>
      <c r="O3" s="20" t="s">
        <v>42</v>
      </c>
      <c r="P3" s="121" t="s">
        <v>43</v>
      </c>
      <c r="Q3" s="23">
        <v>32.0</v>
      </c>
      <c r="R3" s="117">
        <v>45440.0</v>
      </c>
      <c r="S3" s="27">
        <v>47.49</v>
      </c>
      <c r="T3" s="27">
        <v>182.82</v>
      </c>
      <c r="U3" s="27">
        <v>46.72</v>
      </c>
      <c r="V3" s="37">
        <f>U3*'Data preparation'!$B$3/'Data preparation'!$B$2</f>
        <v>144.4948454</v>
      </c>
      <c r="W3" s="19" t="s">
        <v>44</v>
      </c>
      <c r="X3" s="29">
        <v>1.0888</v>
      </c>
      <c r="Y3" s="29">
        <v>119.43</v>
      </c>
      <c r="Z3" s="20">
        <v>91.0</v>
      </c>
      <c r="AA3" s="29">
        <f t="shared" si="1"/>
        <v>1.312417582</v>
      </c>
      <c r="AB3" s="29" t="str">
        <f t="shared" si="2"/>
        <v>#REF!</v>
      </c>
      <c r="AC3" s="122"/>
    </row>
    <row r="4" ht="41.25" customHeight="1">
      <c r="A4" s="37">
        <v>167.0</v>
      </c>
      <c r="B4" s="43" t="s">
        <v>56</v>
      </c>
      <c r="C4" s="118">
        <v>45467.0</v>
      </c>
      <c r="D4" s="16">
        <v>768.0</v>
      </c>
      <c r="E4" s="17"/>
      <c r="F4" s="19">
        <v>27.0</v>
      </c>
      <c r="G4" s="20">
        <v>30.0</v>
      </c>
      <c r="H4" s="21">
        <v>3.0</v>
      </c>
      <c r="I4" s="21" t="b">
        <v>1</v>
      </c>
      <c r="J4" s="20" t="s">
        <v>39</v>
      </c>
      <c r="K4" s="20" t="s">
        <v>58</v>
      </c>
      <c r="L4" s="20">
        <v>3.0</v>
      </c>
      <c r="M4" s="21" t="s">
        <v>59</v>
      </c>
      <c r="N4" s="20" t="s">
        <v>41</v>
      </c>
      <c r="O4" s="20"/>
      <c r="P4" s="22" t="s">
        <v>43</v>
      </c>
      <c r="Q4" s="23">
        <v>20.0</v>
      </c>
      <c r="R4" s="118">
        <v>45494.0</v>
      </c>
      <c r="S4" s="27">
        <v>17.23</v>
      </c>
      <c r="T4" s="27">
        <v>3.59</v>
      </c>
      <c r="U4" s="27">
        <v>38.66</v>
      </c>
      <c r="V4" s="37">
        <f>U4*'Data preparation'!$B$3/'Data preparation'!$B$2</f>
        <v>119.5670103</v>
      </c>
      <c r="W4" s="19" t="s">
        <v>44</v>
      </c>
      <c r="X4" s="29">
        <v>0.0825</v>
      </c>
      <c r="Y4" s="29">
        <v>45.07</v>
      </c>
      <c r="Z4" s="20">
        <v>139.0</v>
      </c>
      <c r="AA4" s="29">
        <f t="shared" si="1"/>
        <v>0.3242446043</v>
      </c>
      <c r="AB4" s="29" t="str">
        <f t="shared" si="2"/>
        <v>#REF!</v>
      </c>
      <c r="AC4" s="123" t="s">
        <v>149</v>
      </c>
    </row>
    <row r="5" ht="31.5" customHeight="1">
      <c r="A5" s="19">
        <v>48.0</v>
      </c>
      <c r="B5" s="43" t="s">
        <v>47</v>
      </c>
      <c r="C5" s="117">
        <v>45419.0</v>
      </c>
      <c r="D5" s="16">
        <v>1536.0</v>
      </c>
      <c r="E5" s="33"/>
      <c r="F5" s="19">
        <v>808.0</v>
      </c>
      <c r="G5" s="20">
        <v>60.0</v>
      </c>
      <c r="H5" s="21">
        <v>3.0</v>
      </c>
      <c r="I5" s="21" t="b">
        <v>1</v>
      </c>
      <c r="J5" s="21"/>
      <c r="K5" s="21" t="s">
        <v>58</v>
      </c>
      <c r="L5" s="20">
        <v>3.0</v>
      </c>
      <c r="M5" s="21" t="s">
        <v>150</v>
      </c>
      <c r="N5" s="20" t="s">
        <v>41</v>
      </c>
      <c r="O5" s="21" t="s">
        <v>42</v>
      </c>
      <c r="P5" s="22" t="s">
        <v>69</v>
      </c>
      <c r="Q5" s="23">
        <v>34.0</v>
      </c>
      <c r="R5" s="118">
        <v>45465.0</v>
      </c>
      <c r="S5" s="27">
        <v>12.73</v>
      </c>
      <c r="T5" s="27">
        <v>11.21</v>
      </c>
      <c r="U5" s="27">
        <v>16.21</v>
      </c>
      <c r="V5" s="37">
        <f>U5*'Data preparation'!$B$3/'Data preparation'!$B$2</f>
        <v>50.13402062</v>
      </c>
      <c r="W5" s="37" t="s">
        <v>44</v>
      </c>
      <c r="X5" s="29">
        <v>0.7596</v>
      </c>
      <c r="Y5" s="29">
        <v>526.32</v>
      </c>
      <c r="Z5" s="20">
        <v>119.0</v>
      </c>
      <c r="AA5" s="29">
        <f t="shared" si="1"/>
        <v>4.422857143</v>
      </c>
      <c r="AB5" s="29" t="str">
        <f t="shared" si="2"/>
        <v>#REF!</v>
      </c>
      <c r="AC5" s="123" t="s">
        <v>121</v>
      </c>
      <c r="AG5" s="45"/>
    </row>
    <row r="6" ht="41.25" customHeight="1">
      <c r="A6" s="37">
        <v>77.0</v>
      </c>
      <c r="B6" s="43" t="s">
        <v>67</v>
      </c>
      <c r="C6" s="118">
        <v>45498.0</v>
      </c>
      <c r="D6" s="16">
        <v>1152.0</v>
      </c>
      <c r="E6" s="33" t="s">
        <v>62</v>
      </c>
      <c r="F6" s="19">
        <v>174.0</v>
      </c>
      <c r="G6" s="20">
        <v>30.0</v>
      </c>
      <c r="H6" s="20">
        <v>3.0</v>
      </c>
      <c r="I6" s="20" t="b">
        <v>1</v>
      </c>
      <c r="J6" s="20" t="s">
        <v>39</v>
      </c>
      <c r="K6" s="20" t="s">
        <v>64</v>
      </c>
      <c r="L6" s="20">
        <v>5.0</v>
      </c>
      <c r="M6" s="20" t="s">
        <v>68</v>
      </c>
      <c r="N6" s="21"/>
      <c r="O6" s="21" t="s">
        <v>42</v>
      </c>
      <c r="P6" s="35" t="s">
        <v>69</v>
      </c>
      <c r="Q6" s="23">
        <v>35.0</v>
      </c>
      <c r="R6" s="118">
        <v>45498.0</v>
      </c>
      <c r="S6" s="27">
        <v>15.41</v>
      </c>
      <c r="T6" s="27">
        <v>1.42</v>
      </c>
      <c r="U6" s="27">
        <v>15.41</v>
      </c>
      <c r="V6" s="37">
        <f>U6*'Data preparation'!$B$3/'Data preparation'!$B$2</f>
        <v>47.65979381</v>
      </c>
      <c r="W6" s="37" t="s">
        <v>44</v>
      </c>
      <c r="X6" s="36">
        <v>0.047</v>
      </c>
      <c r="Y6" s="29">
        <v>22.1969</v>
      </c>
      <c r="Z6" s="20">
        <v>100.0</v>
      </c>
      <c r="AA6" s="29">
        <f t="shared" si="1"/>
        <v>0.221969</v>
      </c>
      <c r="AB6" s="29" t="str">
        <f t="shared" si="2"/>
        <v>#REF!</v>
      </c>
      <c r="AC6" s="123"/>
      <c r="AG6" s="47"/>
    </row>
    <row r="7" ht="40.5" customHeight="1">
      <c r="A7" s="37">
        <v>59.0</v>
      </c>
      <c r="B7" s="43" t="s">
        <v>61</v>
      </c>
      <c r="C7" s="118">
        <v>45498.0</v>
      </c>
      <c r="D7" s="16">
        <v>1152.0</v>
      </c>
      <c r="E7" s="33" t="s">
        <v>62</v>
      </c>
      <c r="F7" s="19">
        <v>287.0</v>
      </c>
      <c r="G7" s="20">
        <v>30.0</v>
      </c>
      <c r="H7" s="20">
        <v>3.0</v>
      </c>
      <c r="I7" s="20" t="b">
        <v>1</v>
      </c>
      <c r="J7" s="21"/>
      <c r="K7" s="21"/>
      <c r="L7" s="21"/>
      <c r="M7" s="20" t="s">
        <v>151</v>
      </c>
      <c r="N7" s="20" t="s">
        <v>41</v>
      </c>
      <c r="O7" s="21"/>
      <c r="P7" s="22" t="s">
        <v>43</v>
      </c>
      <c r="Q7" s="23">
        <v>47.0</v>
      </c>
      <c r="R7" s="118">
        <v>45498.0</v>
      </c>
      <c r="S7" s="27">
        <v>6.51</v>
      </c>
      <c r="T7" s="27">
        <v>21.87</v>
      </c>
      <c r="U7" s="27">
        <v>8.63</v>
      </c>
      <c r="V7" s="37">
        <f>U7*'Data preparation'!$B$3/'Data preparation'!$B$2</f>
        <v>26.69072165</v>
      </c>
      <c r="W7" s="19" t="s">
        <v>147</v>
      </c>
      <c r="X7" s="36">
        <v>0.3172</v>
      </c>
      <c r="Y7" s="29">
        <v>16.6877</v>
      </c>
      <c r="Z7" s="20">
        <v>120.0</v>
      </c>
      <c r="AA7" s="29">
        <f t="shared" si="1"/>
        <v>0.1390641667</v>
      </c>
      <c r="AB7" s="29" t="str">
        <f t="shared" si="2"/>
        <v>#REF!</v>
      </c>
      <c r="AC7" s="123"/>
      <c r="AG7" s="47"/>
    </row>
    <row r="8" ht="39.0" customHeight="1">
      <c r="A8" s="37">
        <v>6.0</v>
      </c>
      <c r="B8" s="43" t="s">
        <v>74</v>
      </c>
      <c r="C8" s="117">
        <v>45419.0</v>
      </c>
      <c r="D8" s="16">
        <v>2304.0</v>
      </c>
      <c r="E8" s="17"/>
      <c r="F8" s="19">
        <v>779.0</v>
      </c>
      <c r="G8" s="21">
        <v>30.0</v>
      </c>
      <c r="H8" s="21">
        <v>3.0</v>
      </c>
      <c r="I8" s="21" t="b">
        <v>0</v>
      </c>
      <c r="J8" s="21"/>
      <c r="K8" s="20" t="s">
        <v>58</v>
      </c>
      <c r="L8" s="20">
        <v>10.0</v>
      </c>
      <c r="M8" s="20" t="s">
        <v>75</v>
      </c>
      <c r="N8" s="21" t="s">
        <v>41</v>
      </c>
      <c r="O8" s="21" t="s">
        <v>42</v>
      </c>
      <c r="P8" s="35" t="s">
        <v>43</v>
      </c>
      <c r="Q8" s="23">
        <v>21.0</v>
      </c>
      <c r="R8" s="118">
        <v>45488.0</v>
      </c>
      <c r="S8" s="27">
        <v>8.402</v>
      </c>
      <c r="T8" s="27">
        <v>3.56</v>
      </c>
      <c r="U8" s="27">
        <v>8.4</v>
      </c>
      <c r="V8" s="37">
        <f>U8*'Data preparation'!$B$3/'Data preparation'!$B$2</f>
        <v>25.97938144</v>
      </c>
      <c r="W8" s="37" t="s">
        <v>44</v>
      </c>
      <c r="X8" s="36">
        <v>-6.0E-4</v>
      </c>
      <c r="Y8" s="29">
        <v>8.39</v>
      </c>
      <c r="Z8" s="20">
        <v>92.0</v>
      </c>
      <c r="AA8" s="29">
        <f t="shared" si="1"/>
        <v>0.09119565217</v>
      </c>
      <c r="AB8" s="29" t="str">
        <f t="shared" si="2"/>
        <v>#REF!</v>
      </c>
      <c r="AC8" s="123"/>
      <c r="AG8" s="47"/>
    </row>
    <row r="9" ht="40.5" customHeight="1">
      <c r="A9" s="37">
        <v>77.0</v>
      </c>
      <c r="B9" s="43" t="s">
        <v>67</v>
      </c>
      <c r="C9" s="117">
        <v>45418.0</v>
      </c>
      <c r="D9" s="16">
        <v>768.0</v>
      </c>
      <c r="E9" s="33"/>
      <c r="F9" s="19">
        <v>358.0</v>
      </c>
      <c r="G9" s="20">
        <v>30.0</v>
      </c>
      <c r="H9" s="20">
        <v>3.0</v>
      </c>
      <c r="I9" s="20" t="b">
        <v>0</v>
      </c>
      <c r="J9" s="20" t="s">
        <v>152</v>
      </c>
      <c r="K9" s="20"/>
      <c r="L9" s="20"/>
      <c r="M9" s="20" t="s">
        <v>153</v>
      </c>
      <c r="N9" s="21"/>
      <c r="O9" s="20" t="s">
        <v>42</v>
      </c>
      <c r="P9" s="35" t="s">
        <v>43</v>
      </c>
      <c r="Q9" s="23">
        <v>36.0</v>
      </c>
      <c r="R9" s="118">
        <v>45446.0</v>
      </c>
      <c r="S9" s="79">
        <v>31.38</v>
      </c>
      <c r="T9" s="79">
        <v>17.31</v>
      </c>
      <c r="U9" s="124">
        <f>S9</f>
        <v>31.38</v>
      </c>
      <c r="V9" s="37">
        <f>U9*'Data preparation'!$B$3/'Data preparation'!$B$2</f>
        <v>97.05154639</v>
      </c>
      <c r="W9" s="19">
        <v>-0.15</v>
      </c>
      <c r="X9" s="36">
        <v>0.0598</v>
      </c>
      <c r="Y9" s="29">
        <v>60.54</v>
      </c>
      <c r="Z9" s="20">
        <v>81.0</v>
      </c>
      <c r="AA9" s="29">
        <f t="shared" si="1"/>
        <v>0.7474074074</v>
      </c>
      <c r="AB9" s="29" t="str">
        <f t="shared" si="2"/>
        <v>#REF!</v>
      </c>
      <c r="AC9" s="123"/>
      <c r="AG9" s="47"/>
    </row>
    <row r="10">
      <c r="C10" s="125"/>
      <c r="D10" s="125"/>
      <c r="E10" s="125"/>
      <c r="F10" s="125"/>
      <c r="H10" s="126"/>
      <c r="AB10" s="127"/>
      <c r="AG10" s="47"/>
    </row>
    <row r="11">
      <c r="C11" s="125"/>
      <c r="D11" s="125"/>
      <c r="E11" s="125"/>
      <c r="F11" s="125"/>
      <c r="R11" s="128"/>
      <c r="S11" s="129"/>
      <c r="T11" s="129"/>
      <c r="U11" s="129"/>
      <c r="V11" s="129"/>
      <c r="AG11" s="47"/>
    </row>
    <row r="12">
      <c r="C12" s="125"/>
      <c r="D12" s="125"/>
      <c r="E12" s="125"/>
      <c r="F12" s="125"/>
      <c r="S12" s="45"/>
      <c r="T12" s="130"/>
      <c r="U12" s="130"/>
      <c r="AG12" s="47"/>
    </row>
    <row r="13">
      <c r="C13" s="125"/>
      <c r="D13" s="125"/>
      <c r="E13" s="125"/>
      <c r="F13" s="125"/>
      <c r="T13" s="130"/>
      <c r="U13" s="130"/>
      <c r="AB13" s="129"/>
      <c r="AG13" s="47"/>
    </row>
    <row r="14">
      <c r="T14" s="129"/>
      <c r="U14" s="129"/>
      <c r="AG14" s="47"/>
    </row>
    <row r="17">
      <c r="J17" s="126"/>
    </row>
    <row r="18">
      <c r="A18" s="131" t="s">
        <v>154</v>
      </c>
      <c r="C18" s="125"/>
      <c r="D18" s="125"/>
      <c r="E18" s="125"/>
      <c r="F18" s="125"/>
      <c r="H18" s="126"/>
      <c r="AB18" s="127"/>
      <c r="AG18" s="47"/>
    </row>
    <row r="19">
      <c r="A19" s="1" t="s">
        <v>0</v>
      </c>
      <c r="B19" s="2" t="s">
        <v>1</v>
      </c>
      <c r="C19" s="1" t="s">
        <v>2</v>
      </c>
      <c r="D19" s="3" t="s">
        <v>3</v>
      </c>
      <c r="E19" s="3" t="s">
        <v>4</v>
      </c>
      <c r="F19" s="1" t="s">
        <v>9</v>
      </c>
      <c r="G19" s="1" t="s">
        <v>10</v>
      </c>
      <c r="H19" s="1" t="s">
        <v>11</v>
      </c>
      <c r="I19" s="1" t="s">
        <v>12</v>
      </c>
      <c r="J19" s="1" t="s">
        <v>13</v>
      </c>
      <c r="K19" s="1" t="s">
        <v>14</v>
      </c>
      <c r="L19" s="1" t="s">
        <v>15</v>
      </c>
      <c r="M19" s="1" t="s">
        <v>16</v>
      </c>
      <c r="N19" s="1" t="s">
        <v>17</v>
      </c>
      <c r="O19" s="1" t="s">
        <v>18</v>
      </c>
      <c r="P19" s="1" t="s">
        <v>19</v>
      </c>
      <c r="Q19" s="114" t="s">
        <v>20</v>
      </c>
      <c r="R19" s="132" t="s">
        <v>21</v>
      </c>
      <c r="S19" s="55" t="s">
        <v>109</v>
      </c>
      <c r="T19" s="55" t="s">
        <v>107</v>
      </c>
      <c r="U19" s="55" t="s">
        <v>108</v>
      </c>
      <c r="V19" s="55" t="s">
        <v>36</v>
      </c>
      <c r="W19" s="132" t="s">
        <v>32</v>
      </c>
      <c r="X19" s="55" t="s">
        <v>29</v>
      </c>
      <c r="Y19" s="55" t="s">
        <v>30</v>
      </c>
      <c r="Z19" s="132" t="s">
        <v>22</v>
      </c>
      <c r="AA19" s="132" t="s">
        <v>31</v>
      </c>
      <c r="AB19" s="55" t="s">
        <v>145</v>
      </c>
      <c r="AC19" s="132" t="s">
        <v>37</v>
      </c>
      <c r="AG19" s="47"/>
    </row>
    <row r="20" ht="17.25" customHeight="1">
      <c r="A20" s="37">
        <v>55.0</v>
      </c>
      <c r="B20" s="43" t="s">
        <v>38</v>
      </c>
      <c r="C20" s="117">
        <v>45419.0</v>
      </c>
      <c r="D20" s="16">
        <v>2304.0</v>
      </c>
      <c r="E20" s="16"/>
      <c r="F20" s="19">
        <v>91.0</v>
      </c>
      <c r="G20" s="20">
        <v>30.0</v>
      </c>
      <c r="H20" s="21">
        <v>3.0</v>
      </c>
      <c r="I20" s="21" t="b">
        <v>1</v>
      </c>
      <c r="J20" s="20" t="s">
        <v>57</v>
      </c>
      <c r="K20" s="20" t="s">
        <v>58</v>
      </c>
      <c r="L20" s="20">
        <v>5.0</v>
      </c>
      <c r="M20" s="21" t="s">
        <v>146</v>
      </c>
      <c r="N20" s="21"/>
      <c r="O20" s="21"/>
      <c r="P20" s="35" t="s">
        <v>69</v>
      </c>
      <c r="Q20" s="23">
        <v>18.0</v>
      </c>
      <c r="R20" s="133">
        <v>45465.0</v>
      </c>
      <c r="S20" s="134">
        <v>341.17</v>
      </c>
      <c r="T20" s="134">
        <v>228.32</v>
      </c>
      <c r="U20" s="134">
        <v>22.832</v>
      </c>
      <c r="V20" s="129">
        <v>17.717537506466634</v>
      </c>
      <c r="W20" s="135" t="s">
        <v>147</v>
      </c>
      <c r="X20" s="136">
        <v>15.0684194244387</v>
      </c>
      <c r="Y20" s="136">
        <v>445.1980482158149</v>
      </c>
      <c r="Z20" s="54">
        <v>56.0</v>
      </c>
      <c r="AA20" s="136">
        <v>7.94996514671098</v>
      </c>
      <c r="AB20" s="136">
        <v>1.192494772006647</v>
      </c>
      <c r="AG20" s="47"/>
    </row>
    <row r="21" ht="17.25" customHeight="1">
      <c r="A21" s="37">
        <v>167.0</v>
      </c>
      <c r="B21" s="43" t="s">
        <v>56</v>
      </c>
      <c r="C21" s="118">
        <v>45467.0</v>
      </c>
      <c r="D21" s="16">
        <v>768.0</v>
      </c>
      <c r="E21" s="17"/>
      <c r="F21" s="19">
        <v>27.0</v>
      </c>
      <c r="G21" s="20">
        <v>30.0</v>
      </c>
      <c r="H21" s="21">
        <v>3.0</v>
      </c>
      <c r="I21" s="21" t="b">
        <v>1</v>
      </c>
      <c r="J21" s="20" t="s">
        <v>39</v>
      </c>
      <c r="K21" s="20" t="s">
        <v>58</v>
      </c>
      <c r="L21" s="20">
        <v>3.0</v>
      </c>
      <c r="M21" s="21" t="s">
        <v>59</v>
      </c>
      <c r="N21" s="20" t="s">
        <v>41</v>
      </c>
      <c r="O21" s="20"/>
      <c r="P21" s="22" t="s">
        <v>43</v>
      </c>
      <c r="Q21" s="23">
        <v>20.0</v>
      </c>
      <c r="R21" s="133">
        <v>45494.0</v>
      </c>
      <c r="S21" s="134">
        <v>17.23</v>
      </c>
      <c r="T21" s="134">
        <v>3.59</v>
      </c>
      <c r="U21" s="134">
        <v>38.66</v>
      </c>
      <c r="V21" s="129">
        <v>30.0</v>
      </c>
      <c r="W21" s="135" t="s">
        <v>44</v>
      </c>
      <c r="X21" s="136">
        <v>0.0825</v>
      </c>
      <c r="Y21" s="136">
        <v>45.07</v>
      </c>
      <c r="Z21" s="54">
        <v>139.0</v>
      </c>
      <c r="AA21" s="136">
        <v>0.3242446043165468</v>
      </c>
      <c r="AB21" s="136">
        <v>0.048636690647482016</v>
      </c>
      <c r="AC21" s="54" t="s">
        <v>149</v>
      </c>
      <c r="AG21" s="47"/>
    </row>
    <row r="22" ht="17.25" customHeight="1">
      <c r="A22" s="37">
        <v>148.0</v>
      </c>
      <c r="B22" s="43" t="s">
        <v>50</v>
      </c>
      <c r="C22" s="117">
        <v>45504.0</v>
      </c>
      <c r="D22" s="38">
        <v>1536.0</v>
      </c>
      <c r="E22" s="39" t="s">
        <v>51</v>
      </c>
      <c r="F22" s="19">
        <v>559.0</v>
      </c>
      <c r="G22" s="40">
        <v>30.0</v>
      </c>
      <c r="H22" s="40">
        <v>3.0</v>
      </c>
      <c r="I22" s="20" t="b">
        <v>0</v>
      </c>
      <c r="J22" s="40" t="s">
        <v>155</v>
      </c>
      <c r="K22" s="40" t="s">
        <v>156</v>
      </c>
      <c r="L22" s="20"/>
      <c r="M22" s="20" t="s">
        <v>148</v>
      </c>
      <c r="N22" s="20" t="s">
        <v>41</v>
      </c>
      <c r="O22" s="20"/>
      <c r="P22" s="35" t="s">
        <v>43</v>
      </c>
      <c r="Q22" s="23">
        <v>31.0</v>
      </c>
      <c r="R22" s="137">
        <v>45504.0</v>
      </c>
      <c r="S22" s="134">
        <v>19.73</v>
      </c>
      <c r="T22" s="134">
        <v>47.88</v>
      </c>
      <c r="U22" s="134">
        <v>19.73</v>
      </c>
      <c r="V22" s="129">
        <v>15.310398344542163</v>
      </c>
      <c r="W22" s="135" t="s">
        <v>157</v>
      </c>
      <c r="X22" s="136">
        <v>1.11</v>
      </c>
      <c r="Y22" s="136">
        <v>41.47</v>
      </c>
      <c r="Z22" s="54">
        <v>91.0</v>
      </c>
      <c r="AA22" s="136">
        <v>0.4557142857142857</v>
      </c>
      <c r="AB22" s="136">
        <v>0.06835714285714285</v>
      </c>
      <c r="AC22" s="54"/>
      <c r="AG22" s="47"/>
    </row>
    <row r="23" ht="17.25" customHeight="1">
      <c r="A23" s="19">
        <v>48.0</v>
      </c>
      <c r="B23" s="43" t="s">
        <v>47</v>
      </c>
      <c r="C23" s="74">
        <v>45419.0</v>
      </c>
      <c r="D23" s="16">
        <v>1536.0</v>
      </c>
      <c r="E23" s="33"/>
      <c r="F23" s="19">
        <v>808.0</v>
      </c>
      <c r="G23" s="20">
        <v>60.0</v>
      </c>
      <c r="H23" s="21">
        <v>3.0</v>
      </c>
      <c r="I23" s="21" t="b">
        <v>1</v>
      </c>
      <c r="J23" s="21"/>
      <c r="K23" s="21" t="s">
        <v>58</v>
      </c>
      <c r="L23" s="20">
        <v>3.0</v>
      </c>
      <c r="M23" s="21" t="s">
        <v>150</v>
      </c>
      <c r="N23" s="20" t="s">
        <v>41</v>
      </c>
      <c r="O23" s="21" t="s">
        <v>42</v>
      </c>
      <c r="P23" s="22" t="s">
        <v>69</v>
      </c>
      <c r="Q23" s="23">
        <v>34.0</v>
      </c>
      <c r="R23" s="133">
        <v>45465.0</v>
      </c>
      <c r="S23" s="134">
        <v>12.73</v>
      </c>
      <c r="T23" s="134">
        <v>11.21</v>
      </c>
      <c r="U23" s="134">
        <v>16.21</v>
      </c>
      <c r="V23" s="129">
        <v>12.578892912571135</v>
      </c>
      <c r="W23" s="129" t="s">
        <v>44</v>
      </c>
      <c r="X23" s="136">
        <v>0.7596</v>
      </c>
      <c r="Y23" s="136">
        <v>526.32</v>
      </c>
      <c r="Z23" s="54">
        <v>119.0</v>
      </c>
      <c r="AA23" s="136">
        <v>4.4228571428571435</v>
      </c>
      <c r="AB23" s="136">
        <v>0.6634285714285715</v>
      </c>
      <c r="AC23" s="54" t="s">
        <v>121</v>
      </c>
    </row>
    <row r="24" ht="17.25" customHeight="1">
      <c r="A24" s="37">
        <v>77.0</v>
      </c>
      <c r="B24" s="43" t="s">
        <v>67</v>
      </c>
      <c r="C24" s="117">
        <v>45498.0</v>
      </c>
      <c r="D24" s="38">
        <v>1152.0</v>
      </c>
      <c r="E24" s="48" t="s">
        <v>62</v>
      </c>
      <c r="F24" s="19">
        <v>174.0</v>
      </c>
      <c r="G24" s="20">
        <v>30.0</v>
      </c>
      <c r="H24" s="20">
        <v>3.0</v>
      </c>
      <c r="I24" s="20" t="b">
        <v>1</v>
      </c>
      <c r="J24" s="20" t="s">
        <v>155</v>
      </c>
      <c r="K24" s="20" t="s">
        <v>156</v>
      </c>
      <c r="L24" s="20">
        <v>5.0</v>
      </c>
      <c r="M24" s="20" t="s">
        <v>68</v>
      </c>
      <c r="N24" s="21"/>
      <c r="O24" s="20" t="s">
        <v>42</v>
      </c>
      <c r="P24" s="22" t="s">
        <v>69</v>
      </c>
      <c r="Q24" s="23">
        <v>35.0</v>
      </c>
      <c r="R24" s="137">
        <v>45498.0</v>
      </c>
      <c r="S24" s="134">
        <v>15.41</v>
      </c>
      <c r="T24" s="134">
        <v>1.42</v>
      </c>
      <c r="U24" s="134">
        <v>15.41</v>
      </c>
      <c r="V24" s="129">
        <v>11.958096223486809</v>
      </c>
      <c r="W24" s="135" t="s">
        <v>158</v>
      </c>
      <c r="X24" s="138">
        <v>0.047</v>
      </c>
      <c r="Y24" s="136">
        <v>22.19</v>
      </c>
      <c r="Z24" s="54">
        <v>81.0</v>
      </c>
      <c r="AA24" s="136">
        <v>0.27395061728395065</v>
      </c>
      <c r="AB24" s="136">
        <v>0.0410925925925926</v>
      </c>
      <c r="AC24" s="54"/>
    </row>
    <row r="25" ht="17.25" customHeight="1">
      <c r="A25" s="37">
        <v>59.0</v>
      </c>
      <c r="B25" s="43" t="s">
        <v>61</v>
      </c>
      <c r="C25" s="118">
        <v>45498.0</v>
      </c>
      <c r="D25" s="16">
        <v>1152.0</v>
      </c>
      <c r="E25" s="33" t="s">
        <v>62</v>
      </c>
      <c r="F25" s="19">
        <v>287.0</v>
      </c>
      <c r="G25" s="20">
        <v>30.0</v>
      </c>
      <c r="H25" s="20">
        <v>3.0</v>
      </c>
      <c r="I25" s="20" t="b">
        <v>1</v>
      </c>
      <c r="J25" s="21"/>
      <c r="K25" s="21"/>
      <c r="L25" s="21"/>
      <c r="M25" s="20" t="s">
        <v>151</v>
      </c>
      <c r="N25" s="20" t="s">
        <v>41</v>
      </c>
      <c r="O25" s="21"/>
      <c r="P25" s="22" t="s">
        <v>43</v>
      </c>
      <c r="Q25" s="23">
        <v>47.0</v>
      </c>
      <c r="R25" s="133">
        <v>45498.0</v>
      </c>
      <c r="S25" s="134">
        <v>6.51</v>
      </c>
      <c r="T25" s="134">
        <v>21.87</v>
      </c>
      <c r="U25" s="134">
        <v>8.63</v>
      </c>
      <c r="V25" s="129">
        <v>6.696844283497156</v>
      </c>
      <c r="W25" s="135" t="s">
        <v>147</v>
      </c>
      <c r="X25" s="138">
        <v>0.3172</v>
      </c>
      <c r="Y25" s="136">
        <v>16.6877</v>
      </c>
      <c r="Z25" s="54">
        <v>120.0</v>
      </c>
      <c r="AA25" s="136">
        <v>0.13906416666666666</v>
      </c>
      <c r="AB25" s="136">
        <v>0.020859624999999996</v>
      </c>
      <c r="AC25" s="54"/>
    </row>
    <row r="26" ht="17.25" customHeight="1">
      <c r="A26" s="37">
        <v>6.0</v>
      </c>
      <c r="B26" s="43" t="s">
        <v>74</v>
      </c>
      <c r="C26" s="74">
        <v>45419.0</v>
      </c>
      <c r="D26" s="16">
        <v>2304.0</v>
      </c>
      <c r="E26" s="17"/>
      <c r="F26" s="19">
        <v>2.0</v>
      </c>
      <c r="G26" s="21">
        <v>30.0</v>
      </c>
      <c r="H26" s="21">
        <v>3.0</v>
      </c>
      <c r="I26" s="20" t="b">
        <v>1</v>
      </c>
      <c r="J26" s="20" t="s">
        <v>63</v>
      </c>
      <c r="K26" s="20" t="s">
        <v>58</v>
      </c>
      <c r="L26" s="20">
        <v>3.0</v>
      </c>
      <c r="M26" s="20" t="s">
        <v>75</v>
      </c>
      <c r="N26" s="21"/>
      <c r="O26" s="21" t="s">
        <v>42</v>
      </c>
      <c r="P26" s="35" t="s">
        <v>43</v>
      </c>
      <c r="Q26" s="23">
        <v>12.0</v>
      </c>
      <c r="R26" s="133">
        <v>45488.0</v>
      </c>
      <c r="S26" s="134">
        <v>8.402</v>
      </c>
      <c r="T26" s="134">
        <v>3.56</v>
      </c>
      <c r="U26" s="134">
        <v>8.4</v>
      </c>
      <c r="V26" s="129">
        <v>6.518365235385412</v>
      </c>
      <c r="W26" s="129" t="s">
        <v>44</v>
      </c>
      <c r="X26" s="138">
        <v>-6.0E-4</v>
      </c>
      <c r="Y26" s="136">
        <v>8.39</v>
      </c>
      <c r="Z26" s="54">
        <v>92.0</v>
      </c>
      <c r="AA26" s="136">
        <v>0.09119565217391305</v>
      </c>
      <c r="AB26" s="136">
        <v>0.013679347826086957</v>
      </c>
      <c r="AC26" s="54"/>
    </row>
    <row r="30">
      <c r="W30" s="55"/>
    </row>
    <row r="31">
      <c r="W31" s="129"/>
    </row>
    <row r="32">
      <c r="W32" s="129"/>
    </row>
    <row r="33">
      <c r="W33" s="129"/>
    </row>
    <row r="34">
      <c r="A34" s="131" t="s">
        <v>159</v>
      </c>
      <c r="W34" s="129"/>
    </row>
    <row r="35">
      <c r="E35" s="139" t="s">
        <v>21</v>
      </c>
      <c r="F35" s="54" t="s">
        <v>107</v>
      </c>
      <c r="G35" s="54" t="s">
        <v>108</v>
      </c>
      <c r="H35" s="54" t="s">
        <v>109</v>
      </c>
      <c r="I35" s="54" t="s">
        <v>36</v>
      </c>
      <c r="J35" s="139" t="s">
        <v>32</v>
      </c>
      <c r="K35" s="54" t="s">
        <v>29</v>
      </c>
      <c r="L35" s="54" t="s">
        <v>30</v>
      </c>
      <c r="M35" s="139" t="s">
        <v>22</v>
      </c>
      <c r="N35" s="139" t="s">
        <v>31</v>
      </c>
      <c r="O35" s="54" t="s">
        <v>145</v>
      </c>
      <c r="W35" s="129"/>
    </row>
    <row r="36">
      <c r="E36" s="133">
        <v>45494.0</v>
      </c>
      <c r="F36" s="134">
        <v>3.59</v>
      </c>
      <c r="G36" s="134">
        <v>38.66</v>
      </c>
      <c r="H36" s="134">
        <v>17.23</v>
      </c>
      <c r="I36" s="129">
        <v>25.0</v>
      </c>
      <c r="J36" s="135" t="s">
        <v>44</v>
      </c>
      <c r="K36" s="136">
        <v>0.0825</v>
      </c>
      <c r="L36" s="136">
        <v>45.07</v>
      </c>
      <c r="M36" s="54">
        <v>139.0</v>
      </c>
      <c r="N36" s="136">
        <v>0.3242446043165468</v>
      </c>
      <c r="O36" s="136">
        <v>0.048636690647482016</v>
      </c>
      <c r="W36" s="56"/>
    </row>
    <row r="37">
      <c r="E37" s="137">
        <v>45524.0</v>
      </c>
      <c r="F37" s="134">
        <v>210.44</v>
      </c>
      <c r="G37" s="134">
        <v>27.357200000000002</v>
      </c>
      <c r="H37" s="134">
        <v>321.99</v>
      </c>
      <c r="I37" s="129">
        <v>17.690894981893432</v>
      </c>
      <c r="J37" s="135" t="s">
        <v>147</v>
      </c>
      <c r="K37" s="136">
        <v>6.11</v>
      </c>
      <c r="L37" s="136">
        <v>576.79</v>
      </c>
      <c r="M37" s="54">
        <v>65.0</v>
      </c>
      <c r="N37" s="136">
        <v>8.873692307692307</v>
      </c>
      <c r="O37" s="136">
        <v>1.3310538461538461</v>
      </c>
      <c r="S37" s="129"/>
      <c r="T37" s="129"/>
      <c r="U37" s="129"/>
      <c r="V37" s="129"/>
      <c r="W37" s="129"/>
    </row>
    <row r="38">
      <c r="E38" s="137">
        <v>45524.0</v>
      </c>
      <c r="F38" s="134">
        <v>1.29</v>
      </c>
      <c r="G38" s="134">
        <v>24.57</v>
      </c>
      <c r="H38" s="134">
        <v>45.88</v>
      </c>
      <c r="I38" s="129">
        <v>15.888515261251941</v>
      </c>
      <c r="J38" s="135" t="s">
        <v>160</v>
      </c>
      <c r="K38" s="138">
        <v>0.0259</v>
      </c>
      <c r="L38" s="136">
        <v>176.41</v>
      </c>
      <c r="M38" s="54">
        <v>110.0</v>
      </c>
      <c r="N38" s="136">
        <v>1.6037272727272727</v>
      </c>
      <c r="O38" s="136">
        <v>0.2405590909090909</v>
      </c>
      <c r="T38" s="129"/>
      <c r="W38" s="129"/>
    </row>
    <row r="39">
      <c r="E39" s="137">
        <v>45524.0</v>
      </c>
      <c r="F39" s="134">
        <v>15.49</v>
      </c>
      <c r="G39" s="134">
        <v>23.57</v>
      </c>
      <c r="H39" s="134">
        <v>126.26</v>
      </c>
      <c r="I39" s="129">
        <v>15.24185204345577</v>
      </c>
      <c r="J39" s="129" t="s">
        <v>44</v>
      </c>
      <c r="K39" s="138">
        <v>0.5835</v>
      </c>
      <c r="L39" s="136">
        <v>1462.61</v>
      </c>
      <c r="M39" s="54">
        <v>132.0</v>
      </c>
      <c r="N39" s="136">
        <v>11.080378787878788</v>
      </c>
      <c r="O39" s="136">
        <v>1.662056818181818</v>
      </c>
      <c r="T39" s="129"/>
      <c r="W39" s="129"/>
    </row>
    <row r="40">
      <c r="E40" s="133">
        <v>45524.0</v>
      </c>
      <c r="F40" s="134">
        <v>132.04</v>
      </c>
      <c r="G40" s="134">
        <v>20.81</v>
      </c>
      <c r="H40" s="134">
        <v>24.28</v>
      </c>
      <c r="I40" s="129">
        <v>13.457061562338335</v>
      </c>
      <c r="J40" s="135" t="s">
        <v>157</v>
      </c>
      <c r="K40" s="136">
        <v>0.83</v>
      </c>
      <c r="L40" s="136">
        <v>42.28</v>
      </c>
      <c r="M40" s="54">
        <v>101.0</v>
      </c>
      <c r="N40" s="136">
        <v>0.41861386138613865</v>
      </c>
      <c r="O40" s="136">
        <v>0.06279207920792079</v>
      </c>
      <c r="T40" s="129"/>
      <c r="W40" s="129"/>
    </row>
    <row r="41">
      <c r="E41" s="133">
        <v>45524.0</v>
      </c>
      <c r="F41" s="134">
        <v>16.27</v>
      </c>
      <c r="G41" s="134">
        <v>6.68</v>
      </c>
      <c r="H41" s="134">
        <v>5.36</v>
      </c>
      <c r="I41" s="129">
        <v>4.319710294878428</v>
      </c>
      <c r="J41" s="135" t="s">
        <v>161</v>
      </c>
      <c r="K41" s="138">
        <v>0.2515</v>
      </c>
      <c r="L41" s="136">
        <v>14.87</v>
      </c>
      <c r="M41" s="54">
        <v>101.0</v>
      </c>
      <c r="N41" s="136">
        <v>0.14722772277227722</v>
      </c>
      <c r="O41" s="136">
        <v>0.022084158415841583</v>
      </c>
      <c r="T41" s="129"/>
      <c r="W41" s="129"/>
    </row>
    <row r="42">
      <c r="E42" s="133">
        <v>45524.0</v>
      </c>
      <c r="F42" s="134">
        <v>2.57</v>
      </c>
      <c r="G42" s="134">
        <v>2.09</v>
      </c>
      <c r="H42" s="134">
        <v>8.15</v>
      </c>
      <c r="I42" s="129">
        <v>1.3515261251939992</v>
      </c>
      <c r="J42" s="129" t="s">
        <v>44</v>
      </c>
      <c r="K42" s="138">
        <v>3.0E-4</v>
      </c>
      <c r="L42" s="136">
        <v>56.12</v>
      </c>
      <c r="M42" s="54">
        <v>181.0</v>
      </c>
      <c r="N42" s="136">
        <v>0.31005524861878453</v>
      </c>
      <c r="O42" s="136">
        <v>0.046508287292817675</v>
      </c>
      <c r="T42" s="129"/>
    </row>
    <row r="43">
      <c r="W43" s="129"/>
    </row>
    <row r="44">
      <c r="T44" s="129"/>
      <c r="V44" s="129"/>
    </row>
    <row r="50">
      <c r="A50" s="131" t="s">
        <v>162</v>
      </c>
    </row>
    <row r="51">
      <c r="A51" s="140"/>
      <c r="B51" s="140"/>
      <c r="C51" s="140"/>
      <c r="D51" s="140"/>
      <c r="E51" s="140"/>
      <c r="F51" s="141" t="s">
        <v>163</v>
      </c>
      <c r="R51" s="142"/>
      <c r="S51" s="142"/>
      <c r="T51" s="67" t="s">
        <v>164</v>
      </c>
      <c r="W51" s="9" t="s">
        <v>165</v>
      </c>
      <c r="AD51" s="140"/>
    </row>
    <row r="52">
      <c r="A52" s="1" t="s">
        <v>0</v>
      </c>
      <c r="B52" s="2" t="s">
        <v>1</v>
      </c>
      <c r="C52" s="3" t="s">
        <v>2</v>
      </c>
      <c r="D52" s="3" t="s">
        <v>3</v>
      </c>
      <c r="E52" s="3" t="s">
        <v>4</v>
      </c>
      <c r="F52" s="4" t="s">
        <v>9</v>
      </c>
      <c r="G52" s="4" t="s">
        <v>10</v>
      </c>
      <c r="H52" s="4" t="s">
        <v>11</v>
      </c>
      <c r="I52" s="4" t="s">
        <v>12</v>
      </c>
      <c r="J52" s="4" t="s">
        <v>13</v>
      </c>
      <c r="K52" s="4" t="s">
        <v>14</v>
      </c>
      <c r="L52" s="4" t="s">
        <v>15</v>
      </c>
      <c r="M52" s="4" t="s">
        <v>16</v>
      </c>
      <c r="N52" s="4" t="s">
        <v>17</v>
      </c>
      <c r="O52" s="4" t="s">
        <v>18</v>
      </c>
      <c r="P52" s="4" t="s">
        <v>19</v>
      </c>
      <c r="Q52" s="5" t="s">
        <v>20</v>
      </c>
      <c r="R52" s="6" t="s">
        <v>21</v>
      </c>
      <c r="S52" s="6" t="s">
        <v>22</v>
      </c>
      <c r="T52" s="6" t="s">
        <v>166</v>
      </c>
      <c r="U52" s="6" t="s">
        <v>167</v>
      </c>
      <c r="V52" s="6" t="s">
        <v>168</v>
      </c>
      <c r="W52" s="7" t="s">
        <v>29</v>
      </c>
      <c r="X52" s="7" t="s">
        <v>30</v>
      </c>
      <c r="Y52" s="8" t="s">
        <v>31</v>
      </c>
      <c r="Z52" s="9" t="s">
        <v>33</v>
      </c>
      <c r="AA52" s="7" t="s">
        <v>169</v>
      </c>
      <c r="AB52" s="8" t="s">
        <v>32</v>
      </c>
      <c r="AC52" s="7" t="s">
        <v>36</v>
      </c>
      <c r="AD52" s="11" t="s">
        <v>37</v>
      </c>
    </row>
    <row r="53">
      <c r="A53" s="37">
        <v>167.0</v>
      </c>
      <c r="B53" s="43" t="s">
        <v>56</v>
      </c>
      <c r="C53" s="46">
        <v>45467.0</v>
      </c>
      <c r="D53" s="16">
        <v>768.0</v>
      </c>
      <c r="E53" s="17"/>
      <c r="F53" s="19">
        <v>27.0</v>
      </c>
      <c r="G53" s="20">
        <v>30.0</v>
      </c>
      <c r="H53" s="21">
        <v>3.0</v>
      </c>
      <c r="I53" s="21" t="b">
        <v>1</v>
      </c>
      <c r="J53" s="20" t="s">
        <v>39</v>
      </c>
      <c r="K53" s="20" t="s">
        <v>58</v>
      </c>
      <c r="L53" s="20">
        <v>3.0</v>
      </c>
      <c r="M53" s="21" t="s">
        <v>59</v>
      </c>
      <c r="N53" s="20" t="s">
        <v>41</v>
      </c>
      <c r="O53" s="20"/>
      <c r="P53" s="22" t="s">
        <v>43</v>
      </c>
      <c r="Q53" s="23">
        <v>20.0</v>
      </c>
      <c r="R53" s="24">
        <v>45494.0</v>
      </c>
      <c r="S53" s="20">
        <v>139.0</v>
      </c>
      <c r="T53" s="27">
        <v>3.59</v>
      </c>
      <c r="U53" s="27">
        <v>38.66</v>
      </c>
      <c r="V53" s="27">
        <v>17.23</v>
      </c>
      <c r="W53" s="29">
        <v>0.0825</v>
      </c>
      <c r="X53" s="29">
        <v>45.07</v>
      </c>
      <c r="Y53" s="29">
        <f t="shared" ref="Y53:Y59" si="3">X53/S53</f>
        <v>0.3242446043</v>
      </c>
      <c r="Z53" s="37"/>
      <c r="AA53" s="37"/>
      <c r="AB53" s="19" t="s">
        <v>44</v>
      </c>
      <c r="AC53" s="37">
        <f>U53*'Data preparation'!$B$3/'Data preparation'!$B$2</f>
        <v>119.5670103</v>
      </c>
      <c r="AD53" s="32"/>
    </row>
    <row r="54">
      <c r="A54" s="37">
        <v>55.0</v>
      </c>
      <c r="B54" s="43" t="s">
        <v>38</v>
      </c>
      <c r="C54" s="15">
        <v>45419.0</v>
      </c>
      <c r="D54" s="16">
        <v>2304.0</v>
      </c>
      <c r="E54" s="16"/>
      <c r="F54" s="19">
        <v>989.0</v>
      </c>
      <c r="G54" s="20">
        <v>30.0</v>
      </c>
      <c r="H54" s="21">
        <v>3.0</v>
      </c>
      <c r="I54" s="20" t="b">
        <v>0</v>
      </c>
      <c r="J54" s="20" t="s">
        <v>39</v>
      </c>
      <c r="K54" s="20"/>
      <c r="L54" s="20">
        <v>5.0</v>
      </c>
      <c r="M54" s="20" t="s">
        <v>40</v>
      </c>
      <c r="N54" s="20" t="s">
        <v>41</v>
      </c>
      <c r="O54" s="20" t="s">
        <v>42</v>
      </c>
      <c r="P54" s="22" t="s">
        <v>43</v>
      </c>
      <c r="Q54" s="23">
        <v>41.0</v>
      </c>
      <c r="R54" s="24">
        <v>45528.0</v>
      </c>
      <c r="S54" s="20">
        <v>68.0</v>
      </c>
      <c r="T54" s="27">
        <v>74.59</v>
      </c>
      <c r="U54" s="143">
        <f>T54*0.25</f>
        <v>18.6475</v>
      </c>
      <c r="V54" s="27">
        <v>306.97</v>
      </c>
      <c r="W54" s="29">
        <v>4.15</v>
      </c>
      <c r="X54" s="29">
        <v>1151.78</v>
      </c>
      <c r="Y54" s="29">
        <f t="shared" si="3"/>
        <v>16.93794118</v>
      </c>
      <c r="Z54" s="31"/>
      <c r="AA54" s="31"/>
      <c r="AB54" s="19" t="s">
        <v>54</v>
      </c>
      <c r="AC54" s="31">
        <f>U54*'Data preparation'!$B$3/'Data preparation'!$B$2</f>
        <v>57.67268041</v>
      </c>
      <c r="AD54" s="144"/>
    </row>
    <row r="55">
      <c r="A55" s="37">
        <v>77.0</v>
      </c>
      <c r="B55" s="43" t="s">
        <v>67</v>
      </c>
      <c r="C55" s="15">
        <v>45498.0</v>
      </c>
      <c r="D55" s="38">
        <v>1152.0</v>
      </c>
      <c r="E55" s="48" t="s">
        <v>62</v>
      </c>
      <c r="F55" s="19">
        <v>470.0</v>
      </c>
      <c r="G55" s="20">
        <v>30.0</v>
      </c>
      <c r="H55" s="20">
        <v>3.0</v>
      </c>
      <c r="I55" s="20" t="b">
        <v>0</v>
      </c>
      <c r="J55" s="20"/>
      <c r="K55" s="21" t="s">
        <v>58</v>
      </c>
      <c r="L55" s="20">
        <v>5.0</v>
      </c>
      <c r="M55" s="20" t="s">
        <v>68</v>
      </c>
      <c r="N55" s="20"/>
      <c r="O55" s="20" t="s">
        <v>42</v>
      </c>
      <c r="P55" s="22" t="s">
        <v>69</v>
      </c>
      <c r="Q55" s="23">
        <v>35.0</v>
      </c>
      <c r="R55" s="24">
        <v>45528.0</v>
      </c>
      <c r="S55" s="20">
        <v>112.0</v>
      </c>
      <c r="T55" s="27">
        <v>0.5</v>
      </c>
      <c r="U55" s="27">
        <v>15.13</v>
      </c>
      <c r="V55" s="27">
        <v>18.11</v>
      </c>
      <c r="W55" s="20" t="s">
        <v>170</v>
      </c>
      <c r="X55" s="29">
        <v>63.09</v>
      </c>
      <c r="Y55" s="29">
        <f t="shared" si="3"/>
        <v>0.5633035714</v>
      </c>
      <c r="Z55" s="31"/>
      <c r="AA55" s="31"/>
      <c r="AB55" s="19" t="s">
        <v>54</v>
      </c>
      <c r="AC55" s="31">
        <f>U55*'Data preparation'!$B$3/'Data preparation'!$B$2</f>
        <v>46.79381443</v>
      </c>
      <c r="AD55" s="32" t="s">
        <v>73</v>
      </c>
    </row>
    <row r="56">
      <c r="A56" s="37">
        <v>48.0</v>
      </c>
      <c r="B56" s="43" t="s">
        <v>47</v>
      </c>
      <c r="C56" s="51">
        <v>45419.0</v>
      </c>
      <c r="D56" s="16">
        <v>1536.0</v>
      </c>
      <c r="E56" s="33"/>
      <c r="F56" s="19">
        <v>808.0</v>
      </c>
      <c r="G56" s="20">
        <v>60.0</v>
      </c>
      <c r="H56" s="21">
        <v>3.0</v>
      </c>
      <c r="I56" s="21" t="b">
        <v>1</v>
      </c>
      <c r="J56" s="21"/>
      <c r="K56" s="21" t="s">
        <v>58</v>
      </c>
      <c r="L56" s="20">
        <v>3.0</v>
      </c>
      <c r="M56" s="21" t="s">
        <v>150</v>
      </c>
      <c r="N56" s="20" t="s">
        <v>41</v>
      </c>
      <c r="O56" s="21" t="s">
        <v>42</v>
      </c>
      <c r="P56" s="22" t="s">
        <v>69</v>
      </c>
      <c r="Q56" s="23">
        <v>34.0</v>
      </c>
      <c r="R56" s="24">
        <v>45528.0</v>
      </c>
      <c r="S56" s="20">
        <v>139.0</v>
      </c>
      <c r="T56" s="27">
        <v>11.79</v>
      </c>
      <c r="U56" s="27">
        <v>10.54</v>
      </c>
      <c r="V56" s="27">
        <v>7.32</v>
      </c>
      <c r="W56" s="36">
        <v>1.39</v>
      </c>
      <c r="X56" s="29">
        <v>417.54</v>
      </c>
      <c r="Y56" s="29">
        <f t="shared" si="3"/>
        <v>3.003884892</v>
      </c>
      <c r="Z56" s="31"/>
      <c r="AA56" s="31"/>
      <c r="AB56" s="37" t="s">
        <v>44</v>
      </c>
      <c r="AC56" s="31">
        <f>U56*'Data preparation'!$B$3/'Data preparation'!$B$2</f>
        <v>32.59793814</v>
      </c>
      <c r="AD56" s="32" t="s">
        <v>121</v>
      </c>
    </row>
    <row r="57">
      <c r="A57" s="37">
        <v>148.0</v>
      </c>
      <c r="B57" s="43" t="s">
        <v>50</v>
      </c>
      <c r="C57" s="15">
        <v>45504.0</v>
      </c>
      <c r="D57" s="38">
        <v>1536.0</v>
      </c>
      <c r="E57" s="39" t="s">
        <v>51</v>
      </c>
      <c r="F57" s="19">
        <v>732.0</v>
      </c>
      <c r="G57" s="20">
        <v>30.0</v>
      </c>
      <c r="H57" s="20">
        <v>3.0</v>
      </c>
      <c r="I57" s="20" t="b">
        <v>0</v>
      </c>
      <c r="J57" s="40" t="s">
        <v>52</v>
      </c>
      <c r="K57" s="40"/>
      <c r="L57" s="20"/>
      <c r="M57" s="20" t="s">
        <v>53</v>
      </c>
      <c r="N57" s="20" t="s">
        <v>41</v>
      </c>
      <c r="O57" s="21" t="s">
        <v>42</v>
      </c>
      <c r="P57" s="35" t="s">
        <v>43</v>
      </c>
      <c r="Q57" s="23">
        <v>26.0</v>
      </c>
      <c r="R57" s="24">
        <v>45528.0</v>
      </c>
      <c r="S57" s="20">
        <v>105.0</v>
      </c>
      <c r="T57" s="27">
        <v>67.78</v>
      </c>
      <c r="U57" s="27">
        <v>9.51</v>
      </c>
      <c r="V57" s="27">
        <v>12.03</v>
      </c>
      <c r="W57" s="29">
        <v>0.53</v>
      </c>
      <c r="X57" s="29">
        <v>19.19</v>
      </c>
      <c r="Y57" s="29">
        <f t="shared" si="3"/>
        <v>0.1827619048</v>
      </c>
      <c r="Z57" s="31"/>
      <c r="AA57" s="31"/>
      <c r="AB57" s="19" t="s">
        <v>54</v>
      </c>
      <c r="AC57" s="31">
        <f>U57*'Data preparation'!$B$3/'Data preparation'!$B$2</f>
        <v>29.41237113</v>
      </c>
      <c r="AD57" s="42"/>
    </row>
    <row r="58">
      <c r="A58" s="37">
        <v>59.0</v>
      </c>
      <c r="B58" s="43" t="s">
        <v>61</v>
      </c>
      <c r="C58" s="46">
        <v>45498.0</v>
      </c>
      <c r="D58" s="16">
        <v>1152.0</v>
      </c>
      <c r="E58" s="33" t="s">
        <v>62</v>
      </c>
      <c r="F58" s="19">
        <v>54.0</v>
      </c>
      <c r="G58" s="20">
        <v>30.0</v>
      </c>
      <c r="H58" s="20">
        <v>3.0</v>
      </c>
      <c r="I58" s="20" t="b">
        <v>1</v>
      </c>
      <c r="J58" s="20" t="s">
        <v>63</v>
      </c>
      <c r="K58" s="20" t="s">
        <v>156</v>
      </c>
      <c r="L58" s="20">
        <v>10.0</v>
      </c>
      <c r="M58" s="20" t="s">
        <v>65</v>
      </c>
      <c r="N58" s="20"/>
      <c r="O58" s="20" t="s">
        <v>42</v>
      </c>
      <c r="P58" s="22" t="s">
        <v>43</v>
      </c>
      <c r="Q58" s="23">
        <v>21.0</v>
      </c>
      <c r="R58" s="24">
        <v>45528.0</v>
      </c>
      <c r="S58" s="20">
        <v>108.0</v>
      </c>
      <c r="T58" s="49">
        <v>7.02</v>
      </c>
      <c r="U58" s="50">
        <v>2.68</v>
      </c>
      <c r="V58" s="49">
        <v>6.81</v>
      </c>
      <c r="W58" s="36">
        <v>0.2515</v>
      </c>
      <c r="X58" s="29">
        <v>23.62</v>
      </c>
      <c r="Y58" s="29">
        <f t="shared" si="3"/>
        <v>0.2187037037</v>
      </c>
      <c r="Z58" s="31"/>
      <c r="AA58" s="31"/>
      <c r="AB58" s="19" t="s">
        <v>44</v>
      </c>
      <c r="AC58" s="31">
        <f>U58*'Data preparation'!$B$3/'Data preparation'!$B$2</f>
        <v>8.288659794</v>
      </c>
      <c r="AD58" s="32"/>
    </row>
    <row r="59">
      <c r="A59" s="37">
        <v>6.0</v>
      </c>
      <c r="B59" s="43" t="s">
        <v>74</v>
      </c>
      <c r="C59" s="51">
        <v>45419.0</v>
      </c>
      <c r="D59" s="16">
        <v>2304.0</v>
      </c>
      <c r="E59" s="17"/>
      <c r="F59" s="19">
        <v>2.0</v>
      </c>
      <c r="G59" s="21">
        <v>30.0</v>
      </c>
      <c r="H59" s="21">
        <v>3.0</v>
      </c>
      <c r="I59" s="20" t="b">
        <v>1</v>
      </c>
      <c r="J59" s="20" t="s">
        <v>63</v>
      </c>
      <c r="K59" s="20" t="s">
        <v>58</v>
      </c>
      <c r="L59" s="20">
        <v>3.0</v>
      </c>
      <c r="M59" s="20" t="s">
        <v>75</v>
      </c>
      <c r="N59" s="21"/>
      <c r="O59" s="21" t="s">
        <v>42</v>
      </c>
      <c r="P59" s="35" t="s">
        <v>43</v>
      </c>
      <c r="Q59" s="23">
        <v>12.0</v>
      </c>
      <c r="R59" s="52">
        <v>45524.0</v>
      </c>
      <c r="S59" s="20">
        <v>181.0</v>
      </c>
      <c r="T59" s="49">
        <v>2.57</v>
      </c>
      <c r="U59" s="49">
        <v>2.09</v>
      </c>
      <c r="V59" s="49">
        <v>8.15</v>
      </c>
      <c r="W59" s="36">
        <v>3.0E-4</v>
      </c>
      <c r="X59" s="29">
        <v>56.12</v>
      </c>
      <c r="Y59" s="29">
        <f t="shared" si="3"/>
        <v>0.3100552486</v>
      </c>
      <c r="Z59" s="37"/>
      <c r="AA59" s="37"/>
      <c r="AB59" s="37" t="s">
        <v>44</v>
      </c>
      <c r="AC59" s="37">
        <f>U59*'Data preparation'!$B$3/'Data preparation'!$B$2</f>
        <v>6.463917526</v>
      </c>
      <c r="AD59" s="32"/>
    </row>
  </sheetData>
  <autoFilter ref="$A$1:$AC$8">
    <sortState ref="A1:AC8">
      <sortCondition descending="1" ref="U1:U8"/>
      <sortCondition descending="1" ref="T1:T8"/>
      <sortCondition descending="1" ref="AA1:AA8"/>
    </sortState>
  </autoFilter>
  <mergeCells count="3">
    <mergeCell ref="F51:Q51"/>
    <mergeCell ref="T51:V51"/>
    <mergeCell ref="W51:AC51"/>
  </mergeCells>
  <conditionalFormatting sqref="Z2:Z9 S53:S59">
    <cfRule type="colorScale" priority="1">
      <colorScale>
        <cfvo type="min"/>
        <cfvo type="max"/>
        <color rgb="FFFFFFFF"/>
        <color rgb="FFFFD666"/>
      </colorScale>
    </cfRule>
  </conditionalFormatting>
  <conditionalFormatting sqref="AA2:AB8 Y9 X53:X59">
    <cfRule type="colorScale" priority="2">
      <colorScale>
        <cfvo type="min"/>
        <cfvo type="max"/>
        <color rgb="FFFFFFFF"/>
        <color rgb="FF57BB8A"/>
      </colorScale>
    </cfRule>
  </conditionalFormatting>
  <conditionalFormatting sqref="Y2:Y8">
    <cfRule type="colorScale" priority="3">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31" t="s">
        <v>171</v>
      </c>
    </row>
    <row r="8">
      <c r="B8" s="54" t="s">
        <v>172</v>
      </c>
    </row>
    <row r="9">
      <c r="B9" s="145" t="s">
        <v>173</v>
      </c>
    </row>
    <row r="10">
      <c r="B10" s="146" t="s">
        <v>174</v>
      </c>
      <c r="F10" s="54" t="s">
        <v>175</v>
      </c>
      <c r="G10" s="54" t="s">
        <v>176</v>
      </c>
      <c r="H10" s="54" t="s">
        <v>177</v>
      </c>
    </row>
    <row r="11">
      <c r="C11" s="54" t="s">
        <v>178</v>
      </c>
      <c r="D11" s="54">
        <v>-0.15</v>
      </c>
      <c r="F11" s="54">
        <v>0.0</v>
      </c>
      <c r="G11" s="54">
        <v>0.0</v>
      </c>
      <c r="H11" s="127" t="str">
        <f>F11/G11</f>
        <v>#DIV/0!</v>
      </c>
      <c r="I11" s="55" t="s">
        <v>179</v>
      </c>
    </row>
    <row r="12">
      <c r="C12" s="146" t="s">
        <v>180</v>
      </c>
    </row>
    <row r="13">
      <c r="C13" s="146" t="s">
        <v>181</v>
      </c>
    </row>
    <row r="14">
      <c r="B14" s="146" t="s">
        <v>182</v>
      </c>
      <c r="F14" s="54">
        <v>2.0</v>
      </c>
      <c r="G14" s="54">
        <v>2.0</v>
      </c>
      <c r="H14" s="127">
        <f>F14/G14</f>
        <v>1</v>
      </c>
    </row>
    <row r="15">
      <c r="C15" s="54" t="s">
        <v>178</v>
      </c>
      <c r="D15" s="54">
        <v>-0.1</v>
      </c>
    </row>
    <row r="16">
      <c r="C16" s="146" t="s">
        <v>183</v>
      </c>
    </row>
    <row r="17">
      <c r="C17" s="146" t="s">
        <v>184</v>
      </c>
    </row>
    <row r="18">
      <c r="B18" s="146" t="s">
        <v>185</v>
      </c>
      <c r="F18" s="54">
        <v>0.0</v>
      </c>
      <c r="G18" s="54">
        <v>0.0</v>
      </c>
      <c r="H18" s="127" t="str">
        <f>F18/G18</f>
        <v>#DIV/0!</v>
      </c>
    </row>
    <row r="19">
      <c r="C19" s="54" t="s">
        <v>178</v>
      </c>
      <c r="D19" s="54">
        <v>-0.15</v>
      </c>
    </row>
    <row r="20">
      <c r="C20" s="146" t="s">
        <v>186</v>
      </c>
    </row>
    <row r="21">
      <c r="C21" s="146" t="s">
        <v>187</v>
      </c>
    </row>
    <row r="25">
      <c r="B25" s="147" t="s">
        <v>188</v>
      </c>
    </row>
    <row r="26">
      <c r="B26" s="1" t="s">
        <v>0</v>
      </c>
      <c r="C26" s="1" t="s">
        <v>1</v>
      </c>
      <c r="D26" s="1" t="s">
        <v>2</v>
      </c>
      <c r="E26" s="1" t="s">
        <v>21</v>
      </c>
      <c r="F26" s="115" t="s">
        <v>109</v>
      </c>
      <c r="G26" s="115" t="s">
        <v>107</v>
      </c>
      <c r="H26" s="115" t="s">
        <v>108</v>
      </c>
      <c r="I26" s="121" t="s">
        <v>22</v>
      </c>
    </row>
    <row r="27">
      <c r="B27" s="37">
        <v>55.0</v>
      </c>
      <c r="C27" s="35" t="s">
        <v>38</v>
      </c>
      <c r="D27" s="74">
        <v>45419.0</v>
      </c>
      <c r="E27" s="118">
        <v>45465.0</v>
      </c>
      <c r="F27" s="27">
        <v>341.17</v>
      </c>
      <c r="G27" s="27">
        <v>228.32</v>
      </c>
      <c r="H27" s="143">
        <f>G27*0.1</f>
        <v>22.832</v>
      </c>
      <c r="I27" s="20">
        <v>56.0</v>
      </c>
    </row>
    <row r="28">
      <c r="B28" s="37">
        <v>167.0</v>
      </c>
      <c r="C28" s="35" t="s">
        <v>56</v>
      </c>
      <c r="D28" s="74">
        <v>45467.0</v>
      </c>
      <c r="E28" s="118">
        <v>45494.0</v>
      </c>
      <c r="F28" s="27">
        <v>17.23</v>
      </c>
      <c r="G28" s="27">
        <v>3.59</v>
      </c>
      <c r="H28" s="27">
        <v>38.66</v>
      </c>
      <c r="I28" s="20">
        <v>139.0</v>
      </c>
    </row>
    <row r="29">
      <c r="B29" s="37">
        <v>148.0</v>
      </c>
      <c r="C29" s="35" t="s">
        <v>50</v>
      </c>
      <c r="D29" s="74">
        <v>45504.0</v>
      </c>
      <c r="E29" s="117">
        <v>45504.0</v>
      </c>
      <c r="F29" s="27">
        <v>19.73</v>
      </c>
      <c r="G29" s="27">
        <v>47.88</v>
      </c>
      <c r="H29" s="148">
        <v>19.73</v>
      </c>
      <c r="I29" s="20">
        <v>91.0</v>
      </c>
    </row>
    <row r="30">
      <c r="B30" s="19">
        <v>48.0</v>
      </c>
      <c r="C30" s="35" t="s">
        <v>47</v>
      </c>
      <c r="D30" s="74">
        <v>45419.0</v>
      </c>
      <c r="E30" s="118">
        <v>45465.0</v>
      </c>
      <c r="F30" s="27">
        <v>12.73</v>
      </c>
      <c r="G30" s="27">
        <v>11.21</v>
      </c>
      <c r="H30" s="27">
        <v>16.21</v>
      </c>
      <c r="I30" s="20">
        <v>119.0</v>
      </c>
    </row>
    <row r="31">
      <c r="B31" s="37">
        <v>77.0</v>
      </c>
      <c r="C31" s="35" t="s">
        <v>67</v>
      </c>
      <c r="D31" s="74">
        <v>45498.0</v>
      </c>
      <c r="E31" s="117">
        <v>45498.0</v>
      </c>
      <c r="F31" s="27">
        <v>15.41</v>
      </c>
      <c r="G31" s="27">
        <v>1.42</v>
      </c>
      <c r="H31" s="148">
        <v>15.41</v>
      </c>
      <c r="I31" s="20">
        <v>81.0</v>
      </c>
    </row>
    <row r="32">
      <c r="B32" s="37">
        <v>59.0</v>
      </c>
      <c r="C32" s="35" t="s">
        <v>61</v>
      </c>
      <c r="D32" s="74">
        <v>45498.0</v>
      </c>
      <c r="E32" s="118">
        <v>45498.0</v>
      </c>
      <c r="F32" s="49">
        <v>6.51</v>
      </c>
      <c r="G32" s="49">
        <v>21.87</v>
      </c>
      <c r="H32" s="50">
        <v>8.63</v>
      </c>
      <c r="I32" s="20">
        <v>120.0</v>
      </c>
    </row>
    <row r="33">
      <c r="B33" s="37">
        <v>6.0</v>
      </c>
      <c r="C33" s="35" t="s">
        <v>74</v>
      </c>
      <c r="D33" s="74">
        <v>45419.0</v>
      </c>
      <c r="E33" s="94">
        <v>45488.0</v>
      </c>
      <c r="F33" s="49">
        <v>8.402</v>
      </c>
      <c r="G33" s="49">
        <v>3.56</v>
      </c>
      <c r="H33" s="149">
        <v>8.4</v>
      </c>
      <c r="I33" s="20">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6" max="9" width="14.5"/>
    <col customWidth="1" min="17" max="17" width="20.5"/>
    <col customWidth="1" min="20" max="20" width="15.13"/>
    <col customWidth="1" min="38" max="38" width="65.13"/>
  </cols>
  <sheetData>
    <row r="1">
      <c r="A1" s="1" t="s">
        <v>0</v>
      </c>
      <c r="B1" s="2" t="s">
        <v>1</v>
      </c>
      <c r="C1" s="3" t="s">
        <v>2</v>
      </c>
      <c r="D1" s="3" t="s">
        <v>3</v>
      </c>
      <c r="E1" s="3" t="s">
        <v>4</v>
      </c>
      <c r="F1" s="3" t="s">
        <v>5</v>
      </c>
      <c r="G1" s="3" t="s">
        <v>6</v>
      </c>
      <c r="H1" s="3" t="s">
        <v>7</v>
      </c>
      <c r="I1" s="3" t="s">
        <v>8</v>
      </c>
      <c r="J1" s="4" t="s">
        <v>9</v>
      </c>
      <c r="K1" s="4" t="s">
        <v>10</v>
      </c>
      <c r="L1" s="4" t="s">
        <v>11</v>
      </c>
      <c r="M1" s="4" t="s">
        <v>12</v>
      </c>
      <c r="N1" s="4" t="s">
        <v>13</v>
      </c>
      <c r="O1" s="4" t="s">
        <v>14</v>
      </c>
      <c r="P1" s="4" t="s">
        <v>15</v>
      </c>
      <c r="Q1" s="4" t="s">
        <v>16</v>
      </c>
      <c r="R1" s="4" t="s">
        <v>17</v>
      </c>
      <c r="S1" s="4" t="s">
        <v>18</v>
      </c>
      <c r="T1" s="4" t="s">
        <v>19</v>
      </c>
      <c r="U1" s="5" t="s">
        <v>20</v>
      </c>
      <c r="V1" s="6" t="s">
        <v>21</v>
      </c>
      <c r="W1" s="6" t="s">
        <v>22</v>
      </c>
      <c r="X1" s="6" t="s">
        <v>23</v>
      </c>
      <c r="Y1" s="6" t="s">
        <v>24</v>
      </c>
      <c r="Z1" s="6" t="s">
        <v>25</v>
      </c>
      <c r="AA1" s="6" t="s">
        <v>26</v>
      </c>
      <c r="AB1" s="6" t="s">
        <v>27</v>
      </c>
      <c r="AC1" s="6" t="s">
        <v>28</v>
      </c>
      <c r="AD1" s="7" t="s">
        <v>29</v>
      </c>
      <c r="AE1" s="7" t="s">
        <v>30</v>
      </c>
      <c r="AF1" s="8" t="s">
        <v>31</v>
      </c>
      <c r="AG1" s="8" t="s">
        <v>32</v>
      </c>
      <c r="AH1" s="9" t="s">
        <v>33</v>
      </c>
      <c r="AI1" s="7" t="s">
        <v>34</v>
      </c>
      <c r="AJ1" s="7" t="s">
        <v>35</v>
      </c>
      <c r="AK1" s="10" t="s">
        <v>36</v>
      </c>
      <c r="AL1" s="11" t="s">
        <v>37</v>
      </c>
      <c r="AM1" s="12"/>
      <c r="AN1" s="12"/>
      <c r="AO1" s="12"/>
      <c r="AP1" s="12"/>
      <c r="AQ1" s="12"/>
    </row>
    <row r="2">
      <c r="A2" s="37">
        <v>55.0</v>
      </c>
      <c r="B2" s="43" t="s">
        <v>38</v>
      </c>
      <c r="C2" s="15">
        <v>45419.0</v>
      </c>
      <c r="D2" s="16">
        <v>2304.0</v>
      </c>
      <c r="E2" s="17"/>
      <c r="F2" s="16">
        <v>5361.0</v>
      </c>
      <c r="G2" s="16">
        <v>5992.0</v>
      </c>
      <c r="H2" s="16">
        <v>10227.0</v>
      </c>
      <c r="I2" s="18">
        <f t="shared" ref="I2:I8" si="1">F2/G2</f>
        <v>0.8946929239</v>
      </c>
      <c r="J2" s="19">
        <v>989.0</v>
      </c>
      <c r="K2" s="20">
        <v>30.0</v>
      </c>
      <c r="L2" s="21">
        <v>3.0</v>
      </c>
      <c r="M2" s="20" t="b">
        <v>0</v>
      </c>
      <c r="N2" s="20" t="s">
        <v>39</v>
      </c>
      <c r="O2" s="20"/>
      <c r="P2" s="20">
        <v>5.0</v>
      </c>
      <c r="Q2" s="20" t="s">
        <v>40</v>
      </c>
      <c r="R2" s="20" t="s">
        <v>41</v>
      </c>
      <c r="S2" s="20" t="s">
        <v>42</v>
      </c>
      <c r="T2" s="22" t="s">
        <v>43</v>
      </c>
      <c r="U2" s="23">
        <v>41.0</v>
      </c>
      <c r="V2" s="24">
        <v>45537.0</v>
      </c>
      <c r="W2" s="20">
        <v>83.0</v>
      </c>
      <c r="X2" s="25">
        <v>1540.0</v>
      </c>
      <c r="Y2" s="26">
        <f t="shared" ref="Y2:Y7" si="2">X2/D2</f>
        <v>0.6684027778</v>
      </c>
      <c r="Z2" s="27">
        <v>92.37</v>
      </c>
      <c r="AA2" s="28">
        <f>Z2*0.05</f>
        <v>4.6185</v>
      </c>
      <c r="AB2" s="27">
        <v>655.25</v>
      </c>
      <c r="AC2" s="27">
        <f t="shared" ref="AC2:AC7" si="3">IF(AB2&gt;AA2,AA2,AB2)</f>
        <v>4.6185</v>
      </c>
      <c r="AD2" s="29">
        <v>3.33</v>
      </c>
      <c r="AE2" s="29">
        <v>1667.37</v>
      </c>
      <c r="AF2" s="29">
        <f t="shared" ref="AF2:AF8" si="4">AE2/W2</f>
        <v>20.08879518</v>
      </c>
      <c r="AG2" s="19" t="s">
        <v>44</v>
      </c>
      <c r="AH2" s="30" t="s">
        <v>45</v>
      </c>
      <c r="AI2" s="19">
        <v>80.0</v>
      </c>
      <c r="AJ2" s="19">
        <v>0.0</v>
      </c>
      <c r="AK2" s="31">
        <f>AC2*'Data preparation'!$B$3/'Data preparation'!$B$2</f>
        <v>14.28402062</v>
      </c>
      <c r="AL2" s="32" t="s">
        <v>46</v>
      </c>
    </row>
    <row r="3" ht="33.0" customHeight="1">
      <c r="A3" s="37">
        <v>48.0</v>
      </c>
      <c r="B3" s="43" t="s">
        <v>47</v>
      </c>
      <c r="C3" s="15">
        <v>45419.0</v>
      </c>
      <c r="D3" s="16">
        <v>1536.0</v>
      </c>
      <c r="E3" s="33"/>
      <c r="F3" s="34">
        <v>6293.0</v>
      </c>
      <c r="G3" s="34">
        <v>7557.0</v>
      </c>
      <c r="H3" s="34">
        <v>11448.0</v>
      </c>
      <c r="I3" s="18">
        <f t="shared" si="1"/>
        <v>0.8327378589</v>
      </c>
      <c r="J3" s="19">
        <v>274.0</v>
      </c>
      <c r="K3" s="20">
        <v>30.0</v>
      </c>
      <c r="L3" s="21">
        <v>3.0</v>
      </c>
      <c r="M3" s="21" t="b">
        <v>1</v>
      </c>
      <c r="N3" s="20" t="s">
        <v>39</v>
      </c>
      <c r="O3" s="21"/>
      <c r="P3" s="20">
        <v>5.0</v>
      </c>
      <c r="Q3" s="20" t="s">
        <v>48</v>
      </c>
      <c r="R3" s="20"/>
      <c r="S3" s="21" t="s">
        <v>42</v>
      </c>
      <c r="T3" s="35" t="s">
        <v>43</v>
      </c>
      <c r="U3" s="23">
        <v>43.0</v>
      </c>
      <c r="V3" s="24">
        <v>45537.0</v>
      </c>
      <c r="W3" s="20">
        <v>152.0</v>
      </c>
      <c r="X3" s="25">
        <v>800.0</v>
      </c>
      <c r="Y3" s="26">
        <f t="shared" si="2"/>
        <v>0.5208333333</v>
      </c>
      <c r="Z3" s="27">
        <v>6.77</v>
      </c>
      <c r="AA3" s="27">
        <v>5.57</v>
      </c>
      <c r="AB3" s="27">
        <v>3.78</v>
      </c>
      <c r="AC3" s="27">
        <f t="shared" si="3"/>
        <v>3.78</v>
      </c>
      <c r="AD3" s="36">
        <v>0.08</v>
      </c>
      <c r="AE3" s="29">
        <v>19.0</v>
      </c>
      <c r="AF3" s="29">
        <f t="shared" si="4"/>
        <v>0.125</v>
      </c>
      <c r="AG3" s="37" t="s">
        <v>44</v>
      </c>
      <c r="AH3" s="30" t="s">
        <v>45</v>
      </c>
      <c r="AI3" s="19">
        <v>40.0</v>
      </c>
      <c r="AJ3" s="19">
        <v>0.0</v>
      </c>
      <c r="AK3" s="31">
        <f>AC3*'Data preparation'!$B$3/'Data preparation'!$B$2</f>
        <v>11.69072165</v>
      </c>
      <c r="AL3" s="32" t="s">
        <v>49</v>
      </c>
    </row>
    <row r="4" ht="41.25" customHeight="1">
      <c r="A4" s="37">
        <v>148.0</v>
      </c>
      <c r="B4" s="43" t="s">
        <v>50</v>
      </c>
      <c r="C4" s="15">
        <v>45504.0</v>
      </c>
      <c r="D4" s="38">
        <v>1536.0</v>
      </c>
      <c r="E4" s="39" t="s">
        <v>51</v>
      </c>
      <c r="F4" s="16">
        <v>5971.0</v>
      </c>
      <c r="G4" s="16">
        <v>6762.0</v>
      </c>
      <c r="H4" s="16">
        <v>11025.0</v>
      </c>
      <c r="I4" s="18">
        <f t="shared" si="1"/>
        <v>0.8830227743</v>
      </c>
      <c r="J4" s="19">
        <v>732.0</v>
      </c>
      <c r="K4" s="20">
        <v>30.0</v>
      </c>
      <c r="L4" s="20">
        <v>3.0</v>
      </c>
      <c r="M4" s="20" t="b">
        <v>0</v>
      </c>
      <c r="N4" s="40" t="s">
        <v>52</v>
      </c>
      <c r="O4" s="40"/>
      <c r="P4" s="20"/>
      <c r="Q4" s="20" t="s">
        <v>53</v>
      </c>
      <c r="R4" s="20" t="s">
        <v>41</v>
      </c>
      <c r="S4" s="21" t="s">
        <v>42</v>
      </c>
      <c r="T4" s="35" t="s">
        <v>43</v>
      </c>
      <c r="U4" s="23">
        <v>26.0</v>
      </c>
      <c r="V4" s="24">
        <v>45537.0</v>
      </c>
      <c r="W4" s="20">
        <v>130.0</v>
      </c>
      <c r="X4" s="25">
        <v>584.0</v>
      </c>
      <c r="Y4" s="26">
        <f t="shared" si="2"/>
        <v>0.3802083333</v>
      </c>
      <c r="Z4" s="27">
        <v>19.95</v>
      </c>
      <c r="AA4" s="27">
        <v>5.57</v>
      </c>
      <c r="AB4" s="27">
        <v>4.85</v>
      </c>
      <c r="AC4" s="27">
        <f t="shared" si="3"/>
        <v>4.85</v>
      </c>
      <c r="AD4" s="29">
        <v>0.28</v>
      </c>
      <c r="AE4" s="41">
        <v>16.65</v>
      </c>
      <c r="AF4" s="41">
        <f t="shared" si="4"/>
        <v>0.1280769231</v>
      </c>
      <c r="AG4" s="19" t="s">
        <v>54</v>
      </c>
      <c r="AH4" s="30" t="s">
        <v>45</v>
      </c>
      <c r="AI4" s="19">
        <v>30.0</v>
      </c>
      <c r="AJ4" s="19">
        <v>0.0</v>
      </c>
      <c r="AK4" s="31">
        <f>AC4*'Data preparation'!$B$3/'Data preparation'!$B$2</f>
        <v>15</v>
      </c>
      <c r="AL4" s="42" t="s">
        <v>55</v>
      </c>
    </row>
    <row r="5" ht="31.5" customHeight="1">
      <c r="A5" s="37">
        <v>167.0</v>
      </c>
      <c r="B5" s="43" t="s">
        <v>56</v>
      </c>
      <c r="C5" s="44">
        <v>45467.0</v>
      </c>
      <c r="D5" s="16">
        <v>768.0</v>
      </c>
      <c r="E5" s="17"/>
      <c r="F5" s="16">
        <v>2678.0</v>
      </c>
      <c r="G5" s="16">
        <v>3456.0</v>
      </c>
      <c r="H5" s="16">
        <v>6558.0</v>
      </c>
      <c r="I5" s="18">
        <f t="shared" si="1"/>
        <v>0.7748842593</v>
      </c>
      <c r="J5" s="19">
        <v>27.0</v>
      </c>
      <c r="K5" s="20">
        <v>30.0</v>
      </c>
      <c r="L5" s="21">
        <v>3.0</v>
      </c>
      <c r="M5" s="21" t="b">
        <v>1</v>
      </c>
      <c r="N5" s="20" t="s">
        <v>39</v>
      </c>
      <c r="O5" s="20" t="s">
        <v>58</v>
      </c>
      <c r="P5" s="20">
        <v>3.0</v>
      </c>
      <c r="Q5" s="21" t="s">
        <v>59</v>
      </c>
      <c r="R5" s="20" t="s">
        <v>41</v>
      </c>
      <c r="S5" s="20"/>
      <c r="T5" s="22" t="s">
        <v>43</v>
      </c>
      <c r="U5" s="23">
        <v>20.0</v>
      </c>
      <c r="V5" s="24">
        <v>45538.0</v>
      </c>
      <c r="W5" s="20">
        <v>168.0</v>
      </c>
      <c r="X5" s="25">
        <v>386.0</v>
      </c>
      <c r="Y5" s="26">
        <f t="shared" si="2"/>
        <v>0.5026041667</v>
      </c>
      <c r="Z5" s="27">
        <v>1.08</v>
      </c>
      <c r="AA5" s="27">
        <v>5.17</v>
      </c>
      <c r="AB5" s="27">
        <v>10.66</v>
      </c>
      <c r="AC5" s="27">
        <f t="shared" si="3"/>
        <v>5.17</v>
      </c>
      <c r="AD5" s="29">
        <v>0.0483</v>
      </c>
      <c r="AE5" s="29">
        <v>43.89</v>
      </c>
      <c r="AF5" s="29">
        <f t="shared" si="4"/>
        <v>0.26125</v>
      </c>
      <c r="AG5" s="19" t="s">
        <v>54</v>
      </c>
      <c r="AH5" s="30" t="s">
        <v>45</v>
      </c>
      <c r="AI5" s="19">
        <v>30.0</v>
      </c>
      <c r="AJ5" s="19">
        <v>0.0</v>
      </c>
      <c r="AK5" s="37">
        <f>AA5*'Data preparation'!$B$3/'Data preparation'!$B$2</f>
        <v>15.98969072</v>
      </c>
      <c r="AL5" s="32" t="s">
        <v>60</v>
      </c>
      <c r="AP5" s="45"/>
    </row>
    <row r="6" ht="41.25" customHeight="1">
      <c r="A6" s="37">
        <v>59.0</v>
      </c>
      <c r="B6" s="43" t="s">
        <v>61</v>
      </c>
      <c r="C6" s="46">
        <v>45498.0</v>
      </c>
      <c r="D6" s="16">
        <v>1152.0</v>
      </c>
      <c r="E6" s="33" t="s">
        <v>62</v>
      </c>
      <c r="F6" s="34">
        <v>4787.0</v>
      </c>
      <c r="G6" s="34">
        <v>5496.0</v>
      </c>
      <c r="H6" s="34">
        <v>8328.0</v>
      </c>
      <c r="I6" s="18">
        <f t="shared" si="1"/>
        <v>0.8709970888</v>
      </c>
      <c r="J6" s="19">
        <v>54.0</v>
      </c>
      <c r="K6" s="20">
        <v>30.0</v>
      </c>
      <c r="L6" s="20">
        <v>3.0</v>
      </c>
      <c r="M6" s="21" t="b">
        <v>1</v>
      </c>
      <c r="N6" s="20" t="s">
        <v>63</v>
      </c>
      <c r="O6" s="20" t="s">
        <v>64</v>
      </c>
      <c r="P6" s="20">
        <v>10.0</v>
      </c>
      <c r="Q6" s="20" t="s">
        <v>65</v>
      </c>
      <c r="R6" s="20"/>
      <c r="S6" s="20" t="s">
        <v>42</v>
      </c>
      <c r="T6" s="22" t="s">
        <v>43</v>
      </c>
      <c r="U6" s="23">
        <v>21.0</v>
      </c>
      <c r="V6" s="24">
        <v>45537.0</v>
      </c>
      <c r="W6" s="20">
        <v>119.0</v>
      </c>
      <c r="X6" s="25">
        <v>665.0</v>
      </c>
      <c r="Y6" s="26">
        <f t="shared" si="2"/>
        <v>0.5772569444</v>
      </c>
      <c r="Z6" s="27">
        <v>5.82</v>
      </c>
      <c r="AA6" s="27">
        <v>2.92</v>
      </c>
      <c r="AB6" s="27">
        <v>7.67</v>
      </c>
      <c r="AC6" s="27">
        <f t="shared" si="3"/>
        <v>2.92</v>
      </c>
      <c r="AD6" s="29">
        <v>0.1177</v>
      </c>
      <c r="AE6" s="29">
        <v>20.46</v>
      </c>
      <c r="AF6" s="29">
        <f t="shared" si="4"/>
        <v>0.1719327731</v>
      </c>
      <c r="AG6" s="19" t="s">
        <v>54</v>
      </c>
      <c r="AH6" s="30" t="s">
        <v>45</v>
      </c>
      <c r="AI6" s="19">
        <v>50.0</v>
      </c>
      <c r="AJ6" s="30">
        <v>0.0</v>
      </c>
      <c r="AK6" s="31">
        <f>AC6*'Data preparation'!$B$3/'Data preparation'!$B$2</f>
        <v>9.030927835</v>
      </c>
      <c r="AL6" s="32" t="s">
        <v>66</v>
      </c>
      <c r="AP6" s="47"/>
    </row>
    <row r="7" ht="40.5" customHeight="1">
      <c r="A7" s="150">
        <v>77.0</v>
      </c>
      <c r="B7" s="151" t="s">
        <v>67</v>
      </c>
      <c r="C7" s="15">
        <v>45498.0</v>
      </c>
      <c r="D7" s="38">
        <v>1152.0</v>
      </c>
      <c r="E7" s="48" t="s">
        <v>62</v>
      </c>
      <c r="F7" s="34">
        <v>5243.0</v>
      </c>
      <c r="G7" s="34">
        <v>6119.0</v>
      </c>
      <c r="H7" s="34">
        <v>8205.0</v>
      </c>
      <c r="I7" s="18">
        <f t="shared" si="1"/>
        <v>0.8568393528</v>
      </c>
      <c r="J7" s="19">
        <v>470.0</v>
      </c>
      <c r="K7" s="20">
        <v>30.0</v>
      </c>
      <c r="L7" s="20">
        <v>3.0</v>
      </c>
      <c r="M7" s="20" t="b">
        <v>0</v>
      </c>
      <c r="N7" s="20"/>
      <c r="O7" s="21" t="s">
        <v>58</v>
      </c>
      <c r="P7" s="20">
        <v>5.0</v>
      </c>
      <c r="Q7" s="20" t="s">
        <v>68</v>
      </c>
      <c r="R7" s="20"/>
      <c r="S7" s="20" t="s">
        <v>42</v>
      </c>
      <c r="T7" s="22" t="s">
        <v>69</v>
      </c>
      <c r="U7" s="23">
        <v>35.0</v>
      </c>
      <c r="V7" s="24">
        <v>45531.0</v>
      </c>
      <c r="W7" s="20">
        <v>116.0</v>
      </c>
      <c r="X7" s="25">
        <v>39.0</v>
      </c>
      <c r="Y7" s="26">
        <f t="shared" si="2"/>
        <v>0.03385416667</v>
      </c>
      <c r="Z7" s="49">
        <v>-0.18</v>
      </c>
      <c r="AA7" s="50">
        <v>2.54</v>
      </c>
      <c r="AB7" s="49">
        <v>2.12</v>
      </c>
      <c r="AC7" s="27">
        <f t="shared" si="3"/>
        <v>2.12</v>
      </c>
      <c r="AD7" s="29">
        <v>0.03</v>
      </c>
      <c r="AE7" s="29">
        <v>13.27</v>
      </c>
      <c r="AF7" s="29">
        <f t="shared" si="4"/>
        <v>0.1143965517</v>
      </c>
      <c r="AG7" s="19" t="s">
        <v>54</v>
      </c>
      <c r="AH7" s="30" t="s">
        <v>70</v>
      </c>
      <c r="AI7" s="30" t="s">
        <v>71</v>
      </c>
      <c r="AJ7" s="30" t="s">
        <v>72</v>
      </c>
      <c r="AK7" s="31">
        <f>AC7*'Data preparation'!$B$3/'Data preparation'!$B$2</f>
        <v>6.556701031</v>
      </c>
      <c r="AL7" s="32" t="s">
        <v>73</v>
      </c>
      <c r="AP7" s="47"/>
    </row>
    <row r="8" ht="39.0" customHeight="1">
      <c r="A8" s="37">
        <v>6.0</v>
      </c>
      <c r="B8" s="43" t="s">
        <v>74</v>
      </c>
      <c r="C8" s="51">
        <v>45419.0</v>
      </c>
      <c r="D8" s="16">
        <v>2304.0</v>
      </c>
      <c r="E8" s="17"/>
      <c r="F8" s="16">
        <v>3139.0</v>
      </c>
      <c r="G8" s="16">
        <v>3346.0</v>
      </c>
      <c r="H8" s="16">
        <v>6908.0</v>
      </c>
      <c r="I8" s="18">
        <f t="shared" si="1"/>
        <v>0.9381350867</v>
      </c>
      <c r="J8" s="19">
        <v>2.0</v>
      </c>
      <c r="K8" s="21">
        <v>30.0</v>
      </c>
      <c r="L8" s="21">
        <v>3.0</v>
      </c>
      <c r="M8" s="20" t="b">
        <v>1</v>
      </c>
      <c r="N8" s="20" t="s">
        <v>63</v>
      </c>
      <c r="O8" s="20" t="s">
        <v>58</v>
      </c>
      <c r="P8" s="20">
        <v>3.0</v>
      </c>
      <c r="Q8" s="20" t="s">
        <v>75</v>
      </c>
      <c r="R8" s="21"/>
      <c r="S8" s="21" t="s">
        <v>42</v>
      </c>
      <c r="T8" s="35" t="s">
        <v>43</v>
      </c>
      <c r="U8" s="23">
        <v>12.0</v>
      </c>
      <c r="V8" s="52">
        <v>45531.0</v>
      </c>
      <c r="W8" s="20">
        <v>208.0</v>
      </c>
      <c r="X8" s="27"/>
      <c r="Y8" s="27"/>
      <c r="Z8" s="49">
        <v>1.22</v>
      </c>
      <c r="AA8" s="49">
        <v>1.44</v>
      </c>
      <c r="AB8" s="49">
        <v>3.58</v>
      </c>
      <c r="AC8" s="49"/>
      <c r="AD8" s="36">
        <v>0.0044</v>
      </c>
      <c r="AE8" s="29">
        <v>15.98</v>
      </c>
      <c r="AF8" s="29">
        <f t="shared" si="4"/>
        <v>0.07682692308</v>
      </c>
      <c r="AG8" s="37" t="s">
        <v>44</v>
      </c>
      <c r="AH8" s="30" t="s">
        <v>70</v>
      </c>
      <c r="AI8" s="30" t="s">
        <v>71</v>
      </c>
      <c r="AJ8" s="30" t="s">
        <v>76</v>
      </c>
      <c r="AK8" s="37">
        <f>AA8*'Data preparation'!$B$3/'Data preparation'!$B$2</f>
        <v>4.453608247</v>
      </c>
      <c r="AL8" s="32"/>
      <c r="AP8" s="47"/>
    </row>
    <row r="9">
      <c r="AP9" s="47"/>
    </row>
    <row r="10">
      <c r="AK10" s="53"/>
    </row>
    <row r="11">
      <c r="F11" s="54">
        <v>33472.0</v>
      </c>
    </row>
    <row r="12" ht="20.25" customHeight="1">
      <c r="F12" s="54">
        <v>29198.0</v>
      </c>
      <c r="G12" s="54">
        <f>38728-F11+F12</f>
        <v>34454</v>
      </c>
      <c r="H12" s="139">
        <f>F12/G12</f>
        <v>0.8474487723</v>
      </c>
      <c r="V12" s="54"/>
      <c r="W12" s="54"/>
    </row>
    <row r="13" ht="20.25" customHeight="1"/>
    <row r="14" ht="20.25" customHeight="1"/>
    <row r="15" ht="20.25" customHeight="1"/>
    <row r="16" ht="20.25" customHeight="1"/>
    <row r="17" ht="20.25" customHeight="1"/>
    <row r="18" ht="20.25" customHeight="1"/>
  </sheetData>
  <autoFilter ref="$A$1:$AL$8">
    <sortState ref="A1:AL8">
      <sortCondition descending="1" ref="AK1:AK8"/>
      <sortCondition descending="1" ref="AA1:AA8"/>
      <sortCondition descending="1" ref="Z1:Z8"/>
      <sortCondition descending="1" ref="AF1:AF8"/>
    </sortState>
  </autoFilter>
  <conditionalFormatting sqref="W2:W8">
    <cfRule type="colorScale" priority="1">
      <colorScale>
        <cfvo type="min"/>
        <cfvo type="max"/>
        <color rgb="FFFFFFFF"/>
        <color rgb="FFFFD666"/>
      </colorScale>
    </cfRule>
  </conditionalFormatting>
  <conditionalFormatting sqref="AF2:AF8">
    <cfRule type="colorScale" priority="2">
      <colorScale>
        <cfvo type="min"/>
        <cfvo type="max"/>
        <color rgb="FFFFFFFF"/>
        <color rgb="FF57BB8A"/>
      </colorScale>
    </cfRule>
  </conditionalFormatting>
  <conditionalFormatting sqref="AE2:AE8">
    <cfRule type="colorScale" priority="3">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152" t="s">
        <v>189</v>
      </c>
      <c r="H5" s="153" t="s">
        <v>190</v>
      </c>
      <c r="J5" s="66"/>
    </row>
    <row r="6">
      <c r="B6" s="1" t="s">
        <v>0</v>
      </c>
      <c r="C6" s="1" t="s">
        <v>1</v>
      </c>
      <c r="D6" s="1" t="s">
        <v>2</v>
      </c>
      <c r="E6" s="1" t="s">
        <v>176</v>
      </c>
      <c r="F6" s="154" t="s">
        <v>191</v>
      </c>
      <c r="G6" s="155" t="s">
        <v>192</v>
      </c>
      <c r="H6" s="156" t="s">
        <v>193</v>
      </c>
      <c r="I6" s="157" t="s">
        <v>194</v>
      </c>
      <c r="J6" s="158" t="s">
        <v>195</v>
      </c>
    </row>
    <row r="7">
      <c r="B7" s="159">
        <v>55.0</v>
      </c>
      <c r="C7" s="35" t="s">
        <v>38</v>
      </c>
      <c r="D7" s="74">
        <v>45419.0</v>
      </c>
      <c r="E7" s="22">
        <v>56.0</v>
      </c>
      <c r="F7" s="160">
        <v>-0.16</v>
      </c>
      <c r="G7" s="22" t="s">
        <v>196</v>
      </c>
      <c r="H7" s="161">
        <v>2304.0</v>
      </c>
      <c r="I7" s="162">
        <v>1761.0</v>
      </c>
      <c r="J7" s="163">
        <f t="shared" ref="J7:J13" si="1">I7/H7</f>
        <v>0.7643229167</v>
      </c>
    </row>
    <row r="8">
      <c r="B8" s="159">
        <v>167.0</v>
      </c>
      <c r="C8" s="35" t="s">
        <v>56</v>
      </c>
      <c r="D8" s="94">
        <v>45467.0</v>
      </c>
      <c r="E8" s="22">
        <v>139.0</v>
      </c>
      <c r="F8" s="160">
        <v>-0.34</v>
      </c>
      <c r="G8" s="22" t="s">
        <v>197</v>
      </c>
      <c r="H8" s="164">
        <v>768.0</v>
      </c>
      <c r="I8" s="81">
        <v>431.0</v>
      </c>
      <c r="J8" s="163">
        <f t="shared" si="1"/>
        <v>0.5611979167</v>
      </c>
    </row>
    <row r="9">
      <c r="B9" s="159">
        <v>148.0</v>
      </c>
      <c r="C9" s="35" t="s">
        <v>50</v>
      </c>
      <c r="D9" s="74">
        <v>45504.0</v>
      </c>
      <c r="E9" s="22">
        <v>100.0</v>
      </c>
      <c r="F9" s="160">
        <v>-0.23</v>
      </c>
      <c r="G9" s="22" t="s">
        <v>198</v>
      </c>
      <c r="H9" s="165">
        <v>1536.0</v>
      </c>
      <c r="I9" s="81">
        <v>863.0</v>
      </c>
      <c r="J9" s="163">
        <f t="shared" si="1"/>
        <v>0.5618489583</v>
      </c>
    </row>
    <row r="10">
      <c r="B10" s="166">
        <v>48.0</v>
      </c>
      <c r="C10" s="35" t="s">
        <v>47</v>
      </c>
      <c r="D10" s="74">
        <v>45419.0</v>
      </c>
      <c r="E10" s="22">
        <v>122.0</v>
      </c>
      <c r="F10" s="160">
        <v>-0.23</v>
      </c>
      <c r="G10" s="22" t="s">
        <v>199</v>
      </c>
      <c r="H10" s="164">
        <v>1536.0</v>
      </c>
      <c r="I10" s="81">
        <v>656.0</v>
      </c>
      <c r="J10" s="163">
        <f t="shared" si="1"/>
        <v>0.4270833333</v>
      </c>
    </row>
    <row r="11">
      <c r="B11" s="159">
        <v>77.0</v>
      </c>
      <c r="C11" s="35" t="s">
        <v>67</v>
      </c>
      <c r="D11" s="74">
        <v>45498.0</v>
      </c>
      <c r="E11" s="22">
        <v>100.0</v>
      </c>
      <c r="F11" s="160">
        <v>-0.2</v>
      </c>
      <c r="G11" s="22" t="s">
        <v>200</v>
      </c>
      <c r="H11" s="165">
        <v>1152.0</v>
      </c>
      <c r="I11" s="81">
        <v>687.0</v>
      </c>
      <c r="J11" s="163">
        <f t="shared" si="1"/>
        <v>0.5963541667</v>
      </c>
    </row>
    <row r="12">
      <c r="B12" s="159">
        <v>59.0</v>
      </c>
      <c r="C12" s="35" t="s">
        <v>61</v>
      </c>
      <c r="D12" s="94">
        <v>45498.0</v>
      </c>
      <c r="E12" s="22">
        <v>101.0</v>
      </c>
      <c r="F12" s="160">
        <v>-0.24</v>
      </c>
      <c r="G12" s="22" t="s">
        <v>197</v>
      </c>
      <c r="H12" s="164">
        <v>1152.0</v>
      </c>
      <c r="I12" s="81">
        <v>511.0</v>
      </c>
      <c r="J12" s="163">
        <f t="shared" si="1"/>
        <v>0.4435763889</v>
      </c>
    </row>
    <row r="13">
      <c r="B13" s="159">
        <v>6.0</v>
      </c>
      <c r="C13" s="35" t="s">
        <v>74</v>
      </c>
      <c r="D13" s="74">
        <v>45419.0</v>
      </c>
      <c r="E13" s="35">
        <v>95.0</v>
      </c>
      <c r="F13" s="160">
        <v>-0.33</v>
      </c>
      <c r="G13" s="74" t="s">
        <v>201</v>
      </c>
      <c r="H13" s="164">
        <v>2304.0</v>
      </c>
      <c r="I13" s="81">
        <v>847.0</v>
      </c>
      <c r="J13" s="163">
        <f t="shared" si="1"/>
        <v>0.3676215278</v>
      </c>
    </row>
  </sheetData>
  <mergeCells count="2">
    <mergeCell ref="F5:G5"/>
    <mergeCell ref="H5:J5"/>
  </mergeCells>
  <drawing r:id="rId2"/>
  <legacyDrawing r:id="rId3"/>
</worksheet>
</file>