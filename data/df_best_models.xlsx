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visible" name="Modelo semana 24" sheetId="2" r:id="rId5"/>
    <sheet state="visible" name="Modelo semana 25" sheetId="3" r:id="rId6"/>
    <sheet state="visible" name="Reseña modelos" sheetId="4" r:id="rId7"/>
    <sheet state="visible" name="Data preparation" sheetId="5" r:id="rId8"/>
    <sheet state="visible" name="Framework" sheetId="6" r:id="rId9"/>
  </sheets>
  <definedNames>
    <definedName hidden="1" localSheetId="0" name="_xlnm._FilterDatabase">'Modelos actuales'!$A$1:$N$8</definedName>
    <definedName hidden="1" localSheetId="5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N1">
      <text>
        <t xml:space="preserve">los que mas valor tienen suelen tener un rdo mucho mas rentable que otro.
</t>
      </text>
    </comment>
    <comment authorId="0" ref="N4">
      <text>
        <t xml:space="preserve">el empate...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H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</commentList>
</comments>
</file>

<file path=xl/sharedStrings.xml><?xml version="1.0" encoding="utf-8"?>
<sst xmlns="http://schemas.openxmlformats.org/spreadsheetml/2006/main" count="428" uniqueCount="277">
  <si>
    <t>id_country</t>
  </si>
  <si>
    <t>country</t>
  </si>
  <si>
    <t>iteration_date</t>
  </si>
  <si>
    <t>n_model</t>
  </si>
  <si>
    <t>model_name</t>
  </si>
  <si>
    <t>test_accuracy</t>
  </si>
  <si>
    <t>ROI_sin_ea</t>
  </si>
  <si>
    <t>m_home</t>
  </si>
  <si>
    <t>m_draw</t>
  </si>
  <si>
    <t>m_away</t>
  </si>
  <si>
    <t>Average m</t>
  </si>
  <si>
    <t>m_to_use</t>
  </si>
  <si>
    <t>ROI_con_ea</t>
  </si>
  <si>
    <t>Multiplicador ea</t>
  </si>
  <si>
    <t>argentina</t>
  </si>
  <si>
    <t>LogisticRegression</t>
  </si>
  <si>
    <t>usa</t>
  </si>
  <si>
    <t>england</t>
  </si>
  <si>
    <t>france</t>
  </si>
  <si>
    <t>germany</t>
  </si>
  <si>
    <t>italy</t>
  </si>
  <si>
    <t>spain</t>
  </si>
  <si>
    <t>deberia cambiar el modelo en: ENG y en SPA</t>
  </si>
  <si>
    <t>Cambio</t>
  </si>
  <si>
    <t>eng</t>
  </si>
  <si>
    <t>SPA</t>
  </si>
  <si>
    <t>No deberia cambiar el modelo en: ITA y GER.</t>
  </si>
  <si>
    <t>No cambio</t>
  </si>
  <si>
    <t>GER</t>
  </si>
  <si>
    <t>ITA</t>
  </si>
  <si>
    <t>Que hubera seleccionado con el nuevo metodo en el entrenamiento anterior y como me hubiera ido?</t>
  </si>
  <si>
    <t>f1_score</t>
  </si>
  <si>
    <t>nueva seleccion (n_metric=1)</t>
  </si>
  <si>
    <t>nueva seleccion con ea</t>
  </si>
  <si>
    <t>ESTA MAL HECHO ESTO? ESTOY ANALIZANDOLO SIN EA....</t>
  </si>
  <si>
    <t>SPAIN</t>
  </si>
  <si>
    <t>FRA</t>
  </si>
  <si>
    <t>ENG</t>
  </si>
  <si>
    <t>Sin kelly</t>
  </si>
  <si>
    <t>dif_prec_bm</t>
  </si>
  <si>
    <t>G/P sin ea</t>
  </si>
  <si>
    <t>G/P con ea</t>
  </si>
  <si>
    <t>m</t>
  </si>
  <si>
    <t>Con kelly pero seleccionando con l_metrics y eso.</t>
  </si>
  <si>
    <t>Hasta el sabado incluido:</t>
  </si>
  <si>
    <t>recall</t>
  </si>
  <si>
    <t>%_gp_home</t>
  </si>
  <si>
    <t>%_gp_draw</t>
  </si>
  <si>
    <t>%_gp_away</t>
  </si>
  <si>
    <r>
      <rPr>
        <rFont val="Arial"/>
        <b/>
        <color theme="1"/>
      </rPr>
      <t xml:space="preserve">Tabla. </t>
    </r>
    <r>
      <rPr>
        <rFont val="Arial"/>
        <b val="0"/>
        <color theme="1"/>
      </rPr>
      <t>Modelo seleccionado por pais segun ≠ metricas combinadas</t>
    </r>
  </si>
  <si>
    <t>roi_last_25_matches_sb_sin_ea</t>
  </si>
  <si>
    <t>roi_last_25_matches_sb_con_ea</t>
  </si>
  <si>
    <t>roi_last_25_matches_sin_ea</t>
  </si>
  <si>
    <t>roi_last_25_matches_con_ea</t>
  </si>
  <si>
    <t>ROI_sb_sin_ea</t>
  </si>
  <si>
    <t>ROI_sb_con_ea</t>
  </si>
  <si>
    <t>['ROI_sin_ea', 'ROI_con_ea']</t>
  </si>
  <si>
    <t>['ROI_sb_sin_ea', 'ROI_sb_con_ea']</t>
  </si>
  <si>
    <t>['ROI_sb_sin_ea', 'ROI_sin_ea', 'ROI_sb_con_ea', 'ROI_con_ea']</t>
  </si>
  <si>
    <t>['roi_last_25_matches_sb_sin_ea', 'ROI_sin_ea', 'roi_last_25_matches_sb_con_ea', 'ROI_con_ea']</t>
  </si>
  <si>
    <t>['roi_last_25_matches_sin_ea', 'ROI_sin_ea', 'roi_last_25_matches_con_ea', 'ROI_con_ea']</t>
  </si>
  <si>
    <t>['ROI_sb_sin_ea', 'ROI_sb_con_ea', 'roi_last_25_matches_sb_sin_ea', 'roi_last_25_matches_sb_con_ea']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</si>
  <si>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</si>
  <si>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</si>
  <si>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</si>
  <si>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</si>
  <si>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</si>
  <si>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</si>
  <si>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ROI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</si>
  <si>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</si>
  <si>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</si>
  <si>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</si>
  <si>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</si>
  <si>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</si>
  <si>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</si>
  <si>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</si>
  <si>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</si>
  <si>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</si>
  <si>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</si>
  <si>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</si>
  <si>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</si>
  <si>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</si>
  <si>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</si>
  <si>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</si>
  <si>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?</t>
  </si>
  <si>
    <t>SVC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</si>
  <si>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</si>
  <si>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</si>
  <si>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</si>
  <si>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</si>
  <si>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</si>
  <si>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</si>
  <si>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</si>
  <si>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</si>
  <si>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</si>
  <si>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</si>
  <si>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</si>
  <si>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</si>
  <si>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</si>
  <si>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porc_m</t>
  </si>
  <si>
    <t>average m_to_use</t>
  </si>
  <si>
    <t>Correl</t>
  </si>
  <si>
    <t>Promedio</t>
  </si>
  <si>
    <t>PROMEDIO PONDERADO</t>
  </si>
  <si>
    <t>CONTADOR DE RDOS</t>
  </si>
  <si>
    <t>x</t>
  </si>
  <si>
    <t>y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</si>
  <si>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</si>
  <si>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</si>
  <si>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</si>
  <si>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</si>
  <si>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</si>
  <si>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</si>
  <si>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</si>
  <si>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</si>
  <si>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</si>
  <si>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</si>
  <si>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</si>
  <si>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</si>
  <si>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</si>
  <si>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</si>
  <si>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</si>
  <si>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</si>
  <si>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</si>
  <si>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</si>
  <si>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</si>
  <si>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</si>
  <si>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</si>
  <si>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</si>
  <si>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</si>
  <si>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</si>
  <si>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</si>
  <si>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</si>
  <si>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</si>
  <si>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</si>
  <si>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</si>
  <si>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</si>
  <si>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</si>
  <si>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</si>
  <si>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</si>
  <si>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</si>
  <si>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</si>
  <si>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</si>
  <si>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</si>
  <si>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</si>
  <si>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</si>
  <si>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</si>
  <si>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</si>
  <si>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</si>
  <si>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</si>
  <si>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</si>
  <si>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</si>
  <si>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</si>
  <si>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</si>
  <si>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</si>
  <si>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</si>
  <si>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</si>
  <si>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</si>
  <si>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</si>
  <si>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</si>
  <si>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</si>
  <si>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</si>
  <si>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</si>
  <si>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roi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</si>
  <si>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</si>
  <si>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</si>
  <si>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</si>
  <si>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2.33</t>
  </si>
  <si>
    <t>0.08</t>
  </si>
  <si>
    <t>0.86</t>
  </si>
  <si>
    <t>0.23</t>
  </si>
  <si>
    <t>8.96</t>
  </si>
  <si>
    <t>9.16</t>
  </si>
  <si>
    <t>9.83</t>
  </si>
  <si>
    <t>4.55</t>
  </si>
  <si>
    <t>Country</t>
  </si>
  <si>
    <t>Correl ROI y Expected ROI</t>
  </si>
  <si>
    <t>6.78</t>
  </si>
  <si>
    <t>5.35</t>
  </si>
  <si>
    <t>mean</t>
  </si>
  <si>
    <t>9.07</t>
  </si>
  <si>
    <t>median</t>
  </si>
  <si>
    <t>9.62</t>
  </si>
  <si>
    <t>p25</t>
  </si>
  <si>
    <t>6.23</t>
  </si>
  <si>
    <t>p75</t>
  </si>
  <si>
    <t>6.67</t>
  </si>
  <si>
    <t>7.71</t>
  </si>
  <si>
    <t>7.62</t>
  </si>
  <si>
    <t>8.13</t>
  </si>
  <si>
    <t>7.73</t>
  </si>
  <si>
    <t>7.80</t>
  </si>
  <si>
    <t>Gracias a las nuevas métricas de G/P sin bank en test, me di cuenta de que:</t>
  </si>
  <si>
    <t>7.94</t>
  </si>
  <si>
    <t>La rentabilidad en ITA está en el visitante y no en el empate como creía.</t>
  </si>
  <si>
    <t>8.21</t>
  </si>
  <si>
    <t>La rentabilidad en ENG y GER está en el empate tal como creía.</t>
  </si>
  <si>
    <t>8.04</t>
  </si>
  <si>
    <t>En SPA esta repartido aunque Empate saca una ventaja.</t>
  </si>
  <si>
    <t>7.59</t>
  </si>
  <si>
    <t>En FRA, depende el modelo. A veces local, a veces, empate.</t>
  </si>
  <si>
    <t>2.60</t>
  </si>
  <si>
    <t>Si en FRA empate no rinde, no tiene sentido exigirle una buena distrib en empate… → Tiene sentido pero al parecer si importa el empate puesto que el modelo que gana se basa en empate.</t>
  </si>
  <si>
    <t>2.54</t>
  </si>
  <si>
    <t>4.30</t>
  </si>
  <si>
    <t>3.91</t>
  </si>
  <si>
    <t>11.47</t>
  </si>
  <si>
    <t>0.00</t>
  </si>
  <si>
    <t>10.36</t>
  </si>
  <si>
    <t>10.91</t>
  </si>
  <si>
    <t>1.95</t>
  </si>
  <si>
    <t>9.68</t>
  </si>
  <si>
    <t>9.01</t>
  </si>
  <si>
    <t>9.76</t>
  </si>
  <si>
    <t>7.88</t>
  </si>
  <si>
    <t>13.76</t>
  </si>
  <si>
    <t>13.51</t>
  </si>
  <si>
    <t>1.98</t>
  </si>
  <si>
    <t>2.45</t>
  </si>
  <si>
    <t>2.28</t>
  </si>
  <si>
    <t>2.29</t>
  </si>
  <si>
    <t>0.10</t>
  </si>
  <si>
    <t>2.55</t>
  </si>
  <si>
    <t>2.18</t>
  </si>
  <si>
    <t>1.16</t>
  </si>
  <si>
    <t>1.49</t>
  </si>
  <si>
    <t>4.05</t>
  </si>
  <si>
    <t>7.19</t>
  </si>
  <si>
    <t>2.16</t>
  </si>
  <si>
    <t>2.46</t>
  </si>
  <si>
    <t>7.75</t>
  </si>
  <si>
    <t>8.36</t>
  </si>
  <si>
    <t>4.22</t>
  </si>
  <si>
    <t>8.00</t>
  </si>
  <si>
    <t>8.33</t>
  </si>
  <si>
    <t>7.89</t>
  </si>
  <si>
    <t>4.83</t>
  </si>
  <si>
    <t>3.08</t>
  </si>
  <si>
    <t>6.35</t>
  </si>
  <si>
    <t>3.42</t>
  </si>
  <si>
    <t>5.68</t>
  </si>
  <si>
    <t>6.46</t>
  </si>
  <si>
    <t>6.97</t>
  </si>
  <si>
    <t>6.55</t>
  </si>
  <si>
    <t>6.13</t>
  </si>
  <si>
    <t>3.44</t>
  </si>
  <si>
    <t>7.03</t>
  </si>
  <si>
    <t>2.22</t>
  </si>
  <si>
    <t>2.49</t>
  </si>
  <si>
    <t>5.89</t>
  </si>
  <si>
    <t>4.85</t>
  </si>
  <si>
    <t>2.86</t>
  </si>
  <si>
    <t>2.62</t>
  </si>
  <si>
    <t>2.98</t>
  </si>
  <si>
    <t>3.00</t>
  </si>
  <si>
    <t>2.85</t>
  </si>
  <si>
    <t>2.93</t>
  </si>
  <si>
    <t>2.99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</si>
  <si>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</si>
  <si>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</si>
  <si>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</si>
  <si>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</si>
  <si>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</si>
  <si>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</si>
  <si>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</si>
  <si>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</si>
  <si>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</si>
  <si>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</si>
  <si>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</si>
  <si>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</si>
  <si>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</si>
  <si>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DISTRIBUCION REALIDAD</t>
  </si>
  <si>
    <t># partidos</t>
  </si>
  <si>
    <t>result</t>
  </si>
  <si>
    <t>result to bet</t>
  </si>
  <si>
    <t>DISTRIBUCION HISTORICA</t>
  </si>
  <si>
    <t>DIF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</si>
</sst>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0.0"/>
    <numFmt numFmtId="166" formatCode="dd.mm"/>
    <numFmt numFmtId="167" formatCode="#,##0.0"/>
  </numFmts>
  <fonts count="19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color theme="1"/>
      <name val="Arial"/>
    </font>
    <font>
      <sz val="9.0"/>
      <color theme="1"/>
      <name val="Google Sans Mono"/>
    </font>
    <font>
      <b/>
      <color theme="1"/>
      <name val="Arial"/>
      <scheme val="minor"/>
    </font>
    <font>
      <color rgb="FFFF0000"/>
      <name val="Arial"/>
      <scheme val="minor"/>
    </font>
    <font>
      <b/>
      <sz val="9.0"/>
      <color rgb="FF000000"/>
      <name val="Arial"/>
    </font>
    <font>
      <b/>
      <sz val="9.0"/>
      <color theme="1"/>
      <name val="Arial"/>
    </font>
    <font>
      <b/>
      <sz val="9.0"/>
      <color theme="1"/>
      <name val="Arial"/>
      <scheme val="minor"/>
    </font>
    <font/>
    <font>
      <sz val="11.0"/>
      <color rgb="FF000000"/>
      <name val="Arial"/>
    </font>
    <font>
      <color rgb="FFFFFFFF"/>
      <name val="Arial"/>
      <scheme val="minor"/>
    </font>
    <font>
      <b/>
      <sz val="18.0"/>
      <color theme="1"/>
      <name val="Arial"/>
      <scheme val="minor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>
      <b/>
      <color rgb="FFFFFFFF"/>
      <name val="Arial"/>
      <scheme val="minor"/>
    </font>
  </fonts>
  <fills count="22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CCCCCC"/>
        <bgColor rgb="FFCCCCCC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CC0000"/>
        <bgColor rgb="FFCC0000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</fills>
  <borders count="11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left style="dotted">
        <color rgb="FF000000"/>
      </left>
    </border>
    <border>
      <right style="dotted">
        <color rgb="FF000000"/>
      </right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</borders>
  <cellStyleXfs count="1">
    <xf borderId="0" fillId="0" fontId="0" numFmtId="0" applyAlignment="1" applyFont="1"/>
  </cellStyleXfs>
  <cellXfs count="17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3" fontId="3" numFmtId="0" xfId="0" applyAlignment="1" applyFill="1" applyFont="1">
      <alignment horizontal="center" readingOrder="0" shrinkToFit="0" vertical="center" wrapText="1"/>
    </xf>
    <xf borderId="0" fillId="0" fontId="3" numFmtId="1" xfId="0" applyAlignment="1" applyFont="1" applyNumberFormat="1">
      <alignment horizontal="center" readingOrder="0" shrinkToFit="0" vertical="center" wrapText="1"/>
    </xf>
    <xf borderId="0" fillId="3" fontId="3" numFmtId="1" xfId="0" applyAlignment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wrapText="1"/>
    </xf>
    <xf borderId="5" fillId="0" fontId="4" numFmtId="3" xfId="0" applyAlignment="1" applyBorder="1" applyFont="1" applyNumberFormat="1">
      <alignment horizontal="center" vertical="center"/>
    </xf>
    <xf borderId="6" fillId="0" fontId="4" numFmtId="0" xfId="0" applyAlignment="1" applyBorder="1" applyFont="1">
      <alignment horizontal="center" vertical="center"/>
    </xf>
    <xf borderId="1" fillId="4" fontId="4" numFmtId="164" xfId="0" applyAlignment="1" applyBorder="1" applyFill="1" applyFont="1" applyNumberFormat="1">
      <alignment horizontal="center" readingOrder="0" vertical="center"/>
    </xf>
    <xf borderId="5" fillId="4" fontId="4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horizontal="center" readingOrder="0" vertical="center"/>
    </xf>
    <xf borderId="3" fillId="0" fontId="3" numFmtId="1" xfId="0" applyAlignment="1" applyBorder="1" applyFont="1" applyNumberFormat="1">
      <alignment horizontal="center" readingOrder="0" vertical="center"/>
    </xf>
    <xf borderId="4" fillId="0" fontId="3" numFmtId="1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5" fontId="3" numFmtId="0" xfId="0" applyAlignment="1" applyFill="1" applyFont="1">
      <alignment horizontal="center" vertical="center"/>
    </xf>
    <xf borderId="0" fillId="0" fontId="3" numFmtId="1" xfId="0" applyAlignment="1" applyFont="1" applyNumberFormat="1">
      <alignment horizontal="center" readingOrder="0" vertical="center"/>
    </xf>
    <xf borderId="0" fillId="5" fontId="3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4" fillId="0" fontId="3" numFmtId="0" xfId="0" applyAlignment="1" applyBorder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0" fontId="3" numFmtId="1" xfId="0" applyAlignment="1" applyFont="1" applyNumberFormat="1">
      <alignment horizontal="center" vertical="center"/>
    </xf>
    <xf borderId="0" fillId="5" fontId="3" numFmtId="1" xfId="0" applyAlignment="1" applyFont="1" applyNumberFormat="1">
      <alignment horizontal="center" vertical="center"/>
    </xf>
    <xf borderId="0" fillId="0" fontId="3" numFmtId="4" xfId="0" applyAlignment="1" applyFont="1" applyNumberFormat="1">
      <alignment horizontal="center" readingOrder="0" vertical="center"/>
    </xf>
    <xf borderId="1" fillId="0" fontId="4" numFmtId="3" xfId="0" applyAlignment="1" applyBorder="1" applyFont="1" applyNumberFormat="1">
      <alignment horizontal="center" vertical="center"/>
    </xf>
    <xf borderId="2" fillId="0" fontId="4" numFmtId="0" xfId="0" applyAlignment="1" applyBorder="1" applyFont="1">
      <alignment horizontal="center" vertical="center"/>
    </xf>
    <xf borderId="0" fillId="0" fontId="3" numFmtId="4" xfId="0" applyAlignment="1" applyFont="1" applyNumberFormat="1">
      <alignment readingOrder="0"/>
    </xf>
    <xf borderId="0" fillId="0" fontId="5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readingOrder="0" shrinkToFit="0" wrapText="1"/>
    </xf>
    <xf borderId="0" fillId="0" fontId="3" numFmtId="1" xfId="0" applyFont="1" applyNumberFormat="1"/>
    <xf borderId="0" fillId="0" fontId="6" numFmtId="0" xfId="0" applyAlignment="1" applyFont="1">
      <alignment readingOrder="0"/>
    </xf>
    <xf borderId="0" fillId="0" fontId="3" numFmtId="10" xfId="0" applyFont="1" applyNumberFormat="1"/>
    <xf borderId="0" fillId="0" fontId="3" numFmtId="3" xfId="0" applyFont="1" applyNumberFormat="1"/>
    <xf borderId="0" fillId="0" fontId="3" numFmtId="164" xfId="0" applyAlignment="1" applyFont="1" applyNumberFormat="1">
      <alignment readingOrder="0"/>
    </xf>
    <xf borderId="0" fillId="0" fontId="6" numFmtId="1" xfId="0" applyAlignment="1" applyFont="1" applyNumberFormat="1">
      <alignment readingOrder="0"/>
    </xf>
    <xf borderId="0" fillId="0" fontId="6" numFmtId="0" xfId="0" applyFont="1"/>
    <xf borderId="0" fillId="0" fontId="3" numFmtId="0" xfId="0" applyFont="1"/>
    <xf borderId="0" fillId="0" fontId="3" numFmtId="0" xfId="0" applyAlignment="1" applyFont="1">
      <alignment readingOrder="0"/>
    </xf>
    <xf borderId="0" fillId="0" fontId="3" numFmtId="1" xfId="0" applyAlignment="1" applyFont="1" applyNumberFormat="1">
      <alignment readingOrder="0"/>
    </xf>
    <xf borderId="0" fillId="6" fontId="3" numFmtId="1" xfId="0" applyAlignment="1" applyFill="1" applyFont="1" applyNumberFormat="1">
      <alignment readingOrder="0"/>
    </xf>
    <xf borderId="0" fillId="7" fontId="3" numFmtId="1" xfId="0" applyAlignment="1" applyFill="1" applyFont="1" applyNumberFormat="1">
      <alignment readingOrder="0"/>
    </xf>
    <xf borderId="0" fillId="7" fontId="3" numFmtId="1" xfId="0" applyFont="1" applyNumberFormat="1"/>
    <xf borderId="0" fillId="8" fontId="3" numFmtId="0" xfId="0" applyAlignment="1" applyFill="1" applyFont="1">
      <alignment readingOrder="0"/>
    </xf>
    <xf borderId="0" fillId="6" fontId="3" numFmtId="1" xfId="0" applyFont="1" applyNumberFormat="1"/>
    <xf borderId="0" fillId="0" fontId="3" numFmtId="3" xfId="0" applyAlignment="1" applyFont="1" applyNumberFormat="1">
      <alignment readingOrder="0"/>
    </xf>
    <xf borderId="0" fillId="9" fontId="3" numFmtId="0" xfId="0" applyAlignment="1" applyFill="1" applyFont="1">
      <alignment readingOrder="0"/>
    </xf>
    <xf borderId="0" fillId="6" fontId="3" numFmtId="0" xfId="0" applyAlignment="1" applyFont="1">
      <alignment readingOrder="0"/>
    </xf>
    <xf borderId="0" fillId="10" fontId="3" numFmtId="3" xfId="0" applyFill="1" applyFont="1" applyNumberFormat="1"/>
    <xf borderId="0" fillId="10" fontId="3" numFmtId="0" xfId="0" applyFont="1"/>
    <xf borderId="0" fillId="10" fontId="3" numFmtId="0" xfId="0" applyAlignment="1" applyFont="1">
      <alignment readingOrder="0"/>
    </xf>
    <xf borderId="0" fillId="11" fontId="3" numFmtId="0" xfId="0" applyAlignment="1" applyFill="1" applyFont="1">
      <alignment readingOrder="0"/>
    </xf>
    <xf borderId="0" fillId="12" fontId="3" numFmtId="0" xfId="0" applyAlignment="1" applyFill="1" applyFont="1">
      <alignment readingOrder="0"/>
    </xf>
    <xf borderId="0" fillId="0" fontId="7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6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0" fillId="11" fontId="6" numFmtId="0" xfId="0" applyAlignment="1" applyFont="1">
      <alignment readingOrder="0"/>
    </xf>
    <xf borderId="0" fillId="8" fontId="3" numFmtId="0" xfId="0" applyFont="1"/>
    <xf borderId="0" fillId="11" fontId="3" numFmtId="0" xfId="0" applyFont="1"/>
    <xf borderId="0" fillId="12" fontId="3" numFmtId="0" xfId="0" applyFont="1"/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vertical="bottom"/>
    </xf>
    <xf borderId="0" fillId="13" fontId="3" numFmtId="1" xfId="0" applyAlignment="1" applyFill="1" applyFont="1" applyNumberFormat="1">
      <alignment horizontal="center" readingOrder="0" shrinkToFit="0" vertical="center" wrapText="1"/>
    </xf>
    <xf borderId="0" fillId="13" fontId="3" numFmtId="0" xfId="0" applyAlignment="1" applyFont="1">
      <alignment horizontal="center" readingOrder="0" shrinkToFit="0" vertical="center" wrapText="1"/>
    </xf>
    <xf borderId="1" fillId="4" fontId="4" numFmtId="164" xfId="0" applyAlignment="1" applyBorder="1" applyFont="1" applyNumberFormat="1">
      <alignment horizontal="center" vertical="center"/>
    </xf>
    <xf borderId="5" fillId="4" fontId="4" numFmtId="164" xfId="0" applyAlignment="1" applyBorder="1" applyFont="1" applyNumberFormat="1">
      <alignment horizontal="center" vertical="center"/>
    </xf>
    <xf borderId="0" fillId="14" fontId="3" numFmtId="1" xfId="0" applyAlignment="1" applyFill="1" applyFont="1" applyNumberFormat="1">
      <alignment horizontal="center" vertical="center"/>
    </xf>
    <xf borderId="1" fillId="10" fontId="3" numFmtId="0" xfId="0" applyAlignment="1" applyBorder="1" applyFont="1">
      <alignment horizontal="center" readingOrder="0" vertical="center"/>
    </xf>
    <xf borderId="2" fillId="10" fontId="4" numFmtId="0" xfId="0" applyAlignment="1" applyBorder="1" applyFont="1">
      <alignment horizontal="center" vertical="center"/>
    </xf>
    <xf borderId="0" fillId="0" fontId="6" numFmtId="0" xfId="0" applyAlignment="1" applyFont="1">
      <alignment horizontal="left" readingOrder="0" vertical="center"/>
    </xf>
    <xf borderId="0" fillId="0" fontId="8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shrinkToFit="0" vertical="center" wrapText="1"/>
    </xf>
    <xf borderId="0" fillId="8" fontId="8" numFmtId="0" xfId="0" applyAlignment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vertical="center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10" numFmtId="0" xfId="0" applyAlignment="1" applyBorder="1" applyFont="1">
      <alignment horizontal="center" readingOrder="0" shrinkToFit="0" vertical="center" wrapText="1"/>
    </xf>
    <xf borderId="1" fillId="8" fontId="8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vertical="center"/>
    </xf>
    <xf borderId="1" fillId="15" fontId="3" numFmtId="0" xfId="0" applyAlignment="1" applyBorder="1" applyFill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3" fillId="0" fontId="6" numFmtId="0" xfId="0" applyAlignment="1" applyBorder="1" applyFont="1">
      <alignment horizontal="center" readingOrder="0" shrinkToFit="0" vertical="center" wrapText="1"/>
    </xf>
    <xf borderId="4" fillId="0" fontId="11" numFmtId="0" xfId="0" applyBorder="1" applyFont="1"/>
    <xf borderId="0" fillId="0" fontId="6" numFmtId="0" xfId="0" applyAlignment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7" fillId="0" fontId="6" numFmtId="0" xfId="0" applyAlignment="1" applyBorder="1" applyFont="1">
      <alignment horizontal="center" readingOrder="0" shrinkToFit="0" vertical="center" wrapText="1"/>
    </xf>
    <xf borderId="2" fillId="0" fontId="6" numFmtId="0" xfId="0" applyAlignment="1" applyBorder="1" applyFont="1">
      <alignment horizontal="center" readingOrder="0" shrinkToFit="0" vertical="center" wrapText="1"/>
    </xf>
    <xf borderId="1" fillId="0" fontId="12" numFmtId="0" xfId="0" applyAlignment="1" applyBorder="1" applyFont="1">
      <alignment horizontal="center" readingOrder="0" shrinkToFit="0" vertical="center" wrapText="1"/>
    </xf>
    <xf borderId="7" fillId="6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2" fillId="6" fontId="3" numFmtId="0" xfId="0" applyAlignment="1" applyBorder="1" applyFont="1">
      <alignment horizontal="center" readingOrder="0" shrinkToFit="0" vertical="center" wrapText="1"/>
    </xf>
    <xf borderId="1" fillId="6" fontId="3" numFmtId="0" xfId="0" applyAlignment="1" applyBorder="1" applyFont="1">
      <alignment horizontal="center" readingOrder="0" shrinkToFit="0" vertical="center" wrapText="1"/>
    </xf>
    <xf borderId="7" fillId="7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16" fontId="13" numFmtId="0" xfId="0" applyAlignment="1" applyBorder="1" applyFill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center" wrapText="1"/>
    </xf>
    <xf borderId="7" fillId="8" fontId="3" numFmtId="0" xfId="0" applyAlignment="1" applyBorder="1" applyFont="1">
      <alignment horizontal="center" readingOrder="0" shrinkToFit="0" vertical="center" wrapText="1"/>
    </xf>
    <xf borderId="2" fillId="7" fontId="3" numFmtId="0" xfId="0" applyAlignment="1" applyBorder="1" applyFont="1">
      <alignment horizontal="center" readingOrder="0" shrinkToFit="0" vertical="center" wrapText="1"/>
    </xf>
    <xf borderId="5" fillId="0" fontId="3" numFmtId="0" xfId="0" applyAlignment="1" applyBorder="1" applyFont="1">
      <alignment horizontal="center" readingOrder="0" vertical="center"/>
    </xf>
    <xf borderId="8" fillId="16" fontId="1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vertical="center"/>
    </xf>
    <xf borderId="8" fillId="7" fontId="3" numFmtId="0" xfId="0" applyAlignment="1" applyBorder="1" applyFont="1">
      <alignment horizontal="center" readingOrder="0" vertical="center"/>
    </xf>
    <xf borderId="5" fillId="7" fontId="3" numFmtId="0" xfId="0" applyAlignment="1" applyBorder="1" applyFont="1">
      <alignment horizontal="center" readingOrder="0" vertical="center"/>
    </xf>
    <xf borderId="7" fillId="16" fontId="1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vertical="center"/>
    </xf>
    <xf borderId="1" fillId="8" fontId="3" numFmtId="0" xfId="0" applyAlignment="1" applyBorder="1" applyFont="1">
      <alignment horizontal="center" readingOrder="0" vertical="center"/>
    </xf>
    <xf borderId="0" fillId="0" fontId="14" numFmtId="0" xfId="0" applyAlignment="1" applyFont="1">
      <alignment readingOrder="0"/>
    </xf>
    <xf borderId="0" fillId="10" fontId="3" numFmtId="10" xfId="0" applyFont="1" applyNumberFormat="1"/>
    <xf borderId="0" fillId="0" fontId="6" numFmtId="0" xfId="0" applyAlignment="1" applyFont="1">
      <alignment horizontal="center" readingOrder="0"/>
    </xf>
    <xf borderId="0" fillId="0" fontId="3" numFmtId="165" xfId="0" applyFont="1" applyNumberFormat="1"/>
    <xf borderId="0" fillId="15" fontId="3" numFmtId="0" xfId="0" applyAlignment="1" applyFont="1">
      <alignment readingOrder="0"/>
    </xf>
    <xf borderId="0" fillId="0" fontId="3" numFmtId="9" xfId="0" applyFont="1" applyNumberFormat="1"/>
    <xf borderId="9" fillId="17" fontId="15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9" fillId="18" fontId="15" numFmtId="0" xfId="0" applyAlignment="1" applyBorder="1" applyFill="1" applyFont="1">
      <alignment horizontal="right" readingOrder="0" shrinkToFit="0" vertical="bottom" wrapText="0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8" fontId="3" numFmtId="166" xfId="0" applyAlignment="1" applyFont="1" applyNumberFormat="1">
      <alignment readingOrder="0"/>
    </xf>
    <xf borderId="0" fillId="19" fontId="6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7" xfId="0" applyFont="1" applyNumberFormat="1"/>
    <xf borderId="0" fillId="0" fontId="6" numFmtId="4" xfId="0" applyFont="1" applyNumberFormat="1"/>
    <xf borderId="0" fillId="0" fontId="3" numFmtId="167" xfId="0" applyAlignment="1" applyFont="1" applyNumberFormat="1">
      <alignment readingOrder="0"/>
    </xf>
    <xf borderId="10" fillId="0" fontId="3" numFmtId="49" xfId="0" applyAlignment="1" applyBorder="1" applyFont="1" applyNumberFormat="1">
      <alignment readingOrder="0"/>
    </xf>
    <xf borderId="0" fillId="0" fontId="3" numFmtId="49" xfId="0" applyAlignment="1" applyFont="1" applyNumberFormat="1">
      <alignment readingOrder="0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6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7" numFmtId="0" xfId="0" applyAlignment="1" applyFont="1">
      <alignment vertical="bottom"/>
    </xf>
    <xf borderId="0" fillId="0" fontId="6" numFmtId="2" xfId="0" applyAlignment="1" applyFont="1" applyNumberFormat="1">
      <alignment horizontal="center"/>
    </xf>
    <xf borderId="0" fillId="0" fontId="6" numFmtId="0" xfId="0" applyAlignment="1" applyFont="1">
      <alignment horizontal="center" readingOrder="0" vertical="center"/>
    </xf>
    <xf borderId="0" fillId="15" fontId="3" numFmtId="0" xfId="0" applyFont="1"/>
    <xf borderId="0" fillId="15" fontId="3" numFmtId="0" xfId="0" applyFont="1"/>
    <xf borderId="0" fillId="0" fontId="3" numFmtId="49" xfId="0" applyFont="1" applyNumberFormat="1"/>
    <xf borderId="7" fillId="20" fontId="6" numFmtId="0" xfId="0" applyAlignment="1" applyBorder="1" applyFill="1" applyFont="1">
      <alignment horizontal="center" readingOrder="0" shrinkToFit="0" vertical="center" wrapText="1"/>
    </xf>
    <xf borderId="1" fillId="0" fontId="11" numFmtId="0" xfId="0" applyBorder="1" applyFont="1"/>
    <xf borderId="7" fillId="21" fontId="18" numFmtId="0" xfId="0" applyAlignment="1" applyBorder="1" applyFill="1" applyFont="1">
      <alignment horizontal="center" readingOrder="0" shrinkToFit="0" vertical="center" wrapText="1"/>
    </xf>
    <xf borderId="2" fillId="0" fontId="11" numFmtId="0" xfId="0" applyBorder="1" applyFont="1"/>
    <xf borderId="7" fillId="15" fontId="6" numFmtId="0" xfId="0" applyAlignment="1" applyBorder="1" applyFont="1">
      <alignment horizontal="center" readingOrder="0" shrinkToFit="0" vertical="center" wrapText="1"/>
    </xf>
    <xf borderId="1" fillId="15" fontId="6" numFmtId="0" xfId="0" applyAlignment="1" applyBorder="1" applyFont="1">
      <alignment horizontal="center" readingOrder="0" shrinkToFit="0" vertical="center" wrapText="1"/>
    </xf>
    <xf borderId="1" fillId="8" fontId="6" numFmtId="0" xfId="0" applyAlignment="1" applyBorder="1" applyFont="1">
      <alignment horizontal="center" readingOrder="0" shrinkToFit="0" vertical="center" wrapText="1"/>
    </xf>
    <xf borderId="1" fillId="6" fontId="6" numFmtId="0" xfId="0" applyAlignment="1" applyBorder="1" applyFont="1">
      <alignment horizontal="center" readingOrder="0" shrinkToFit="0" vertical="center" wrapText="1"/>
    </xf>
    <xf borderId="2" fillId="6" fontId="6" numFmtId="0" xfId="0" applyAlignment="1" applyBorder="1" applyFont="1">
      <alignment horizontal="center" readingOrder="0" shrinkToFit="0" vertical="center" wrapText="1"/>
    </xf>
    <xf borderId="7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5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7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horizontal="left" vertical="center"/>
    </xf>
    <xf borderId="7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readingOrder="0" shrinkToFit="0" vertical="center" wrapText="0"/>
    </xf>
    <xf borderId="0" fillId="3" fontId="6" numFmtId="0" xfId="0" applyAlignment="1" applyFont="1">
      <alignment horizontal="center" readingOrder="0" shrinkToFit="0" vertical="center" wrapText="1"/>
    </xf>
    <xf borderId="0" fillId="15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3" fontId="6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5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3" max="3" width="14.75"/>
    <col customWidth="1" min="5" max="5" width="15.13"/>
    <col customWidth="1" min="6" max="6" width="8.25"/>
    <col customWidth="1" min="7" max="7" width="10.13"/>
    <col customWidth="1" min="8" max="11" width="8.25"/>
    <col customWidth="1" min="12" max="12" width="8.75"/>
    <col customWidth="1" min="13" max="13" width="10.13"/>
    <col customWidth="1" min="14" max="14" width="8.25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6" t="s">
        <v>7</v>
      </c>
      <c r="I1" s="6" t="s">
        <v>8</v>
      </c>
      <c r="J1" s="6" t="s">
        <v>9</v>
      </c>
      <c r="K1" s="7" t="s">
        <v>10</v>
      </c>
      <c r="L1" s="7" t="s">
        <v>11</v>
      </c>
      <c r="M1" s="8" t="s">
        <v>12</v>
      </c>
      <c r="N1" s="9" t="s">
        <v>13</v>
      </c>
      <c r="O1" s="10"/>
      <c r="P1" s="11"/>
    </row>
    <row r="2" ht="39.0" hidden="1" customHeight="1">
      <c r="A2" s="12">
        <v>6.0</v>
      </c>
      <c r="B2" s="13" t="s">
        <v>14</v>
      </c>
      <c r="C2" s="14">
        <v>45685.0</v>
      </c>
      <c r="D2" s="15">
        <v>40.0</v>
      </c>
      <c r="E2" s="16" t="s">
        <v>15</v>
      </c>
      <c r="F2" s="17">
        <v>51.8867924528301</v>
      </c>
      <c r="G2" s="18">
        <v>155.067930759269</v>
      </c>
      <c r="H2" s="19">
        <v>70.0</v>
      </c>
      <c r="I2" s="19">
        <v>25.0</v>
      </c>
      <c r="J2" s="19">
        <v>25.0</v>
      </c>
      <c r="K2" s="20"/>
      <c r="L2" s="20"/>
      <c r="M2" s="21">
        <v>947.246174692297</v>
      </c>
      <c r="N2" s="22">
        <f>M2/G2</f>
        <v>6.108588475</v>
      </c>
      <c r="O2" s="23"/>
      <c r="P2" s="24"/>
    </row>
    <row r="3" hidden="1">
      <c r="A3" s="25">
        <v>167.0</v>
      </c>
      <c r="B3" s="25" t="s">
        <v>16</v>
      </c>
      <c r="C3" s="14"/>
      <c r="D3" s="14"/>
      <c r="E3" s="14"/>
      <c r="F3" s="26"/>
      <c r="G3" s="27"/>
      <c r="H3" s="23"/>
      <c r="I3" s="23"/>
      <c r="J3" s="23"/>
      <c r="K3" s="20"/>
      <c r="L3" s="28"/>
      <c r="M3" s="29"/>
      <c r="N3" s="30"/>
      <c r="O3" s="23"/>
      <c r="P3" s="31"/>
    </row>
    <row r="4" ht="19.5" customHeight="1">
      <c r="A4" s="32">
        <v>48.0</v>
      </c>
      <c r="B4" s="33" t="s">
        <v>17</v>
      </c>
      <c r="C4" s="14">
        <v>45679.0</v>
      </c>
      <c r="D4" s="16">
        <v>663.0</v>
      </c>
      <c r="E4" s="16" t="s">
        <v>15</v>
      </c>
      <c r="F4" s="17"/>
      <c r="G4" s="18">
        <v>1301.22317033501</v>
      </c>
      <c r="H4" s="19">
        <v>10.0</v>
      </c>
      <c r="I4" s="19">
        <v>45.0</v>
      </c>
      <c r="J4" s="19">
        <v>25.0</v>
      </c>
      <c r="K4" s="22">
        <f t="shared" ref="K4:K8" si="1">AVERAGE(H4:J4)</f>
        <v>26.66666667</v>
      </c>
      <c r="L4" s="30">
        <f>K4*'Data preparation'!$C$2</f>
        <v>6.666666667</v>
      </c>
      <c r="M4" s="21">
        <v>5564.89670858036</v>
      </c>
      <c r="N4" s="22">
        <f t="shared" ref="N4:N8" si="2">M4/G4</f>
        <v>4.27666586</v>
      </c>
    </row>
    <row r="5">
      <c r="A5" s="25">
        <v>55.0</v>
      </c>
      <c r="B5" s="33" t="s">
        <v>18</v>
      </c>
      <c r="C5" s="14">
        <v>45679.0</v>
      </c>
      <c r="D5" s="16">
        <v>1448.0</v>
      </c>
      <c r="E5" s="16" t="s">
        <v>15</v>
      </c>
      <c r="F5" s="17">
        <v>57.7981651376146</v>
      </c>
      <c r="G5" s="18">
        <v>823.906317742065</v>
      </c>
      <c r="H5" s="21">
        <v>70.0</v>
      </c>
      <c r="I5" s="21">
        <v>45.0</v>
      </c>
      <c r="J5" s="21">
        <v>25.0</v>
      </c>
      <c r="K5" s="22">
        <f t="shared" si="1"/>
        <v>46.66666667</v>
      </c>
      <c r="L5" s="30">
        <f>K5*'Data preparation'!$C$2</f>
        <v>11.66666667</v>
      </c>
      <c r="M5" s="21">
        <v>8764.30228233083</v>
      </c>
      <c r="N5" s="22">
        <f t="shared" si="2"/>
        <v>10.63749858</v>
      </c>
      <c r="P5" s="34"/>
    </row>
    <row r="6">
      <c r="A6" s="25">
        <v>59.0</v>
      </c>
      <c r="B6" s="25" t="s">
        <v>19</v>
      </c>
      <c r="C6" s="14">
        <v>45680.0</v>
      </c>
      <c r="D6" s="16">
        <v>1051.0</v>
      </c>
      <c r="E6" s="16" t="s">
        <v>15</v>
      </c>
      <c r="F6" s="17">
        <v>62.3853211009174</v>
      </c>
      <c r="G6" s="18">
        <v>2007.3027253796</v>
      </c>
      <c r="H6" s="21">
        <v>70.0</v>
      </c>
      <c r="I6" s="21">
        <v>70.0</v>
      </c>
      <c r="J6" s="21">
        <v>10.0</v>
      </c>
      <c r="K6" s="22">
        <f t="shared" si="1"/>
        <v>50</v>
      </c>
      <c r="L6" s="30">
        <f>K6*'Data preparation'!$C$2</f>
        <v>12.5</v>
      </c>
      <c r="M6" s="35">
        <v>235388.618048197</v>
      </c>
      <c r="N6" s="22">
        <f t="shared" si="2"/>
        <v>117.2661279</v>
      </c>
    </row>
    <row r="7">
      <c r="A7" s="25">
        <v>77.0</v>
      </c>
      <c r="B7" s="25" t="s">
        <v>20</v>
      </c>
      <c r="C7" s="14">
        <v>45677.0</v>
      </c>
      <c r="D7" s="16">
        <v>622.0</v>
      </c>
      <c r="E7" s="16" t="s">
        <v>15</v>
      </c>
      <c r="F7" s="17"/>
      <c r="G7" s="18">
        <v>759.494203200902</v>
      </c>
      <c r="H7" s="19">
        <v>45.0</v>
      </c>
      <c r="I7" s="19">
        <v>45.0</v>
      </c>
      <c r="J7" s="19">
        <v>45.0</v>
      </c>
      <c r="K7" s="28">
        <f t="shared" si="1"/>
        <v>45</v>
      </c>
      <c r="L7" s="30">
        <f>K7*'Data preparation'!$C$2</f>
        <v>11.25</v>
      </c>
      <c r="M7" s="21">
        <v>9433.02522864221</v>
      </c>
      <c r="N7" s="22">
        <f t="shared" si="2"/>
        <v>12.42014118</v>
      </c>
    </row>
    <row r="8">
      <c r="A8" s="25">
        <v>148.0</v>
      </c>
      <c r="B8" s="25" t="s">
        <v>21</v>
      </c>
      <c r="C8" s="14">
        <v>45677.0</v>
      </c>
      <c r="D8" s="16">
        <v>1545.0</v>
      </c>
      <c r="E8" s="16" t="s">
        <v>15</v>
      </c>
      <c r="F8" s="17"/>
      <c r="G8" s="18">
        <v>422.057169223285</v>
      </c>
      <c r="H8" s="19">
        <v>45.0</v>
      </c>
      <c r="I8" s="19">
        <v>10.0</v>
      </c>
      <c r="J8" s="19">
        <v>25.0</v>
      </c>
      <c r="K8" s="22">
        <f t="shared" si="1"/>
        <v>26.66666667</v>
      </c>
      <c r="L8" s="30">
        <f>K8*'Data preparation'!$C$2</f>
        <v>6.666666667</v>
      </c>
      <c r="M8" s="21">
        <v>1548.87389573756</v>
      </c>
      <c r="N8" s="22">
        <f t="shared" si="2"/>
        <v>3.66982013</v>
      </c>
    </row>
    <row r="9" ht="20.25" customHeight="1">
      <c r="F9" s="23"/>
      <c r="G9" s="23"/>
      <c r="H9" s="23"/>
      <c r="I9" s="23"/>
      <c r="J9" s="23"/>
      <c r="K9" s="23"/>
      <c r="M9" s="29"/>
      <c r="N9" s="29"/>
      <c r="P9" s="36"/>
    </row>
    <row r="10" ht="20.25" customHeight="1">
      <c r="M10" s="37"/>
      <c r="N10" s="37"/>
    </row>
    <row r="11">
      <c r="H11" s="38"/>
      <c r="K11" s="39"/>
      <c r="L11" s="39"/>
      <c r="M11" s="37"/>
      <c r="N11" s="37"/>
      <c r="O11" s="39"/>
    </row>
    <row r="12" ht="20.25" customHeight="1"/>
    <row r="13">
      <c r="A13" s="40"/>
    </row>
    <row r="19">
      <c r="C19" s="41"/>
      <c r="D19" s="41"/>
      <c r="E19" s="41"/>
      <c r="F19" s="41"/>
      <c r="G19" s="41"/>
      <c r="H19" s="41"/>
      <c r="I19" s="41"/>
      <c r="J19" s="41"/>
      <c r="K19" s="41"/>
    </row>
    <row r="27">
      <c r="A27" s="40"/>
      <c r="C27" s="41"/>
    </row>
    <row r="28">
      <c r="C28" s="41"/>
    </row>
    <row r="29">
      <c r="C29" s="41"/>
    </row>
    <row r="30">
      <c r="C30" s="41"/>
    </row>
    <row r="31">
      <c r="C31" s="41"/>
    </row>
    <row r="38">
      <c r="M38" s="37"/>
      <c r="N38" s="37"/>
    </row>
    <row r="39">
      <c r="M39" s="37"/>
      <c r="N39" s="37"/>
    </row>
    <row r="40">
      <c r="M40" s="37"/>
      <c r="N40" s="37"/>
    </row>
    <row r="41">
      <c r="M41" s="37"/>
      <c r="N41" s="37"/>
    </row>
    <row r="42">
      <c r="M42" s="37"/>
      <c r="N42" s="37"/>
    </row>
    <row r="43">
      <c r="M43" s="37"/>
      <c r="N43" s="37"/>
    </row>
    <row r="44">
      <c r="M44" s="37"/>
      <c r="N44" s="37"/>
    </row>
    <row r="45">
      <c r="M45" s="37"/>
      <c r="N45" s="37"/>
    </row>
    <row r="46">
      <c r="M46" s="37"/>
      <c r="N46" s="37"/>
    </row>
    <row r="47">
      <c r="M47" s="37"/>
      <c r="N47" s="37"/>
    </row>
    <row r="48">
      <c r="M48" s="37"/>
      <c r="N48" s="37"/>
    </row>
    <row r="49">
      <c r="M49" s="37"/>
      <c r="N49" s="37"/>
    </row>
    <row r="50">
      <c r="M50" s="37"/>
      <c r="N50" s="37"/>
    </row>
    <row r="51">
      <c r="M51" s="37"/>
      <c r="N51" s="37"/>
    </row>
    <row r="52">
      <c r="M52" s="37"/>
      <c r="N52" s="37"/>
    </row>
    <row r="53">
      <c r="M53" s="37"/>
      <c r="N53" s="37"/>
    </row>
    <row r="54">
      <c r="M54" s="37"/>
      <c r="N54" s="37"/>
    </row>
    <row r="55">
      <c r="M55" s="37"/>
      <c r="N55" s="37"/>
    </row>
    <row r="56">
      <c r="M56" s="37"/>
      <c r="N56" s="37"/>
    </row>
    <row r="57">
      <c r="M57" s="37"/>
      <c r="N57" s="37"/>
    </row>
    <row r="58">
      <c r="M58" s="37"/>
      <c r="N58" s="37"/>
    </row>
    <row r="59">
      <c r="M59" s="37"/>
      <c r="N59" s="37"/>
    </row>
    <row r="60">
      <c r="M60" s="37"/>
      <c r="N60" s="37"/>
    </row>
    <row r="61">
      <c r="M61" s="37"/>
      <c r="N61" s="37"/>
    </row>
    <row r="62">
      <c r="M62" s="37"/>
      <c r="N62" s="37"/>
    </row>
    <row r="63">
      <c r="M63" s="37"/>
      <c r="N63" s="37"/>
    </row>
    <row r="64">
      <c r="M64" s="37"/>
      <c r="N64" s="37"/>
    </row>
    <row r="65">
      <c r="M65" s="37"/>
      <c r="N65" s="37"/>
    </row>
    <row r="66">
      <c r="M66" s="37"/>
      <c r="N66" s="37"/>
    </row>
    <row r="67">
      <c r="M67" s="37"/>
      <c r="N67" s="37"/>
    </row>
    <row r="68">
      <c r="M68" s="37"/>
      <c r="N68" s="37"/>
    </row>
    <row r="69">
      <c r="M69" s="37"/>
      <c r="N69" s="37"/>
    </row>
    <row r="70">
      <c r="M70" s="37"/>
      <c r="N70" s="37"/>
    </row>
    <row r="71">
      <c r="M71" s="37"/>
      <c r="N71" s="37"/>
    </row>
    <row r="72">
      <c r="M72" s="37"/>
      <c r="N72" s="37"/>
    </row>
    <row r="73">
      <c r="M73" s="37"/>
      <c r="N73" s="37"/>
    </row>
    <row r="74">
      <c r="M74" s="37"/>
      <c r="N74" s="37"/>
    </row>
    <row r="75">
      <c r="M75" s="37"/>
      <c r="N75" s="37"/>
    </row>
    <row r="76">
      <c r="M76" s="37"/>
      <c r="N76" s="37"/>
    </row>
    <row r="77">
      <c r="M77" s="37"/>
      <c r="N77" s="37"/>
    </row>
    <row r="78">
      <c r="M78" s="37"/>
      <c r="N78" s="37"/>
    </row>
    <row r="79">
      <c r="M79" s="37"/>
      <c r="N79" s="37"/>
    </row>
    <row r="80">
      <c r="M80" s="37"/>
      <c r="N80" s="37"/>
    </row>
    <row r="81">
      <c r="M81" s="37"/>
      <c r="N81" s="37"/>
    </row>
    <row r="82">
      <c r="M82" s="37"/>
      <c r="N82" s="37"/>
    </row>
    <row r="83">
      <c r="M83" s="37"/>
      <c r="N83" s="37"/>
    </row>
    <row r="84">
      <c r="M84" s="37"/>
      <c r="N84" s="37"/>
    </row>
    <row r="85">
      <c r="M85" s="37"/>
      <c r="N85" s="37"/>
    </row>
    <row r="86">
      <c r="M86" s="37"/>
      <c r="N86" s="37"/>
    </row>
    <row r="87">
      <c r="M87" s="37"/>
      <c r="N87" s="37"/>
    </row>
    <row r="88">
      <c r="M88" s="37"/>
      <c r="N88" s="37"/>
    </row>
    <row r="89">
      <c r="M89" s="37"/>
      <c r="N89" s="37"/>
    </row>
    <row r="90">
      <c r="M90" s="37"/>
      <c r="N90" s="37"/>
    </row>
    <row r="91">
      <c r="M91" s="37"/>
      <c r="N91" s="37"/>
    </row>
    <row r="92">
      <c r="M92" s="37"/>
      <c r="N92" s="37"/>
    </row>
    <row r="93">
      <c r="M93" s="37"/>
      <c r="N93" s="37"/>
    </row>
    <row r="94">
      <c r="M94" s="37"/>
      <c r="N94" s="37"/>
    </row>
    <row r="95">
      <c r="M95" s="37"/>
      <c r="N95" s="37"/>
    </row>
    <row r="96">
      <c r="M96" s="37"/>
      <c r="N96" s="37"/>
    </row>
    <row r="97">
      <c r="M97" s="37"/>
      <c r="N97" s="37"/>
    </row>
    <row r="98">
      <c r="M98" s="37"/>
      <c r="N98" s="37"/>
    </row>
    <row r="99">
      <c r="M99" s="37"/>
      <c r="N99" s="37"/>
    </row>
    <row r="100">
      <c r="M100" s="37"/>
      <c r="N100" s="37"/>
    </row>
    <row r="101">
      <c r="M101" s="37"/>
      <c r="N101" s="37"/>
    </row>
    <row r="102">
      <c r="M102" s="37"/>
      <c r="N102" s="37"/>
    </row>
    <row r="103">
      <c r="L103" s="19"/>
      <c r="M103" s="37"/>
      <c r="N103" s="37"/>
    </row>
    <row r="104">
      <c r="L104" s="19"/>
      <c r="M104" s="37"/>
      <c r="N104" s="37"/>
    </row>
    <row r="105">
      <c r="L105" s="19"/>
      <c r="M105" s="37"/>
      <c r="N105" s="37"/>
    </row>
    <row r="106">
      <c r="L106" s="19"/>
      <c r="M106" s="37"/>
      <c r="N106" s="37"/>
    </row>
    <row r="107">
      <c r="L107" s="19"/>
      <c r="M107" s="37"/>
      <c r="N107" s="37"/>
    </row>
    <row r="108">
      <c r="L108" s="19"/>
      <c r="M108" s="37"/>
      <c r="N108" s="37"/>
    </row>
    <row r="109">
      <c r="L109" s="19"/>
      <c r="M109" s="37"/>
      <c r="N109" s="37"/>
    </row>
    <row r="110">
      <c r="L110" s="19"/>
      <c r="M110" s="37"/>
      <c r="N110" s="37"/>
    </row>
    <row r="111">
      <c r="L111" s="19"/>
      <c r="M111" s="37"/>
      <c r="N111" s="37"/>
    </row>
    <row r="112">
      <c r="L112" s="19"/>
      <c r="M112" s="37"/>
      <c r="N112" s="37"/>
    </row>
    <row r="113">
      <c r="L113" s="19"/>
      <c r="M113" s="37"/>
      <c r="N113" s="37"/>
    </row>
    <row r="114">
      <c r="L114" s="19"/>
      <c r="M114" s="37"/>
      <c r="N114" s="37"/>
    </row>
    <row r="115">
      <c r="L115" s="19"/>
      <c r="M115" s="37"/>
      <c r="N115" s="37"/>
    </row>
    <row r="116">
      <c r="L116" s="19"/>
      <c r="M116" s="37"/>
      <c r="N116" s="37"/>
    </row>
    <row r="117">
      <c r="L117" s="19"/>
      <c r="M117" s="37"/>
      <c r="N117" s="37"/>
    </row>
    <row r="118">
      <c r="L118" s="19"/>
      <c r="M118" s="37"/>
      <c r="N118" s="37"/>
    </row>
    <row r="119">
      <c r="L119" s="19"/>
      <c r="M119" s="37"/>
      <c r="N119" s="37"/>
    </row>
    <row r="120">
      <c r="L120" s="19"/>
      <c r="M120" s="37"/>
      <c r="N120" s="37"/>
    </row>
    <row r="121">
      <c r="L121" s="19"/>
      <c r="M121" s="37"/>
      <c r="N121" s="37"/>
    </row>
    <row r="122">
      <c r="L122" s="19"/>
      <c r="M122" s="37"/>
      <c r="N122" s="37"/>
    </row>
    <row r="123">
      <c r="L123" s="19"/>
      <c r="M123" s="37"/>
      <c r="N123" s="37"/>
    </row>
    <row r="124">
      <c r="L124" s="19"/>
      <c r="M124" s="37"/>
      <c r="N124" s="37"/>
    </row>
    <row r="125">
      <c r="L125" s="19"/>
      <c r="M125" s="37"/>
      <c r="N125" s="37"/>
    </row>
    <row r="126">
      <c r="L126" s="19"/>
      <c r="M126" s="37"/>
      <c r="N126" s="37"/>
    </row>
    <row r="127">
      <c r="L127" s="19"/>
      <c r="M127" s="37"/>
      <c r="N127" s="37"/>
    </row>
    <row r="128">
      <c r="L128" s="19"/>
      <c r="M128" s="37"/>
      <c r="N128" s="37"/>
    </row>
    <row r="129">
      <c r="L129" s="19"/>
      <c r="M129" s="37"/>
      <c r="N129" s="37"/>
    </row>
    <row r="130">
      <c r="L130" s="19"/>
      <c r="M130" s="37"/>
      <c r="N130" s="37"/>
    </row>
    <row r="131">
      <c r="L131" s="19"/>
      <c r="M131" s="37"/>
      <c r="N131" s="37"/>
    </row>
    <row r="132">
      <c r="L132" s="19"/>
      <c r="M132" s="37"/>
      <c r="N132" s="37"/>
    </row>
    <row r="133">
      <c r="M133" s="37"/>
      <c r="N133" s="37"/>
    </row>
    <row r="134">
      <c r="M134" s="37"/>
      <c r="N134" s="37"/>
    </row>
    <row r="135">
      <c r="M135" s="37"/>
      <c r="N135" s="37"/>
    </row>
    <row r="136">
      <c r="M136" s="37"/>
      <c r="N136" s="37"/>
    </row>
    <row r="137">
      <c r="M137" s="37"/>
      <c r="N137" s="37"/>
    </row>
    <row r="138">
      <c r="M138" s="37"/>
      <c r="N138" s="37"/>
    </row>
    <row r="139">
      <c r="M139" s="37"/>
      <c r="N139" s="37"/>
    </row>
    <row r="140">
      <c r="M140" s="37"/>
      <c r="N140" s="37"/>
    </row>
    <row r="141">
      <c r="M141" s="37"/>
      <c r="N141" s="37"/>
    </row>
    <row r="142">
      <c r="M142" s="37"/>
      <c r="N142" s="37"/>
    </row>
    <row r="143">
      <c r="M143" s="37"/>
      <c r="N143" s="37"/>
    </row>
    <row r="144">
      <c r="M144" s="37"/>
      <c r="N144" s="37"/>
    </row>
    <row r="145">
      <c r="M145" s="37"/>
      <c r="N145" s="37"/>
    </row>
    <row r="146">
      <c r="M146" s="37"/>
      <c r="N146" s="37"/>
    </row>
    <row r="147">
      <c r="M147" s="37"/>
      <c r="N147" s="37"/>
    </row>
    <row r="148">
      <c r="M148" s="37"/>
      <c r="N148" s="37"/>
    </row>
    <row r="149">
      <c r="M149" s="37"/>
      <c r="N149" s="37"/>
    </row>
    <row r="150">
      <c r="M150" s="37"/>
      <c r="N150" s="37"/>
    </row>
    <row r="151">
      <c r="M151" s="37"/>
      <c r="N151" s="37"/>
    </row>
    <row r="152">
      <c r="M152" s="37"/>
      <c r="N152" s="37"/>
    </row>
    <row r="153">
      <c r="M153" s="37"/>
      <c r="N153" s="37"/>
    </row>
    <row r="154">
      <c r="M154" s="37"/>
      <c r="N154" s="37"/>
    </row>
    <row r="155">
      <c r="M155" s="37"/>
      <c r="N155" s="37"/>
    </row>
    <row r="156">
      <c r="M156" s="37"/>
      <c r="N156" s="37"/>
    </row>
    <row r="157">
      <c r="M157" s="37"/>
      <c r="N157" s="37"/>
    </row>
    <row r="158">
      <c r="M158" s="37"/>
      <c r="N158" s="37"/>
    </row>
    <row r="159">
      <c r="M159" s="37"/>
      <c r="N159" s="37"/>
    </row>
    <row r="160">
      <c r="M160" s="37"/>
      <c r="N160" s="37"/>
    </row>
    <row r="161">
      <c r="M161" s="37"/>
      <c r="N161" s="37"/>
    </row>
    <row r="162">
      <c r="M162" s="37"/>
      <c r="N162" s="37"/>
    </row>
    <row r="163">
      <c r="M163" s="37"/>
      <c r="N163" s="37"/>
    </row>
    <row r="164">
      <c r="M164" s="37"/>
      <c r="N164" s="37"/>
    </row>
    <row r="165">
      <c r="M165" s="37"/>
      <c r="N165" s="37"/>
    </row>
    <row r="166">
      <c r="M166" s="37"/>
      <c r="N166" s="37"/>
    </row>
    <row r="167">
      <c r="M167" s="37"/>
      <c r="N167" s="37"/>
    </row>
    <row r="168">
      <c r="M168" s="37"/>
      <c r="N168" s="37"/>
    </row>
    <row r="169">
      <c r="M169" s="37"/>
      <c r="N169" s="37"/>
    </row>
    <row r="170">
      <c r="M170" s="37"/>
      <c r="N170" s="37"/>
    </row>
    <row r="171">
      <c r="M171" s="37"/>
      <c r="N171" s="37"/>
    </row>
    <row r="172">
      <c r="M172" s="37"/>
      <c r="N172" s="37"/>
    </row>
    <row r="173">
      <c r="M173" s="37"/>
      <c r="N173" s="37"/>
    </row>
    <row r="174">
      <c r="M174" s="37"/>
      <c r="N174" s="37"/>
    </row>
    <row r="175">
      <c r="M175" s="37"/>
      <c r="N175" s="37"/>
    </row>
    <row r="176">
      <c r="M176" s="37"/>
      <c r="N176" s="37"/>
    </row>
    <row r="177">
      <c r="M177" s="37"/>
      <c r="N177" s="37"/>
    </row>
    <row r="178">
      <c r="M178" s="37"/>
      <c r="N178" s="37"/>
    </row>
    <row r="179">
      <c r="M179" s="37"/>
      <c r="N179" s="37"/>
    </row>
    <row r="180">
      <c r="M180" s="37"/>
      <c r="N180" s="37"/>
    </row>
    <row r="181">
      <c r="M181" s="37"/>
      <c r="N181" s="37"/>
    </row>
    <row r="182">
      <c r="M182" s="37"/>
      <c r="N182" s="37"/>
    </row>
    <row r="183">
      <c r="M183" s="37"/>
      <c r="N183" s="37"/>
    </row>
    <row r="184">
      <c r="M184" s="37"/>
      <c r="N184" s="37"/>
    </row>
    <row r="185">
      <c r="M185" s="37"/>
      <c r="N185" s="37"/>
    </row>
    <row r="186">
      <c r="M186" s="37"/>
      <c r="N186" s="37"/>
    </row>
    <row r="187">
      <c r="M187" s="37"/>
      <c r="N187" s="37"/>
    </row>
    <row r="188">
      <c r="M188" s="37"/>
      <c r="N188" s="37"/>
    </row>
    <row r="189">
      <c r="M189" s="37"/>
      <c r="N189" s="37"/>
    </row>
    <row r="190">
      <c r="M190" s="37"/>
      <c r="N190" s="37"/>
    </row>
    <row r="191">
      <c r="M191" s="37"/>
      <c r="N191" s="37"/>
    </row>
    <row r="192">
      <c r="M192" s="37"/>
      <c r="N192" s="37"/>
    </row>
    <row r="193">
      <c r="M193" s="37"/>
      <c r="N193" s="37"/>
    </row>
    <row r="194">
      <c r="M194" s="37"/>
      <c r="N194" s="37"/>
    </row>
    <row r="195">
      <c r="M195" s="37"/>
      <c r="N195" s="37"/>
    </row>
    <row r="196">
      <c r="M196" s="37"/>
      <c r="N196" s="37"/>
    </row>
    <row r="197">
      <c r="M197" s="37"/>
      <c r="N197" s="37"/>
    </row>
    <row r="198">
      <c r="M198" s="37"/>
      <c r="N198" s="37"/>
    </row>
    <row r="199">
      <c r="M199" s="37"/>
      <c r="N199" s="37"/>
    </row>
    <row r="200">
      <c r="M200" s="37"/>
      <c r="N200" s="37"/>
    </row>
    <row r="201">
      <c r="M201" s="37"/>
      <c r="N201" s="37"/>
    </row>
    <row r="202">
      <c r="M202" s="37"/>
      <c r="N202" s="37"/>
    </row>
    <row r="203">
      <c r="M203" s="37"/>
      <c r="N203" s="37"/>
    </row>
    <row r="204">
      <c r="M204" s="37"/>
      <c r="N204" s="37"/>
    </row>
    <row r="205">
      <c r="M205" s="37"/>
      <c r="N205" s="37"/>
    </row>
    <row r="206">
      <c r="M206" s="37"/>
      <c r="N206" s="37"/>
    </row>
    <row r="207">
      <c r="M207" s="37"/>
      <c r="N207" s="37"/>
    </row>
    <row r="208">
      <c r="M208" s="37"/>
      <c r="N208" s="37"/>
    </row>
    <row r="209">
      <c r="M209" s="37"/>
      <c r="N209" s="37"/>
    </row>
    <row r="210">
      <c r="M210" s="37"/>
      <c r="N210" s="37"/>
    </row>
    <row r="211">
      <c r="M211" s="37"/>
      <c r="N211" s="37"/>
    </row>
    <row r="212">
      <c r="M212" s="37"/>
      <c r="N212" s="37"/>
    </row>
    <row r="213">
      <c r="M213" s="37"/>
      <c r="N213" s="37"/>
    </row>
    <row r="214">
      <c r="M214" s="37"/>
      <c r="N214" s="37"/>
    </row>
    <row r="215">
      <c r="M215" s="37"/>
      <c r="N215" s="37"/>
    </row>
    <row r="216">
      <c r="M216" s="37"/>
      <c r="N216" s="37"/>
    </row>
    <row r="217">
      <c r="M217" s="37"/>
      <c r="N217" s="37"/>
    </row>
    <row r="218">
      <c r="M218" s="37"/>
      <c r="N218" s="37"/>
    </row>
    <row r="219">
      <c r="M219" s="37"/>
      <c r="N219" s="37"/>
    </row>
    <row r="220">
      <c r="M220" s="37"/>
      <c r="N220" s="37"/>
    </row>
    <row r="221">
      <c r="M221" s="37"/>
      <c r="N221" s="37"/>
    </row>
    <row r="222">
      <c r="M222" s="37"/>
      <c r="N222" s="37"/>
    </row>
    <row r="223">
      <c r="M223" s="37"/>
      <c r="N223" s="37"/>
    </row>
    <row r="224">
      <c r="M224" s="37"/>
      <c r="N224" s="37"/>
    </row>
    <row r="225">
      <c r="M225" s="37"/>
      <c r="N225" s="37"/>
    </row>
    <row r="226">
      <c r="M226" s="37"/>
      <c r="N226" s="37"/>
    </row>
    <row r="227">
      <c r="M227" s="37"/>
      <c r="N227" s="37"/>
    </row>
    <row r="228">
      <c r="M228" s="37"/>
      <c r="N228" s="37"/>
    </row>
    <row r="229">
      <c r="M229" s="37"/>
      <c r="N229" s="37"/>
    </row>
    <row r="230">
      <c r="M230" s="37"/>
      <c r="N230" s="37"/>
    </row>
    <row r="231">
      <c r="M231" s="37"/>
      <c r="N231" s="37"/>
    </row>
    <row r="232">
      <c r="M232" s="37"/>
      <c r="N232" s="37"/>
    </row>
    <row r="233">
      <c r="M233" s="37"/>
      <c r="N233" s="37"/>
    </row>
    <row r="234">
      <c r="M234" s="37"/>
      <c r="N234" s="37"/>
    </row>
    <row r="235">
      <c r="M235" s="37"/>
      <c r="N235" s="37"/>
    </row>
    <row r="236">
      <c r="M236" s="37"/>
      <c r="N236" s="37"/>
    </row>
    <row r="237">
      <c r="M237" s="37"/>
      <c r="N237" s="37"/>
    </row>
    <row r="238">
      <c r="M238" s="37"/>
      <c r="N238" s="37"/>
    </row>
    <row r="239">
      <c r="M239" s="37"/>
      <c r="N239" s="37"/>
    </row>
    <row r="240">
      <c r="M240" s="37"/>
      <c r="N240" s="37"/>
    </row>
    <row r="241">
      <c r="M241" s="37"/>
      <c r="N241" s="37"/>
    </row>
    <row r="242">
      <c r="M242" s="37"/>
      <c r="N242" s="37"/>
    </row>
    <row r="243">
      <c r="M243" s="37"/>
      <c r="N243" s="37"/>
    </row>
    <row r="244">
      <c r="M244" s="37"/>
      <c r="N244" s="37"/>
    </row>
    <row r="245">
      <c r="M245" s="37"/>
      <c r="N245" s="37"/>
    </row>
    <row r="246">
      <c r="M246" s="37"/>
      <c r="N246" s="37"/>
    </row>
    <row r="247">
      <c r="M247" s="37"/>
      <c r="N247" s="37"/>
    </row>
    <row r="248">
      <c r="M248" s="37"/>
      <c r="N248" s="37"/>
    </row>
    <row r="249">
      <c r="M249" s="37"/>
      <c r="N249" s="37"/>
    </row>
    <row r="250">
      <c r="M250" s="37"/>
      <c r="N250" s="37"/>
    </row>
    <row r="251">
      <c r="M251" s="37"/>
      <c r="N251" s="37"/>
    </row>
    <row r="252">
      <c r="M252" s="37"/>
      <c r="N252" s="37"/>
    </row>
    <row r="253">
      <c r="M253" s="37"/>
      <c r="N253" s="37"/>
    </row>
    <row r="254">
      <c r="M254" s="37"/>
      <c r="N254" s="37"/>
    </row>
    <row r="255">
      <c r="M255" s="37"/>
      <c r="N255" s="37"/>
    </row>
    <row r="256">
      <c r="M256" s="37"/>
      <c r="N256" s="37"/>
    </row>
    <row r="257">
      <c r="M257" s="37"/>
      <c r="N257" s="37"/>
    </row>
    <row r="258">
      <c r="M258" s="37"/>
      <c r="N258" s="37"/>
    </row>
    <row r="259">
      <c r="M259" s="37"/>
      <c r="N259" s="37"/>
    </row>
    <row r="260">
      <c r="M260" s="37"/>
      <c r="N260" s="37"/>
    </row>
    <row r="261">
      <c r="M261" s="37"/>
      <c r="N261" s="37"/>
    </row>
    <row r="262">
      <c r="M262" s="37"/>
      <c r="N262" s="37"/>
    </row>
    <row r="263">
      <c r="M263" s="37"/>
      <c r="N263" s="37"/>
    </row>
    <row r="264">
      <c r="M264" s="37"/>
      <c r="N264" s="37"/>
    </row>
    <row r="265">
      <c r="M265" s="37"/>
      <c r="N265" s="37"/>
    </row>
    <row r="266">
      <c r="M266" s="37"/>
      <c r="N266" s="37"/>
    </row>
    <row r="267">
      <c r="M267" s="37"/>
      <c r="N267" s="37"/>
    </row>
    <row r="268">
      <c r="M268" s="37"/>
      <c r="N268" s="37"/>
    </row>
    <row r="269">
      <c r="M269" s="37"/>
      <c r="N269" s="37"/>
    </row>
    <row r="270">
      <c r="M270" s="37"/>
      <c r="N270" s="37"/>
    </row>
    <row r="271">
      <c r="M271" s="37"/>
      <c r="N271" s="37"/>
    </row>
    <row r="272">
      <c r="M272" s="37"/>
      <c r="N272" s="37"/>
    </row>
    <row r="273">
      <c r="M273" s="37"/>
      <c r="N273" s="37"/>
    </row>
    <row r="274">
      <c r="M274" s="37"/>
      <c r="N274" s="37"/>
    </row>
    <row r="275">
      <c r="M275" s="37"/>
      <c r="N275" s="37"/>
    </row>
    <row r="276">
      <c r="M276" s="37"/>
      <c r="N276" s="37"/>
    </row>
    <row r="277">
      <c r="M277" s="37"/>
      <c r="N277" s="37"/>
    </row>
    <row r="278">
      <c r="M278" s="37"/>
      <c r="N278" s="37"/>
    </row>
    <row r="279">
      <c r="M279" s="37"/>
      <c r="N279" s="37"/>
    </row>
    <row r="280">
      <c r="M280" s="37"/>
      <c r="N280" s="37"/>
    </row>
    <row r="281">
      <c r="M281" s="37"/>
      <c r="N281" s="37"/>
    </row>
    <row r="282">
      <c r="M282" s="37"/>
      <c r="N282" s="37"/>
    </row>
    <row r="283">
      <c r="M283" s="37"/>
      <c r="N283" s="37"/>
    </row>
    <row r="284">
      <c r="M284" s="37"/>
      <c r="N284" s="37"/>
    </row>
    <row r="285">
      <c r="M285" s="37"/>
      <c r="N285" s="37"/>
    </row>
    <row r="286">
      <c r="M286" s="37"/>
      <c r="N286" s="37"/>
    </row>
    <row r="287">
      <c r="M287" s="37"/>
      <c r="N287" s="37"/>
    </row>
    <row r="288">
      <c r="M288" s="37"/>
      <c r="N288" s="37"/>
    </row>
    <row r="289">
      <c r="M289" s="37"/>
      <c r="N289" s="37"/>
    </row>
    <row r="290">
      <c r="M290" s="37"/>
      <c r="N290" s="37"/>
    </row>
    <row r="291">
      <c r="M291" s="37"/>
      <c r="N291" s="37"/>
    </row>
    <row r="292">
      <c r="M292" s="37"/>
      <c r="N292" s="37"/>
    </row>
    <row r="293">
      <c r="M293" s="37"/>
      <c r="N293" s="37"/>
    </row>
    <row r="294">
      <c r="M294" s="37"/>
      <c r="N294" s="37"/>
    </row>
    <row r="295">
      <c r="M295" s="37"/>
      <c r="N295" s="37"/>
    </row>
    <row r="296">
      <c r="M296" s="37"/>
      <c r="N296" s="37"/>
    </row>
    <row r="297">
      <c r="M297" s="37"/>
      <c r="N297" s="37"/>
    </row>
    <row r="298">
      <c r="M298" s="37"/>
      <c r="N298" s="37"/>
    </row>
    <row r="299">
      <c r="M299" s="37"/>
      <c r="N299" s="37"/>
    </row>
    <row r="300">
      <c r="M300" s="37"/>
      <c r="N300" s="37"/>
    </row>
    <row r="301">
      <c r="M301" s="37"/>
      <c r="N301" s="37"/>
    </row>
    <row r="302">
      <c r="M302" s="37"/>
      <c r="N302" s="37"/>
    </row>
    <row r="303">
      <c r="M303" s="37"/>
      <c r="N303" s="37"/>
    </row>
    <row r="304">
      <c r="M304" s="37"/>
      <c r="N304" s="37"/>
    </row>
    <row r="305">
      <c r="M305" s="37"/>
      <c r="N305" s="37"/>
    </row>
    <row r="306">
      <c r="M306" s="37"/>
      <c r="N306" s="37"/>
    </row>
    <row r="307">
      <c r="M307" s="37"/>
      <c r="N307" s="37"/>
    </row>
    <row r="308">
      <c r="M308" s="37"/>
      <c r="N308" s="37"/>
    </row>
    <row r="309">
      <c r="M309" s="37"/>
      <c r="N309" s="37"/>
    </row>
    <row r="310">
      <c r="M310" s="37"/>
      <c r="N310" s="37"/>
    </row>
    <row r="311">
      <c r="M311" s="37"/>
      <c r="N311" s="37"/>
    </row>
    <row r="312">
      <c r="M312" s="37"/>
      <c r="N312" s="37"/>
    </row>
    <row r="313">
      <c r="M313" s="37"/>
      <c r="N313" s="37"/>
    </row>
    <row r="314">
      <c r="M314" s="37"/>
      <c r="N314" s="37"/>
    </row>
    <row r="315">
      <c r="M315" s="37"/>
      <c r="N315" s="37"/>
    </row>
    <row r="316">
      <c r="M316" s="37"/>
      <c r="N316" s="37"/>
    </row>
    <row r="317">
      <c r="M317" s="37"/>
      <c r="N317" s="37"/>
    </row>
    <row r="318">
      <c r="M318" s="37"/>
      <c r="N318" s="37"/>
    </row>
    <row r="319">
      <c r="M319" s="37"/>
      <c r="N319" s="37"/>
    </row>
    <row r="320">
      <c r="M320" s="37"/>
      <c r="N320" s="37"/>
    </row>
    <row r="321">
      <c r="M321" s="37"/>
      <c r="N321" s="37"/>
    </row>
    <row r="322">
      <c r="M322" s="37"/>
      <c r="N322" s="37"/>
    </row>
    <row r="323">
      <c r="M323" s="37"/>
      <c r="N323" s="37"/>
    </row>
    <row r="324">
      <c r="M324" s="37"/>
      <c r="N324" s="37"/>
    </row>
    <row r="325">
      <c r="M325" s="37"/>
      <c r="N325" s="37"/>
    </row>
    <row r="326">
      <c r="M326" s="37"/>
      <c r="N326" s="37"/>
    </row>
    <row r="327">
      <c r="M327" s="37"/>
      <c r="N327" s="37"/>
    </row>
    <row r="328">
      <c r="M328" s="37"/>
      <c r="N328" s="37"/>
    </row>
    <row r="329">
      <c r="M329" s="37"/>
      <c r="N329" s="37"/>
    </row>
    <row r="330">
      <c r="M330" s="37"/>
      <c r="N330" s="37"/>
    </row>
    <row r="331">
      <c r="M331" s="37"/>
      <c r="N331" s="37"/>
    </row>
    <row r="332">
      <c r="M332" s="37"/>
      <c r="N332" s="37"/>
    </row>
    <row r="333">
      <c r="M333" s="37"/>
      <c r="N333" s="37"/>
    </row>
    <row r="334">
      <c r="M334" s="37"/>
      <c r="N334" s="37"/>
    </row>
    <row r="335">
      <c r="M335" s="37"/>
      <c r="N335" s="37"/>
    </row>
    <row r="336">
      <c r="M336" s="37"/>
      <c r="N336" s="37"/>
    </row>
    <row r="337">
      <c r="M337" s="37"/>
      <c r="N337" s="37"/>
    </row>
    <row r="338">
      <c r="M338" s="37"/>
      <c r="N338" s="37"/>
    </row>
    <row r="339">
      <c r="M339" s="37"/>
      <c r="N339" s="37"/>
    </row>
    <row r="340">
      <c r="M340" s="37"/>
      <c r="N340" s="37"/>
    </row>
    <row r="341">
      <c r="M341" s="37"/>
      <c r="N341" s="37"/>
    </row>
    <row r="342">
      <c r="M342" s="37"/>
      <c r="N342" s="37"/>
    </row>
    <row r="343">
      <c r="M343" s="37"/>
      <c r="N343" s="37"/>
    </row>
    <row r="344">
      <c r="M344" s="37"/>
      <c r="N344" s="37"/>
    </row>
    <row r="345">
      <c r="M345" s="37"/>
      <c r="N345" s="37"/>
    </row>
    <row r="346">
      <c r="M346" s="37"/>
      <c r="N346" s="37"/>
    </row>
    <row r="347">
      <c r="M347" s="37"/>
      <c r="N347" s="37"/>
    </row>
    <row r="348">
      <c r="M348" s="37"/>
      <c r="N348" s="37"/>
    </row>
    <row r="349">
      <c r="M349" s="37"/>
      <c r="N349" s="37"/>
    </row>
    <row r="350">
      <c r="M350" s="37"/>
      <c r="N350" s="37"/>
    </row>
    <row r="351">
      <c r="M351" s="37"/>
      <c r="N351" s="37"/>
    </row>
    <row r="352">
      <c r="M352" s="37"/>
      <c r="N352" s="37"/>
    </row>
    <row r="353">
      <c r="M353" s="37"/>
      <c r="N353" s="37"/>
    </row>
    <row r="354">
      <c r="M354" s="37"/>
      <c r="N354" s="37"/>
    </row>
    <row r="355">
      <c r="M355" s="37"/>
      <c r="N355" s="37"/>
    </row>
    <row r="356">
      <c r="M356" s="37"/>
      <c r="N356" s="37"/>
    </row>
    <row r="357">
      <c r="M357" s="37"/>
      <c r="N357" s="37"/>
    </row>
    <row r="358">
      <c r="M358" s="37"/>
      <c r="N358" s="37"/>
    </row>
    <row r="359">
      <c r="M359" s="37"/>
      <c r="N359" s="37"/>
    </row>
    <row r="360">
      <c r="M360" s="37"/>
      <c r="N360" s="37"/>
    </row>
    <row r="361">
      <c r="M361" s="37"/>
      <c r="N361" s="37"/>
    </row>
    <row r="362">
      <c r="M362" s="37"/>
      <c r="N362" s="37"/>
    </row>
    <row r="363">
      <c r="M363" s="37"/>
      <c r="N363" s="37"/>
    </row>
    <row r="364">
      <c r="M364" s="37"/>
      <c r="N364" s="37"/>
    </row>
    <row r="365">
      <c r="M365" s="37"/>
      <c r="N365" s="37"/>
    </row>
    <row r="366">
      <c r="M366" s="37"/>
      <c r="N366" s="37"/>
    </row>
    <row r="367">
      <c r="M367" s="37"/>
      <c r="N367" s="37"/>
    </row>
    <row r="368">
      <c r="M368" s="37"/>
      <c r="N368" s="37"/>
    </row>
    <row r="369">
      <c r="M369" s="37"/>
      <c r="N369" s="37"/>
    </row>
    <row r="370">
      <c r="M370" s="37"/>
      <c r="N370" s="37"/>
    </row>
    <row r="371">
      <c r="M371" s="37"/>
      <c r="N371" s="37"/>
    </row>
    <row r="372">
      <c r="M372" s="37"/>
      <c r="N372" s="37"/>
    </row>
    <row r="373">
      <c r="M373" s="37"/>
      <c r="N373" s="37"/>
    </row>
    <row r="374">
      <c r="M374" s="37"/>
      <c r="N374" s="37"/>
    </row>
    <row r="375">
      <c r="M375" s="37"/>
      <c r="N375" s="37"/>
    </row>
    <row r="376">
      <c r="M376" s="37"/>
      <c r="N376" s="37"/>
    </row>
    <row r="377">
      <c r="M377" s="37"/>
      <c r="N377" s="37"/>
    </row>
    <row r="378">
      <c r="M378" s="37"/>
      <c r="N378" s="37"/>
    </row>
    <row r="379">
      <c r="M379" s="37"/>
      <c r="N379" s="37"/>
    </row>
    <row r="380">
      <c r="M380" s="37"/>
      <c r="N380" s="37"/>
    </row>
    <row r="381">
      <c r="M381" s="37"/>
      <c r="N381" s="37"/>
    </row>
    <row r="382">
      <c r="M382" s="37"/>
      <c r="N382" s="37"/>
    </row>
    <row r="383">
      <c r="M383" s="37"/>
      <c r="N383" s="37"/>
    </row>
    <row r="384">
      <c r="M384" s="37"/>
      <c r="N384" s="37"/>
    </row>
    <row r="385">
      <c r="M385" s="37"/>
      <c r="N385" s="37"/>
    </row>
    <row r="386">
      <c r="M386" s="37"/>
      <c r="N386" s="37"/>
    </row>
    <row r="387">
      <c r="M387" s="37"/>
      <c r="N387" s="37"/>
    </row>
    <row r="388">
      <c r="M388" s="37"/>
      <c r="N388" s="37"/>
    </row>
    <row r="389">
      <c r="M389" s="37"/>
      <c r="N389" s="37"/>
    </row>
    <row r="390">
      <c r="M390" s="37"/>
      <c r="N390" s="37"/>
    </row>
    <row r="391">
      <c r="M391" s="37"/>
      <c r="N391" s="37"/>
    </row>
    <row r="392">
      <c r="M392" s="37"/>
      <c r="N392" s="37"/>
    </row>
    <row r="393">
      <c r="M393" s="37"/>
      <c r="N393" s="37"/>
    </row>
    <row r="394">
      <c r="M394" s="37"/>
      <c r="N394" s="37"/>
    </row>
    <row r="395">
      <c r="M395" s="37"/>
      <c r="N395" s="37"/>
    </row>
    <row r="396">
      <c r="M396" s="37"/>
      <c r="N396" s="37"/>
    </row>
    <row r="397">
      <c r="M397" s="37"/>
      <c r="N397" s="37"/>
    </row>
    <row r="398">
      <c r="M398" s="37"/>
      <c r="N398" s="37"/>
    </row>
    <row r="399">
      <c r="M399" s="37"/>
      <c r="N399" s="37"/>
    </row>
    <row r="400">
      <c r="M400" s="37"/>
      <c r="N400" s="37"/>
    </row>
    <row r="401">
      <c r="M401" s="37"/>
      <c r="N401" s="37"/>
    </row>
    <row r="402">
      <c r="M402" s="37"/>
      <c r="N402" s="37"/>
    </row>
    <row r="403">
      <c r="M403" s="37"/>
      <c r="N403" s="37"/>
    </row>
    <row r="404">
      <c r="M404" s="37"/>
      <c r="N404" s="37"/>
    </row>
    <row r="405">
      <c r="M405" s="37"/>
      <c r="N405" s="37"/>
    </row>
    <row r="406">
      <c r="M406" s="37"/>
      <c r="N406" s="37"/>
    </row>
    <row r="407">
      <c r="M407" s="37"/>
      <c r="N407" s="37"/>
    </row>
    <row r="408">
      <c r="M408" s="37"/>
      <c r="N408" s="37"/>
    </row>
    <row r="409">
      <c r="M409" s="37"/>
      <c r="N409" s="37"/>
    </row>
    <row r="410">
      <c r="M410" s="37"/>
      <c r="N410" s="37"/>
    </row>
    <row r="411">
      <c r="M411" s="37"/>
      <c r="N411" s="37"/>
    </row>
    <row r="412">
      <c r="M412" s="37"/>
      <c r="N412" s="37"/>
    </row>
    <row r="413">
      <c r="M413" s="37"/>
      <c r="N413" s="37"/>
    </row>
    <row r="414">
      <c r="M414" s="37"/>
      <c r="N414" s="37"/>
    </row>
    <row r="415">
      <c r="M415" s="37"/>
      <c r="N415" s="37"/>
    </row>
    <row r="416">
      <c r="M416" s="37"/>
      <c r="N416" s="37"/>
    </row>
    <row r="417">
      <c r="M417" s="37"/>
      <c r="N417" s="37"/>
    </row>
    <row r="418">
      <c r="M418" s="37"/>
      <c r="N418" s="37"/>
    </row>
    <row r="419">
      <c r="M419" s="37"/>
      <c r="N419" s="37"/>
    </row>
    <row r="420">
      <c r="M420" s="37"/>
      <c r="N420" s="37"/>
    </row>
    <row r="421">
      <c r="M421" s="37"/>
      <c r="N421" s="37"/>
    </row>
    <row r="422">
      <c r="M422" s="37"/>
      <c r="N422" s="37"/>
    </row>
    <row r="423">
      <c r="M423" s="37"/>
      <c r="N423" s="37"/>
    </row>
    <row r="424">
      <c r="M424" s="37"/>
      <c r="N424" s="37"/>
    </row>
    <row r="425">
      <c r="M425" s="37"/>
      <c r="N425" s="37"/>
    </row>
    <row r="426">
      <c r="M426" s="37"/>
      <c r="N426" s="37"/>
    </row>
    <row r="427">
      <c r="M427" s="37"/>
      <c r="N427" s="37"/>
    </row>
    <row r="428">
      <c r="M428" s="37"/>
      <c r="N428" s="37"/>
    </row>
    <row r="429">
      <c r="M429" s="37"/>
      <c r="N429" s="37"/>
    </row>
    <row r="430">
      <c r="M430" s="37"/>
      <c r="N430" s="37"/>
    </row>
    <row r="431">
      <c r="M431" s="37"/>
      <c r="N431" s="37"/>
    </row>
    <row r="432">
      <c r="M432" s="37"/>
      <c r="N432" s="37"/>
    </row>
    <row r="433">
      <c r="M433" s="37"/>
      <c r="N433" s="37"/>
    </row>
    <row r="434">
      <c r="M434" s="37"/>
      <c r="N434" s="37"/>
    </row>
    <row r="435">
      <c r="M435" s="37"/>
      <c r="N435" s="37"/>
    </row>
    <row r="436">
      <c r="M436" s="37"/>
      <c r="N436" s="37"/>
    </row>
    <row r="437">
      <c r="M437" s="37"/>
      <c r="N437" s="37"/>
    </row>
    <row r="438">
      <c r="M438" s="37"/>
      <c r="N438" s="37"/>
    </row>
    <row r="439">
      <c r="M439" s="37"/>
      <c r="N439" s="37"/>
    </row>
    <row r="440">
      <c r="M440" s="37"/>
      <c r="N440" s="37"/>
    </row>
    <row r="441">
      <c r="M441" s="37"/>
      <c r="N441" s="37"/>
    </row>
    <row r="442">
      <c r="M442" s="37"/>
      <c r="N442" s="37"/>
    </row>
    <row r="443">
      <c r="M443" s="37"/>
      <c r="N443" s="37"/>
    </row>
    <row r="444">
      <c r="M444" s="37"/>
      <c r="N444" s="37"/>
    </row>
    <row r="445">
      <c r="M445" s="37"/>
      <c r="N445" s="37"/>
    </row>
    <row r="446">
      <c r="M446" s="37"/>
      <c r="N446" s="37"/>
    </row>
    <row r="447">
      <c r="M447" s="37"/>
      <c r="N447" s="37"/>
    </row>
    <row r="448">
      <c r="M448" s="37"/>
      <c r="N448" s="37"/>
    </row>
    <row r="449">
      <c r="M449" s="37"/>
      <c r="N449" s="37"/>
    </row>
    <row r="450">
      <c r="M450" s="37"/>
      <c r="N450" s="37"/>
    </row>
    <row r="451">
      <c r="M451" s="37"/>
      <c r="N451" s="37"/>
    </row>
    <row r="452">
      <c r="M452" s="37"/>
      <c r="N452" s="37"/>
    </row>
    <row r="453">
      <c r="M453" s="37"/>
      <c r="N453" s="37"/>
    </row>
    <row r="454">
      <c r="M454" s="37"/>
      <c r="N454" s="37"/>
    </row>
    <row r="455">
      <c r="M455" s="37"/>
      <c r="N455" s="37"/>
    </row>
    <row r="456">
      <c r="M456" s="37"/>
      <c r="N456" s="37"/>
    </row>
    <row r="457">
      <c r="M457" s="37"/>
      <c r="N457" s="37"/>
    </row>
    <row r="458">
      <c r="M458" s="37"/>
      <c r="N458" s="37"/>
    </row>
    <row r="459">
      <c r="M459" s="37"/>
      <c r="N459" s="37"/>
    </row>
    <row r="460">
      <c r="M460" s="37"/>
      <c r="N460" s="37"/>
    </row>
    <row r="461">
      <c r="M461" s="37"/>
      <c r="N461" s="37"/>
    </row>
    <row r="462">
      <c r="M462" s="37"/>
      <c r="N462" s="37"/>
    </row>
    <row r="463">
      <c r="M463" s="37"/>
      <c r="N463" s="37"/>
    </row>
    <row r="464">
      <c r="M464" s="37"/>
      <c r="N464" s="37"/>
    </row>
    <row r="465">
      <c r="M465" s="37"/>
      <c r="N465" s="37"/>
    </row>
    <row r="466">
      <c r="M466" s="37"/>
      <c r="N466" s="37"/>
    </row>
    <row r="467">
      <c r="M467" s="37"/>
      <c r="N467" s="37"/>
    </row>
    <row r="468">
      <c r="M468" s="37"/>
      <c r="N468" s="37"/>
    </row>
    <row r="469">
      <c r="M469" s="37"/>
      <c r="N469" s="37"/>
    </row>
    <row r="470">
      <c r="M470" s="37"/>
      <c r="N470" s="37"/>
    </row>
    <row r="471">
      <c r="M471" s="37"/>
      <c r="N471" s="37"/>
    </row>
    <row r="472">
      <c r="M472" s="37"/>
      <c r="N472" s="37"/>
    </row>
    <row r="473">
      <c r="M473" s="37"/>
      <c r="N473" s="37"/>
    </row>
    <row r="474">
      <c r="M474" s="37"/>
      <c r="N474" s="37"/>
    </row>
    <row r="475">
      <c r="M475" s="37"/>
      <c r="N475" s="37"/>
    </row>
    <row r="476">
      <c r="M476" s="37"/>
      <c r="N476" s="37"/>
    </row>
    <row r="477">
      <c r="M477" s="37"/>
      <c r="N477" s="37"/>
    </row>
    <row r="478">
      <c r="M478" s="37"/>
      <c r="N478" s="37"/>
    </row>
    <row r="479">
      <c r="M479" s="37"/>
      <c r="N479" s="37"/>
    </row>
    <row r="480">
      <c r="M480" s="37"/>
      <c r="N480" s="37"/>
    </row>
    <row r="481">
      <c r="M481" s="37"/>
      <c r="N481" s="37"/>
    </row>
    <row r="482">
      <c r="M482" s="37"/>
      <c r="N482" s="37"/>
    </row>
    <row r="483">
      <c r="M483" s="37"/>
      <c r="N483" s="37"/>
    </row>
    <row r="484">
      <c r="M484" s="37"/>
      <c r="N484" s="37"/>
    </row>
    <row r="485">
      <c r="M485" s="37"/>
      <c r="N485" s="37"/>
    </row>
    <row r="486">
      <c r="M486" s="37"/>
      <c r="N486" s="37"/>
    </row>
    <row r="487">
      <c r="M487" s="37"/>
      <c r="N487" s="37"/>
    </row>
    <row r="488">
      <c r="M488" s="37"/>
      <c r="N488" s="37"/>
    </row>
    <row r="489">
      <c r="M489" s="37"/>
      <c r="N489" s="37"/>
    </row>
    <row r="490">
      <c r="M490" s="37"/>
      <c r="N490" s="37"/>
    </row>
    <row r="491">
      <c r="M491" s="37"/>
      <c r="N491" s="37"/>
    </row>
    <row r="492">
      <c r="M492" s="37"/>
      <c r="N492" s="37"/>
    </row>
    <row r="493">
      <c r="M493" s="37"/>
      <c r="N493" s="37"/>
    </row>
    <row r="494">
      <c r="M494" s="37"/>
      <c r="N494" s="37"/>
    </row>
    <row r="495">
      <c r="M495" s="37"/>
      <c r="N495" s="37"/>
    </row>
    <row r="496">
      <c r="M496" s="37"/>
      <c r="N496" s="37"/>
    </row>
    <row r="497">
      <c r="M497" s="37"/>
      <c r="N497" s="37"/>
    </row>
    <row r="498">
      <c r="M498" s="37"/>
      <c r="N498" s="37"/>
    </row>
    <row r="499">
      <c r="M499" s="37"/>
      <c r="N499" s="37"/>
    </row>
    <row r="500">
      <c r="M500" s="37"/>
      <c r="N500" s="37"/>
    </row>
    <row r="501">
      <c r="M501" s="37"/>
      <c r="N501" s="37"/>
    </row>
    <row r="502">
      <c r="M502" s="37"/>
      <c r="N502" s="37"/>
    </row>
    <row r="503">
      <c r="M503" s="37"/>
      <c r="N503" s="37"/>
    </row>
    <row r="504">
      <c r="M504" s="37"/>
      <c r="N504" s="37"/>
    </row>
    <row r="505">
      <c r="M505" s="37"/>
      <c r="N505" s="37"/>
    </row>
    <row r="506">
      <c r="M506" s="37"/>
      <c r="N506" s="37"/>
    </row>
    <row r="507">
      <c r="M507" s="37"/>
      <c r="N507" s="37"/>
    </row>
    <row r="508">
      <c r="M508" s="37"/>
      <c r="N508" s="37"/>
    </row>
    <row r="509">
      <c r="M509" s="37"/>
      <c r="N509" s="37"/>
    </row>
    <row r="510">
      <c r="M510" s="37"/>
      <c r="N510" s="37"/>
    </row>
    <row r="511">
      <c r="M511" s="37"/>
      <c r="N511" s="37"/>
    </row>
    <row r="512">
      <c r="M512" s="37"/>
      <c r="N512" s="37"/>
    </row>
    <row r="513">
      <c r="M513" s="37"/>
      <c r="N513" s="37"/>
    </row>
    <row r="514">
      <c r="M514" s="37"/>
      <c r="N514" s="37"/>
    </row>
    <row r="515">
      <c r="M515" s="37"/>
      <c r="N515" s="37"/>
    </row>
    <row r="516">
      <c r="M516" s="37"/>
      <c r="N516" s="37"/>
    </row>
    <row r="517">
      <c r="M517" s="37"/>
      <c r="N517" s="37"/>
    </row>
    <row r="518">
      <c r="M518" s="37"/>
      <c r="N518" s="37"/>
    </row>
    <row r="519">
      <c r="M519" s="37"/>
      <c r="N519" s="37"/>
    </row>
    <row r="520">
      <c r="M520" s="37"/>
      <c r="N520" s="37"/>
    </row>
    <row r="521">
      <c r="M521" s="37"/>
      <c r="N521" s="37"/>
    </row>
    <row r="522">
      <c r="M522" s="37"/>
      <c r="N522" s="37"/>
    </row>
    <row r="523">
      <c r="M523" s="37"/>
      <c r="N523" s="37"/>
    </row>
    <row r="524">
      <c r="M524" s="37"/>
      <c r="N524" s="37"/>
    </row>
    <row r="525">
      <c r="M525" s="37"/>
      <c r="N525" s="37"/>
    </row>
    <row r="526">
      <c r="M526" s="37"/>
      <c r="N526" s="37"/>
    </row>
    <row r="527">
      <c r="M527" s="37"/>
      <c r="N527" s="37"/>
    </row>
    <row r="528">
      <c r="M528" s="37"/>
      <c r="N528" s="37"/>
    </row>
    <row r="529">
      <c r="M529" s="37"/>
      <c r="N529" s="37"/>
    </row>
    <row r="530">
      <c r="M530" s="37"/>
      <c r="N530" s="37"/>
    </row>
    <row r="531">
      <c r="M531" s="37"/>
      <c r="N531" s="37"/>
    </row>
    <row r="532">
      <c r="M532" s="37"/>
      <c r="N532" s="37"/>
    </row>
    <row r="533">
      <c r="M533" s="37"/>
      <c r="N533" s="37"/>
    </row>
    <row r="534">
      <c r="M534" s="37"/>
      <c r="N534" s="37"/>
    </row>
    <row r="535">
      <c r="M535" s="37"/>
      <c r="N535" s="37"/>
    </row>
    <row r="536">
      <c r="M536" s="37"/>
      <c r="N536" s="37"/>
    </row>
    <row r="537">
      <c r="M537" s="37"/>
      <c r="N537" s="37"/>
    </row>
    <row r="538">
      <c r="M538" s="37"/>
      <c r="N538" s="37"/>
    </row>
    <row r="539">
      <c r="M539" s="37"/>
      <c r="N539" s="37"/>
    </row>
    <row r="540">
      <c r="M540" s="37"/>
      <c r="N540" s="37"/>
    </row>
    <row r="541">
      <c r="M541" s="37"/>
      <c r="N541" s="37"/>
    </row>
    <row r="542">
      <c r="M542" s="37"/>
      <c r="N542" s="37"/>
    </row>
    <row r="543">
      <c r="M543" s="37"/>
      <c r="N543" s="37"/>
    </row>
    <row r="544">
      <c r="M544" s="37"/>
      <c r="N544" s="37"/>
    </row>
    <row r="545">
      <c r="M545" s="37"/>
      <c r="N545" s="37"/>
    </row>
    <row r="546">
      <c r="M546" s="37"/>
      <c r="N546" s="37"/>
    </row>
    <row r="547">
      <c r="M547" s="37"/>
      <c r="N547" s="37"/>
    </row>
    <row r="548">
      <c r="M548" s="37"/>
      <c r="N548" s="37"/>
    </row>
    <row r="549">
      <c r="M549" s="37"/>
      <c r="N549" s="37"/>
    </row>
    <row r="550">
      <c r="M550" s="37"/>
      <c r="N550" s="37"/>
    </row>
    <row r="551">
      <c r="M551" s="37"/>
      <c r="N551" s="37"/>
    </row>
    <row r="552">
      <c r="M552" s="37"/>
      <c r="N552" s="37"/>
    </row>
    <row r="553">
      <c r="M553" s="37"/>
      <c r="N553" s="37"/>
    </row>
    <row r="554">
      <c r="M554" s="37"/>
      <c r="N554" s="37"/>
    </row>
    <row r="555">
      <c r="M555" s="37"/>
      <c r="N555" s="37"/>
    </row>
    <row r="556">
      <c r="M556" s="37"/>
      <c r="N556" s="37"/>
    </row>
    <row r="557">
      <c r="M557" s="37"/>
      <c r="N557" s="37"/>
    </row>
    <row r="558">
      <c r="M558" s="37"/>
      <c r="N558" s="37"/>
    </row>
    <row r="559">
      <c r="M559" s="37"/>
      <c r="N559" s="37"/>
    </row>
    <row r="560">
      <c r="M560" s="37"/>
      <c r="N560" s="37"/>
    </row>
    <row r="561">
      <c r="M561" s="37"/>
      <c r="N561" s="37"/>
    </row>
    <row r="562">
      <c r="M562" s="37"/>
      <c r="N562" s="37"/>
    </row>
    <row r="563">
      <c r="M563" s="37"/>
      <c r="N563" s="37"/>
    </row>
    <row r="564">
      <c r="M564" s="37"/>
      <c r="N564" s="37"/>
    </row>
    <row r="565">
      <c r="M565" s="37"/>
      <c r="N565" s="37"/>
    </row>
    <row r="566">
      <c r="M566" s="37"/>
      <c r="N566" s="37"/>
    </row>
    <row r="567">
      <c r="M567" s="37"/>
      <c r="N567" s="37"/>
    </row>
    <row r="568">
      <c r="M568" s="37"/>
      <c r="N568" s="37"/>
    </row>
    <row r="569">
      <c r="M569" s="37"/>
      <c r="N569" s="37"/>
    </row>
    <row r="570">
      <c r="M570" s="37"/>
      <c r="N570" s="37"/>
    </row>
    <row r="571">
      <c r="M571" s="37"/>
      <c r="N571" s="37"/>
    </row>
    <row r="572">
      <c r="M572" s="37"/>
      <c r="N572" s="37"/>
    </row>
    <row r="573">
      <c r="M573" s="37"/>
      <c r="N573" s="37"/>
    </row>
    <row r="574">
      <c r="M574" s="37"/>
      <c r="N574" s="37"/>
    </row>
    <row r="575">
      <c r="M575" s="37"/>
      <c r="N575" s="37"/>
    </row>
    <row r="576">
      <c r="M576" s="37"/>
      <c r="N576" s="37"/>
    </row>
    <row r="577">
      <c r="M577" s="37"/>
      <c r="N577" s="37"/>
    </row>
    <row r="578">
      <c r="M578" s="37"/>
      <c r="N578" s="37"/>
    </row>
    <row r="579">
      <c r="M579" s="37"/>
      <c r="N579" s="37"/>
    </row>
    <row r="580">
      <c r="M580" s="37"/>
      <c r="N580" s="37"/>
    </row>
    <row r="581">
      <c r="M581" s="37"/>
      <c r="N581" s="37"/>
    </row>
    <row r="582">
      <c r="M582" s="37"/>
      <c r="N582" s="37"/>
    </row>
    <row r="583">
      <c r="M583" s="37"/>
      <c r="N583" s="37"/>
    </row>
    <row r="584">
      <c r="M584" s="37"/>
      <c r="N584" s="37"/>
    </row>
    <row r="585">
      <c r="M585" s="37"/>
      <c r="N585" s="37"/>
    </row>
    <row r="586">
      <c r="M586" s="37"/>
      <c r="N586" s="37"/>
    </row>
    <row r="587">
      <c r="M587" s="37"/>
      <c r="N587" s="37"/>
    </row>
    <row r="588">
      <c r="M588" s="37"/>
      <c r="N588" s="37"/>
    </row>
    <row r="589">
      <c r="M589" s="37"/>
      <c r="N589" s="37"/>
    </row>
    <row r="590">
      <c r="M590" s="37"/>
      <c r="N590" s="37"/>
    </row>
    <row r="591">
      <c r="M591" s="37"/>
      <c r="N591" s="37"/>
    </row>
    <row r="592">
      <c r="M592" s="37"/>
      <c r="N592" s="37"/>
    </row>
    <row r="593">
      <c r="M593" s="37"/>
      <c r="N593" s="37"/>
    </row>
    <row r="594">
      <c r="M594" s="37"/>
      <c r="N594" s="37"/>
    </row>
    <row r="595">
      <c r="M595" s="37"/>
      <c r="N595" s="37"/>
    </row>
    <row r="596">
      <c r="M596" s="37"/>
      <c r="N596" s="37"/>
    </row>
    <row r="597">
      <c r="M597" s="37"/>
      <c r="N597" s="37"/>
    </row>
    <row r="598">
      <c r="M598" s="37"/>
      <c r="N598" s="37"/>
    </row>
    <row r="599">
      <c r="M599" s="37"/>
      <c r="N599" s="37"/>
    </row>
    <row r="600">
      <c r="M600" s="37"/>
      <c r="N600" s="37"/>
    </row>
    <row r="601">
      <c r="M601" s="37"/>
      <c r="N601" s="37"/>
    </row>
    <row r="602">
      <c r="M602" s="37"/>
      <c r="N602" s="37"/>
    </row>
    <row r="603">
      <c r="M603" s="37"/>
      <c r="N603" s="37"/>
    </row>
    <row r="604">
      <c r="M604" s="37"/>
      <c r="N604" s="37"/>
    </row>
    <row r="605">
      <c r="M605" s="37"/>
      <c r="N605" s="37"/>
    </row>
    <row r="606">
      <c r="M606" s="37"/>
      <c r="N606" s="37"/>
    </row>
    <row r="607">
      <c r="M607" s="37"/>
      <c r="N607" s="37"/>
    </row>
    <row r="608">
      <c r="M608" s="37"/>
      <c r="N608" s="37"/>
    </row>
    <row r="609">
      <c r="M609" s="37"/>
      <c r="N609" s="37"/>
    </row>
    <row r="610">
      <c r="M610" s="37"/>
      <c r="N610" s="37"/>
    </row>
    <row r="611">
      <c r="M611" s="37"/>
      <c r="N611" s="37"/>
    </row>
    <row r="612">
      <c r="M612" s="37"/>
      <c r="N612" s="37"/>
    </row>
    <row r="613">
      <c r="M613" s="37"/>
      <c r="N613" s="37"/>
    </row>
    <row r="614">
      <c r="M614" s="37"/>
      <c r="N614" s="37"/>
    </row>
    <row r="615">
      <c r="M615" s="37"/>
      <c r="N615" s="37"/>
    </row>
    <row r="616">
      <c r="M616" s="37"/>
      <c r="N616" s="37"/>
    </row>
    <row r="617">
      <c r="M617" s="37"/>
      <c r="N617" s="37"/>
    </row>
    <row r="618">
      <c r="M618" s="37"/>
      <c r="N618" s="37"/>
    </row>
    <row r="619">
      <c r="M619" s="37"/>
      <c r="N619" s="37"/>
    </row>
    <row r="620">
      <c r="M620" s="37"/>
      <c r="N620" s="37"/>
    </row>
    <row r="621">
      <c r="M621" s="37"/>
      <c r="N621" s="37"/>
    </row>
    <row r="622">
      <c r="M622" s="37"/>
      <c r="N622" s="37"/>
    </row>
    <row r="623">
      <c r="M623" s="37"/>
      <c r="N623" s="37"/>
    </row>
    <row r="624">
      <c r="M624" s="37"/>
      <c r="N624" s="37"/>
    </row>
    <row r="625">
      <c r="M625" s="37"/>
      <c r="N625" s="37"/>
    </row>
    <row r="626">
      <c r="M626" s="37"/>
      <c r="N626" s="37"/>
    </row>
    <row r="627">
      <c r="M627" s="37"/>
      <c r="N627" s="37"/>
    </row>
    <row r="628">
      <c r="M628" s="37"/>
      <c r="N628" s="37"/>
    </row>
    <row r="629">
      <c r="M629" s="37"/>
      <c r="N629" s="37"/>
    </row>
    <row r="630">
      <c r="M630" s="37"/>
      <c r="N630" s="37"/>
    </row>
    <row r="631">
      <c r="M631" s="37"/>
      <c r="N631" s="37"/>
    </row>
    <row r="632">
      <c r="M632" s="37"/>
      <c r="N632" s="37"/>
    </row>
    <row r="633">
      <c r="M633" s="37"/>
      <c r="N633" s="37"/>
    </row>
    <row r="634">
      <c r="M634" s="37"/>
      <c r="N634" s="37"/>
    </row>
    <row r="635">
      <c r="M635" s="37"/>
      <c r="N635" s="37"/>
    </row>
    <row r="636">
      <c r="M636" s="37"/>
      <c r="N636" s="37"/>
    </row>
    <row r="637">
      <c r="M637" s="37"/>
      <c r="N637" s="37"/>
    </row>
    <row r="638">
      <c r="M638" s="37"/>
      <c r="N638" s="37"/>
    </row>
    <row r="639">
      <c r="M639" s="37"/>
      <c r="N639" s="37"/>
    </row>
    <row r="640">
      <c r="M640" s="37"/>
      <c r="N640" s="37"/>
    </row>
    <row r="641">
      <c r="M641" s="37"/>
      <c r="N641" s="37"/>
    </row>
    <row r="642">
      <c r="M642" s="37"/>
      <c r="N642" s="37"/>
    </row>
    <row r="643">
      <c r="M643" s="37"/>
      <c r="N643" s="37"/>
    </row>
    <row r="644">
      <c r="M644" s="37"/>
      <c r="N644" s="37"/>
    </row>
    <row r="645">
      <c r="M645" s="37"/>
      <c r="N645" s="37"/>
    </row>
    <row r="646">
      <c r="M646" s="37"/>
      <c r="N646" s="37"/>
    </row>
    <row r="647">
      <c r="M647" s="37"/>
      <c r="N647" s="37"/>
    </row>
    <row r="648">
      <c r="M648" s="37"/>
      <c r="N648" s="37"/>
    </row>
    <row r="649">
      <c r="M649" s="37"/>
      <c r="N649" s="37"/>
    </row>
    <row r="650">
      <c r="M650" s="37"/>
      <c r="N650" s="37"/>
    </row>
    <row r="651">
      <c r="M651" s="37"/>
      <c r="N651" s="37"/>
    </row>
    <row r="652">
      <c r="M652" s="37"/>
      <c r="N652" s="37"/>
    </row>
    <row r="653">
      <c r="M653" s="37"/>
      <c r="N653" s="37"/>
    </row>
    <row r="654">
      <c r="M654" s="37"/>
      <c r="N654" s="37"/>
    </row>
    <row r="655">
      <c r="M655" s="37"/>
      <c r="N655" s="37"/>
    </row>
    <row r="656">
      <c r="M656" s="37"/>
      <c r="N656" s="37"/>
    </row>
    <row r="657">
      <c r="M657" s="37"/>
      <c r="N657" s="37"/>
    </row>
    <row r="658">
      <c r="M658" s="37"/>
      <c r="N658" s="37"/>
    </row>
    <row r="659">
      <c r="M659" s="37"/>
      <c r="N659" s="37"/>
    </row>
    <row r="660">
      <c r="M660" s="37"/>
      <c r="N660" s="37"/>
    </row>
    <row r="661">
      <c r="M661" s="37"/>
      <c r="N661" s="37"/>
    </row>
    <row r="662">
      <c r="M662" s="37"/>
      <c r="N662" s="37"/>
    </row>
    <row r="663">
      <c r="M663" s="37"/>
      <c r="N663" s="37"/>
    </row>
    <row r="664">
      <c r="M664" s="37"/>
      <c r="N664" s="37"/>
    </row>
    <row r="665">
      <c r="M665" s="37"/>
      <c r="N665" s="37"/>
    </row>
    <row r="666">
      <c r="M666" s="37"/>
      <c r="N666" s="37"/>
    </row>
    <row r="667">
      <c r="M667" s="37"/>
      <c r="N667" s="37"/>
    </row>
    <row r="668">
      <c r="M668" s="37"/>
      <c r="N668" s="37"/>
    </row>
    <row r="669">
      <c r="M669" s="37"/>
      <c r="N669" s="37"/>
    </row>
    <row r="670">
      <c r="M670" s="37"/>
      <c r="N670" s="37"/>
    </row>
    <row r="671">
      <c r="M671" s="37"/>
      <c r="N671" s="37"/>
    </row>
    <row r="672">
      <c r="M672" s="37"/>
      <c r="N672" s="37"/>
    </row>
    <row r="673">
      <c r="M673" s="37"/>
      <c r="N673" s="37"/>
    </row>
    <row r="674">
      <c r="M674" s="37"/>
      <c r="N674" s="37"/>
    </row>
    <row r="675">
      <c r="M675" s="37"/>
      <c r="N675" s="37"/>
    </row>
    <row r="676">
      <c r="M676" s="37"/>
      <c r="N676" s="37"/>
    </row>
    <row r="677">
      <c r="M677" s="37"/>
      <c r="N677" s="37"/>
    </row>
    <row r="678">
      <c r="M678" s="37"/>
      <c r="N678" s="37"/>
    </row>
    <row r="679">
      <c r="M679" s="37"/>
      <c r="N679" s="37"/>
    </row>
    <row r="680">
      <c r="M680" s="37"/>
      <c r="N680" s="37"/>
    </row>
    <row r="681">
      <c r="M681" s="37"/>
      <c r="N681" s="37"/>
    </row>
    <row r="682">
      <c r="M682" s="37"/>
      <c r="N682" s="37"/>
    </row>
    <row r="683">
      <c r="M683" s="37"/>
      <c r="N683" s="37"/>
    </row>
    <row r="684">
      <c r="M684" s="37"/>
      <c r="N684" s="37"/>
    </row>
    <row r="685">
      <c r="M685" s="37"/>
      <c r="N685" s="37"/>
    </row>
    <row r="686">
      <c r="M686" s="37"/>
      <c r="N686" s="37"/>
    </row>
    <row r="687">
      <c r="M687" s="37"/>
      <c r="N687" s="37"/>
    </row>
    <row r="688">
      <c r="M688" s="37"/>
      <c r="N688" s="37"/>
    </row>
    <row r="689">
      <c r="M689" s="37"/>
      <c r="N689" s="37"/>
    </row>
    <row r="690">
      <c r="M690" s="37"/>
      <c r="N690" s="37"/>
    </row>
    <row r="691">
      <c r="M691" s="37"/>
      <c r="N691" s="37"/>
    </row>
    <row r="692">
      <c r="M692" s="37"/>
      <c r="N692" s="37"/>
    </row>
    <row r="693">
      <c r="M693" s="37"/>
      <c r="N693" s="37"/>
    </row>
    <row r="694">
      <c r="M694" s="37"/>
      <c r="N694" s="37"/>
    </row>
    <row r="695">
      <c r="M695" s="37"/>
      <c r="N695" s="37"/>
    </row>
    <row r="696">
      <c r="M696" s="37"/>
      <c r="N696" s="37"/>
    </row>
    <row r="697">
      <c r="M697" s="37"/>
      <c r="N697" s="37"/>
    </row>
    <row r="698">
      <c r="M698" s="37"/>
      <c r="N698" s="37"/>
    </row>
    <row r="699">
      <c r="M699" s="37"/>
      <c r="N699" s="37"/>
    </row>
    <row r="700">
      <c r="M700" s="37"/>
      <c r="N700" s="37"/>
    </row>
    <row r="701">
      <c r="M701" s="37"/>
      <c r="N701" s="37"/>
    </row>
    <row r="702">
      <c r="M702" s="37"/>
      <c r="N702" s="37"/>
    </row>
    <row r="703">
      <c r="M703" s="37"/>
      <c r="N703" s="37"/>
    </row>
    <row r="704">
      <c r="M704" s="37"/>
      <c r="N704" s="37"/>
    </row>
    <row r="705">
      <c r="M705" s="37"/>
      <c r="N705" s="37"/>
    </row>
    <row r="706">
      <c r="M706" s="37"/>
      <c r="N706" s="37"/>
    </row>
    <row r="707">
      <c r="M707" s="37"/>
      <c r="N707" s="37"/>
    </row>
    <row r="708">
      <c r="M708" s="37"/>
      <c r="N708" s="37"/>
    </row>
    <row r="709">
      <c r="M709" s="37"/>
      <c r="N709" s="37"/>
    </row>
    <row r="710">
      <c r="M710" s="37"/>
      <c r="N710" s="37"/>
    </row>
    <row r="711">
      <c r="M711" s="37"/>
      <c r="N711" s="37"/>
    </row>
    <row r="712">
      <c r="M712" s="37"/>
      <c r="N712" s="37"/>
    </row>
    <row r="713">
      <c r="M713" s="37"/>
      <c r="N713" s="37"/>
    </row>
    <row r="714">
      <c r="M714" s="37"/>
      <c r="N714" s="37"/>
    </row>
    <row r="715">
      <c r="M715" s="37"/>
      <c r="N715" s="37"/>
    </row>
    <row r="716">
      <c r="M716" s="37"/>
      <c r="N716" s="37"/>
    </row>
    <row r="717">
      <c r="M717" s="37"/>
      <c r="N717" s="37"/>
    </row>
    <row r="718">
      <c r="M718" s="37"/>
      <c r="N718" s="37"/>
    </row>
    <row r="719">
      <c r="M719" s="37"/>
      <c r="N719" s="37"/>
    </row>
    <row r="720">
      <c r="M720" s="37"/>
      <c r="N720" s="37"/>
    </row>
    <row r="721">
      <c r="M721" s="37"/>
      <c r="N721" s="37"/>
    </row>
    <row r="722">
      <c r="M722" s="37"/>
      <c r="N722" s="37"/>
    </row>
    <row r="723">
      <c r="M723" s="37"/>
      <c r="N723" s="37"/>
    </row>
    <row r="724">
      <c r="M724" s="37"/>
      <c r="N724" s="37"/>
    </row>
    <row r="725">
      <c r="M725" s="37"/>
      <c r="N725" s="37"/>
    </row>
    <row r="726">
      <c r="M726" s="37"/>
      <c r="N726" s="37"/>
    </row>
    <row r="727">
      <c r="M727" s="37"/>
      <c r="N727" s="37"/>
    </row>
    <row r="728">
      <c r="M728" s="37"/>
      <c r="N728" s="37"/>
    </row>
    <row r="729">
      <c r="M729" s="37"/>
      <c r="N729" s="37"/>
    </row>
    <row r="730">
      <c r="M730" s="37"/>
      <c r="N730" s="37"/>
    </row>
    <row r="731">
      <c r="M731" s="37"/>
      <c r="N731" s="37"/>
    </row>
    <row r="732">
      <c r="M732" s="37"/>
      <c r="N732" s="37"/>
    </row>
    <row r="733">
      <c r="M733" s="37"/>
      <c r="N733" s="37"/>
    </row>
    <row r="734">
      <c r="M734" s="37"/>
      <c r="N734" s="37"/>
    </row>
    <row r="735">
      <c r="M735" s="37"/>
      <c r="N735" s="37"/>
    </row>
    <row r="736">
      <c r="M736" s="37"/>
      <c r="N736" s="37"/>
    </row>
    <row r="737">
      <c r="M737" s="37"/>
      <c r="N737" s="37"/>
    </row>
    <row r="738">
      <c r="M738" s="37"/>
      <c r="N738" s="37"/>
    </row>
    <row r="739">
      <c r="M739" s="37"/>
      <c r="N739" s="37"/>
    </row>
    <row r="740">
      <c r="M740" s="37"/>
      <c r="N740" s="37"/>
    </row>
    <row r="741">
      <c r="M741" s="37"/>
      <c r="N741" s="37"/>
    </row>
    <row r="742">
      <c r="M742" s="37"/>
      <c r="N742" s="37"/>
    </row>
    <row r="743">
      <c r="M743" s="37"/>
      <c r="N743" s="37"/>
    </row>
    <row r="744">
      <c r="M744" s="37"/>
      <c r="N744" s="37"/>
    </row>
    <row r="745">
      <c r="M745" s="37"/>
      <c r="N745" s="37"/>
    </row>
    <row r="746">
      <c r="M746" s="37"/>
      <c r="N746" s="37"/>
    </row>
    <row r="747">
      <c r="M747" s="37"/>
      <c r="N747" s="37"/>
    </row>
    <row r="748">
      <c r="M748" s="37"/>
      <c r="N748" s="37"/>
    </row>
    <row r="749">
      <c r="M749" s="37"/>
      <c r="N749" s="37"/>
    </row>
    <row r="750">
      <c r="M750" s="37"/>
      <c r="N750" s="37"/>
    </row>
    <row r="751">
      <c r="M751" s="37"/>
      <c r="N751" s="37"/>
    </row>
    <row r="752">
      <c r="M752" s="37"/>
      <c r="N752" s="37"/>
    </row>
    <row r="753">
      <c r="M753" s="37"/>
      <c r="N753" s="37"/>
    </row>
    <row r="754">
      <c r="M754" s="37"/>
      <c r="N754" s="37"/>
    </row>
    <row r="755">
      <c r="M755" s="37"/>
      <c r="N755" s="37"/>
    </row>
    <row r="756">
      <c r="M756" s="37"/>
      <c r="N756" s="37"/>
    </row>
    <row r="757">
      <c r="M757" s="37"/>
      <c r="N757" s="37"/>
    </row>
    <row r="758">
      <c r="M758" s="37"/>
      <c r="N758" s="37"/>
    </row>
    <row r="759">
      <c r="M759" s="37"/>
      <c r="N759" s="37"/>
    </row>
    <row r="760">
      <c r="M760" s="37"/>
      <c r="N760" s="37"/>
    </row>
    <row r="761">
      <c r="M761" s="37"/>
      <c r="N761" s="37"/>
    </row>
    <row r="762">
      <c r="M762" s="37"/>
      <c r="N762" s="37"/>
    </row>
    <row r="763">
      <c r="M763" s="37"/>
      <c r="N763" s="37"/>
    </row>
    <row r="764">
      <c r="M764" s="37"/>
      <c r="N764" s="37"/>
    </row>
    <row r="765">
      <c r="M765" s="37"/>
      <c r="N765" s="37"/>
    </row>
    <row r="766">
      <c r="M766" s="37"/>
      <c r="N766" s="37"/>
    </row>
    <row r="767">
      <c r="M767" s="37"/>
      <c r="N767" s="37"/>
    </row>
    <row r="768">
      <c r="M768" s="37"/>
      <c r="N768" s="37"/>
    </row>
    <row r="769">
      <c r="M769" s="37"/>
      <c r="N769" s="37"/>
    </row>
    <row r="770">
      <c r="M770" s="37"/>
      <c r="N770" s="37"/>
    </row>
    <row r="771">
      <c r="M771" s="37"/>
      <c r="N771" s="37"/>
    </row>
    <row r="772">
      <c r="M772" s="37"/>
      <c r="N772" s="37"/>
    </row>
    <row r="773">
      <c r="M773" s="37"/>
      <c r="N773" s="37"/>
    </row>
    <row r="774">
      <c r="M774" s="37"/>
      <c r="N774" s="37"/>
    </row>
    <row r="775">
      <c r="M775" s="37"/>
      <c r="N775" s="37"/>
    </row>
    <row r="776">
      <c r="M776" s="37"/>
      <c r="N776" s="37"/>
    </row>
    <row r="777">
      <c r="M777" s="37"/>
      <c r="N777" s="37"/>
    </row>
    <row r="778">
      <c r="M778" s="37"/>
      <c r="N778" s="37"/>
    </row>
    <row r="779">
      <c r="M779" s="37"/>
      <c r="N779" s="37"/>
    </row>
    <row r="780">
      <c r="M780" s="37"/>
      <c r="N780" s="37"/>
    </row>
    <row r="781">
      <c r="M781" s="37"/>
      <c r="N781" s="37"/>
    </row>
    <row r="782">
      <c r="M782" s="37"/>
      <c r="N782" s="37"/>
    </row>
    <row r="783">
      <c r="M783" s="37"/>
      <c r="N783" s="37"/>
    </row>
    <row r="784">
      <c r="M784" s="37"/>
      <c r="N784" s="37"/>
    </row>
    <row r="785">
      <c r="M785" s="37"/>
      <c r="N785" s="37"/>
    </row>
    <row r="786">
      <c r="M786" s="37"/>
      <c r="N786" s="37"/>
    </row>
    <row r="787">
      <c r="M787" s="37"/>
      <c r="N787" s="37"/>
    </row>
    <row r="788">
      <c r="M788" s="37"/>
      <c r="N788" s="37"/>
    </row>
    <row r="789">
      <c r="M789" s="37"/>
      <c r="N789" s="37"/>
    </row>
    <row r="790">
      <c r="M790" s="37"/>
      <c r="N790" s="37"/>
    </row>
    <row r="791">
      <c r="M791" s="37"/>
      <c r="N791" s="37"/>
    </row>
    <row r="792">
      <c r="M792" s="37"/>
      <c r="N792" s="37"/>
    </row>
    <row r="793">
      <c r="M793" s="37"/>
      <c r="N793" s="37"/>
    </row>
    <row r="794">
      <c r="M794" s="37"/>
      <c r="N794" s="37"/>
    </row>
    <row r="795">
      <c r="M795" s="37"/>
      <c r="N795" s="37"/>
    </row>
    <row r="796">
      <c r="M796" s="37"/>
      <c r="N796" s="37"/>
    </row>
    <row r="797">
      <c r="M797" s="37"/>
      <c r="N797" s="37"/>
    </row>
    <row r="798">
      <c r="M798" s="37"/>
      <c r="N798" s="37"/>
    </row>
    <row r="799">
      <c r="M799" s="37"/>
      <c r="N799" s="37"/>
    </row>
    <row r="800">
      <c r="M800" s="37"/>
      <c r="N800" s="37"/>
    </row>
    <row r="801">
      <c r="M801" s="37"/>
      <c r="N801" s="37"/>
    </row>
    <row r="802">
      <c r="M802" s="37"/>
      <c r="N802" s="37"/>
    </row>
    <row r="803">
      <c r="M803" s="37"/>
      <c r="N803" s="37"/>
    </row>
    <row r="804">
      <c r="M804" s="37"/>
      <c r="N804" s="37"/>
    </row>
    <row r="805">
      <c r="M805" s="37"/>
      <c r="N805" s="37"/>
    </row>
    <row r="806">
      <c r="M806" s="37"/>
      <c r="N806" s="37"/>
    </row>
    <row r="807">
      <c r="M807" s="37"/>
      <c r="N807" s="37"/>
    </row>
    <row r="808">
      <c r="M808" s="37"/>
      <c r="N808" s="37"/>
    </row>
    <row r="809">
      <c r="M809" s="37"/>
      <c r="N809" s="37"/>
    </row>
    <row r="810">
      <c r="M810" s="37"/>
      <c r="N810" s="37"/>
    </row>
    <row r="811">
      <c r="M811" s="37"/>
      <c r="N811" s="37"/>
    </row>
    <row r="812">
      <c r="M812" s="37"/>
      <c r="N812" s="37"/>
    </row>
    <row r="813">
      <c r="M813" s="37"/>
      <c r="N813" s="37"/>
    </row>
    <row r="814">
      <c r="M814" s="37"/>
      <c r="N814" s="37"/>
    </row>
    <row r="815">
      <c r="M815" s="37"/>
      <c r="N815" s="37"/>
    </row>
    <row r="816">
      <c r="M816" s="37"/>
      <c r="N816" s="37"/>
    </row>
    <row r="817">
      <c r="M817" s="37"/>
      <c r="N817" s="37"/>
    </row>
    <row r="818">
      <c r="M818" s="37"/>
      <c r="N818" s="37"/>
    </row>
    <row r="819">
      <c r="M819" s="37"/>
      <c r="N819" s="37"/>
    </row>
    <row r="820">
      <c r="M820" s="37"/>
      <c r="N820" s="37"/>
    </row>
    <row r="821">
      <c r="M821" s="37"/>
      <c r="N821" s="37"/>
    </row>
    <row r="822">
      <c r="M822" s="37"/>
      <c r="N822" s="37"/>
    </row>
    <row r="823">
      <c r="M823" s="37"/>
      <c r="N823" s="37"/>
    </row>
    <row r="824">
      <c r="M824" s="37"/>
      <c r="N824" s="37"/>
    </row>
    <row r="825">
      <c r="M825" s="37"/>
      <c r="N825" s="37"/>
    </row>
    <row r="826">
      <c r="M826" s="37"/>
      <c r="N826" s="37"/>
    </row>
    <row r="827">
      <c r="M827" s="37"/>
      <c r="N827" s="37"/>
    </row>
    <row r="828">
      <c r="M828" s="37"/>
      <c r="N828" s="37"/>
    </row>
    <row r="829">
      <c r="M829" s="37"/>
      <c r="N829" s="37"/>
    </row>
    <row r="830">
      <c r="M830" s="37"/>
      <c r="N830" s="37"/>
    </row>
    <row r="831">
      <c r="M831" s="37"/>
      <c r="N831" s="37"/>
    </row>
    <row r="832">
      <c r="M832" s="37"/>
      <c r="N832" s="37"/>
    </row>
    <row r="833">
      <c r="M833" s="37"/>
      <c r="N833" s="37"/>
    </row>
    <row r="834">
      <c r="M834" s="37"/>
      <c r="N834" s="37"/>
    </row>
    <row r="835">
      <c r="M835" s="37"/>
      <c r="N835" s="37"/>
    </row>
    <row r="836">
      <c r="M836" s="37"/>
      <c r="N836" s="37"/>
    </row>
    <row r="837">
      <c r="M837" s="37"/>
      <c r="N837" s="37"/>
    </row>
    <row r="838">
      <c r="M838" s="37"/>
      <c r="N838" s="37"/>
    </row>
    <row r="839">
      <c r="M839" s="37"/>
      <c r="N839" s="37"/>
    </row>
    <row r="840">
      <c r="M840" s="37"/>
      <c r="N840" s="37"/>
    </row>
    <row r="841">
      <c r="M841" s="37"/>
      <c r="N841" s="37"/>
    </row>
    <row r="842">
      <c r="M842" s="37"/>
      <c r="N842" s="37"/>
    </row>
    <row r="843">
      <c r="M843" s="37"/>
      <c r="N843" s="37"/>
    </row>
    <row r="844">
      <c r="M844" s="37"/>
      <c r="N844" s="37"/>
    </row>
    <row r="845">
      <c r="M845" s="37"/>
      <c r="N845" s="37"/>
    </row>
    <row r="846">
      <c r="M846" s="37"/>
      <c r="N846" s="37"/>
    </row>
    <row r="847">
      <c r="M847" s="37"/>
      <c r="N847" s="37"/>
    </row>
    <row r="848">
      <c r="M848" s="37"/>
      <c r="N848" s="37"/>
    </row>
    <row r="849">
      <c r="M849" s="37"/>
      <c r="N849" s="37"/>
    </row>
    <row r="850">
      <c r="M850" s="37"/>
      <c r="N850" s="37"/>
    </row>
    <row r="851">
      <c r="M851" s="37"/>
      <c r="N851" s="37"/>
    </row>
    <row r="852">
      <c r="M852" s="37"/>
      <c r="N852" s="37"/>
    </row>
    <row r="853">
      <c r="M853" s="37"/>
      <c r="N853" s="37"/>
    </row>
    <row r="854">
      <c r="M854" s="37"/>
      <c r="N854" s="37"/>
    </row>
    <row r="855">
      <c r="M855" s="37"/>
      <c r="N855" s="37"/>
    </row>
    <row r="856">
      <c r="M856" s="37"/>
      <c r="N856" s="37"/>
    </row>
    <row r="857">
      <c r="M857" s="37"/>
      <c r="N857" s="37"/>
    </row>
    <row r="858">
      <c r="M858" s="37"/>
      <c r="N858" s="37"/>
    </row>
    <row r="859">
      <c r="M859" s="37"/>
      <c r="N859" s="37"/>
    </row>
    <row r="860">
      <c r="M860" s="37"/>
      <c r="N860" s="37"/>
    </row>
    <row r="861">
      <c r="M861" s="37"/>
      <c r="N861" s="37"/>
    </row>
    <row r="862">
      <c r="M862" s="37"/>
      <c r="N862" s="37"/>
    </row>
    <row r="863">
      <c r="M863" s="37"/>
      <c r="N863" s="37"/>
    </row>
    <row r="864">
      <c r="M864" s="37"/>
      <c r="N864" s="37"/>
    </row>
    <row r="865">
      <c r="M865" s="37"/>
      <c r="N865" s="37"/>
    </row>
    <row r="866">
      <c r="M866" s="37"/>
      <c r="N866" s="37"/>
    </row>
    <row r="867">
      <c r="M867" s="37"/>
      <c r="N867" s="37"/>
    </row>
    <row r="868">
      <c r="M868" s="37"/>
      <c r="N868" s="37"/>
    </row>
    <row r="869">
      <c r="M869" s="37"/>
      <c r="N869" s="37"/>
    </row>
    <row r="870">
      <c r="M870" s="37"/>
      <c r="N870" s="37"/>
    </row>
    <row r="871">
      <c r="M871" s="37"/>
      <c r="N871" s="37"/>
    </row>
    <row r="872">
      <c r="M872" s="37"/>
      <c r="N872" s="37"/>
    </row>
    <row r="873">
      <c r="M873" s="37"/>
      <c r="N873" s="37"/>
    </row>
    <row r="874">
      <c r="M874" s="37"/>
      <c r="N874" s="37"/>
    </row>
    <row r="875">
      <c r="M875" s="37"/>
      <c r="N875" s="37"/>
    </row>
    <row r="876">
      <c r="M876" s="37"/>
      <c r="N876" s="37"/>
    </row>
    <row r="877">
      <c r="M877" s="37"/>
      <c r="N877" s="37"/>
    </row>
    <row r="878">
      <c r="M878" s="37"/>
      <c r="N878" s="37"/>
    </row>
    <row r="879">
      <c r="M879" s="37"/>
      <c r="N879" s="37"/>
    </row>
    <row r="880">
      <c r="M880" s="37"/>
      <c r="N880" s="37"/>
    </row>
    <row r="881">
      <c r="M881" s="37"/>
      <c r="N881" s="37"/>
    </row>
    <row r="882">
      <c r="M882" s="37"/>
      <c r="N882" s="37"/>
    </row>
    <row r="883">
      <c r="M883" s="37"/>
      <c r="N883" s="37"/>
    </row>
    <row r="884">
      <c r="M884" s="37"/>
      <c r="N884" s="37"/>
    </row>
    <row r="885">
      <c r="M885" s="37"/>
      <c r="N885" s="37"/>
    </row>
    <row r="886">
      <c r="M886" s="37"/>
      <c r="N886" s="37"/>
    </row>
    <row r="887">
      <c r="M887" s="37"/>
      <c r="N887" s="37"/>
    </row>
    <row r="888">
      <c r="M888" s="37"/>
      <c r="N888" s="37"/>
    </row>
    <row r="889">
      <c r="M889" s="37"/>
      <c r="N889" s="37"/>
    </row>
    <row r="890">
      <c r="M890" s="37"/>
      <c r="N890" s="37"/>
    </row>
    <row r="891">
      <c r="M891" s="37"/>
      <c r="N891" s="37"/>
    </row>
    <row r="892">
      <c r="M892" s="37"/>
      <c r="N892" s="37"/>
    </row>
    <row r="893">
      <c r="M893" s="37"/>
      <c r="N893" s="37"/>
    </row>
    <row r="894">
      <c r="M894" s="37"/>
      <c r="N894" s="37"/>
    </row>
    <row r="895">
      <c r="M895" s="37"/>
      <c r="N895" s="37"/>
    </row>
    <row r="896">
      <c r="M896" s="37"/>
      <c r="N896" s="37"/>
    </row>
    <row r="897">
      <c r="M897" s="37"/>
      <c r="N897" s="37"/>
    </row>
    <row r="898">
      <c r="M898" s="37"/>
      <c r="N898" s="37"/>
    </row>
    <row r="899">
      <c r="M899" s="37"/>
      <c r="N899" s="37"/>
    </row>
    <row r="900">
      <c r="M900" s="37"/>
      <c r="N900" s="37"/>
    </row>
    <row r="901">
      <c r="M901" s="37"/>
      <c r="N901" s="37"/>
    </row>
    <row r="902">
      <c r="M902" s="37"/>
      <c r="N902" s="37"/>
    </row>
    <row r="903">
      <c r="M903" s="37"/>
      <c r="N903" s="37"/>
    </row>
    <row r="904">
      <c r="M904" s="37"/>
      <c r="N904" s="37"/>
    </row>
    <row r="905">
      <c r="M905" s="37"/>
      <c r="N905" s="37"/>
    </row>
    <row r="906">
      <c r="M906" s="37"/>
      <c r="N906" s="37"/>
    </row>
    <row r="907">
      <c r="M907" s="37"/>
      <c r="N907" s="37"/>
    </row>
    <row r="908">
      <c r="M908" s="37"/>
      <c r="N908" s="37"/>
    </row>
    <row r="909">
      <c r="M909" s="37"/>
      <c r="N909" s="37"/>
    </row>
    <row r="910">
      <c r="M910" s="37"/>
      <c r="N910" s="37"/>
    </row>
    <row r="911">
      <c r="M911" s="37"/>
      <c r="N911" s="37"/>
    </row>
    <row r="912">
      <c r="M912" s="37"/>
      <c r="N912" s="37"/>
    </row>
    <row r="913">
      <c r="M913" s="37"/>
      <c r="N913" s="37"/>
    </row>
    <row r="914">
      <c r="M914" s="37"/>
      <c r="N914" s="37"/>
    </row>
    <row r="915">
      <c r="M915" s="37"/>
      <c r="N915" s="37"/>
    </row>
    <row r="916">
      <c r="M916" s="37"/>
      <c r="N916" s="37"/>
    </row>
    <row r="917">
      <c r="M917" s="37"/>
      <c r="N917" s="37"/>
    </row>
    <row r="918">
      <c r="M918" s="37"/>
      <c r="N918" s="37"/>
    </row>
    <row r="919">
      <c r="M919" s="37"/>
      <c r="N919" s="37"/>
    </row>
    <row r="920">
      <c r="M920" s="37"/>
      <c r="N920" s="37"/>
    </row>
    <row r="921">
      <c r="M921" s="37"/>
      <c r="N921" s="37"/>
    </row>
    <row r="922">
      <c r="M922" s="37"/>
      <c r="N922" s="37"/>
    </row>
    <row r="923">
      <c r="M923" s="37"/>
      <c r="N923" s="37"/>
    </row>
    <row r="924">
      <c r="M924" s="37"/>
      <c r="N924" s="37"/>
    </row>
    <row r="925">
      <c r="M925" s="37"/>
      <c r="N925" s="37"/>
    </row>
    <row r="926">
      <c r="M926" s="37"/>
      <c r="N926" s="37"/>
    </row>
    <row r="927">
      <c r="M927" s="37"/>
      <c r="N927" s="37"/>
    </row>
    <row r="928">
      <c r="M928" s="37"/>
      <c r="N928" s="37"/>
    </row>
    <row r="929">
      <c r="M929" s="37"/>
      <c r="N929" s="37"/>
    </row>
    <row r="930">
      <c r="M930" s="37"/>
      <c r="N930" s="37"/>
    </row>
    <row r="931">
      <c r="M931" s="37"/>
      <c r="N931" s="37"/>
    </row>
    <row r="932">
      <c r="M932" s="37"/>
      <c r="N932" s="37"/>
    </row>
    <row r="933">
      <c r="M933" s="37"/>
      <c r="N933" s="37"/>
    </row>
    <row r="934">
      <c r="M934" s="37"/>
      <c r="N934" s="37"/>
    </row>
    <row r="935">
      <c r="M935" s="37"/>
      <c r="N935" s="37"/>
    </row>
    <row r="936">
      <c r="M936" s="37"/>
      <c r="N936" s="37"/>
    </row>
    <row r="937">
      <c r="M937" s="37"/>
      <c r="N937" s="37"/>
    </row>
    <row r="938">
      <c r="M938" s="37"/>
      <c r="N938" s="37"/>
    </row>
    <row r="939">
      <c r="M939" s="37"/>
      <c r="N939" s="37"/>
    </row>
    <row r="940">
      <c r="M940" s="37"/>
      <c r="N940" s="37"/>
    </row>
    <row r="941">
      <c r="M941" s="37"/>
      <c r="N941" s="37"/>
    </row>
    <row r="942">
      <c r="M942" s="37"/>
      <c r="N942" s="37"/>
    </row>
    <row r="943">
      <c r="M943" s="37"/>
      <c r="N943" s="37"/>
    </row>
    <row r="944">
      <c r="M944" s="37"/>
      <c r="N944" s="37"/>
    </row>
    <row r="945">
      <c r="M945" s="37"/>
      <c r="N945" s="37"/>
    </row>
    <row r="946">
      <c r="M946" s="37"/>
      <c r="N946" s="37"/>
    </row>
    <row r="947">
      <c r="M947" s="37"/>
      <c r="N947" s="37"/>
    </row>
    <row r="948">
      <c r="M948" s="37"/>
      <c r="N948" s="37"/>
    </row>
    <row r="949">
      <c r="M949" s="37"/>
      <c r="N949" s="37"/>
    </row>
    <row r="950">
      <c r="M950" s="37"/>
      <c r="N950" s="37"/>
    </row>
    <row r="951">
      <c r="M951" s="37"/>
      <c r="N951" s="37"/>
    </row>
    <row r="952">
      <c r="M952" s="37"/>
      <c r="N952" s="37"/>
    </row>
    <row r="953">
      <c r="M953" s="37"/>
      <c r="N953" s="37"/>
    </row>
    <row r="954">
      <c r="M954" s="37"/>
      <c r="N954" s="37"/>
    </row>
    <row r="955">
      <c r="M955" s="37"/>
      <c r="N955" s="37"/>
    </row>
    <row r="956">
      <c r="M956" s="37"/>
      <c r="N956" s="37"/>
    </row>
    <row r="957">
      <c r="M957" s="37"/>
      <c r="N957" s="37"/>
    </row>
    <row r="958">
      <c r="M958" s="37"/>
      <c r="N958" s="37"/>
    </row>
    <row r="959">
      <c r="M959" s="37"/>
      <c r="N959" s="37"/>
    </row>
    <row r="960">
      <c r="M960" s="37"/>
      <c r="N960" s="37"/>
    </row>
    <row r="961">
      <c r="M961" s="37"/>
      <c r="N961" s="37"/>
    </row>
    <row r="962">
      <c r="M962" s="37"/>
      <c r="N962" s="37"/>
    </row>
    <row r="963">
      <c r="M963" s="37"/>
      <c r="N963" s="37"/>
    </row>
    <row r="964">
      <c r="M964" s="37"/>
      <c r="N964" s="37"/>
    </row>
    <row r="965">
      <c r="M965" s="37"/>
      <c r="N965" s="37"/>
    </row>
    <row r="966">
      <c r="M966" s="37"/>
      <c r="N966" s="37"/>
    </row>
    <row r="967">
      <c r="M967" s="37"/>
      <c r="N967" s="37"/>
    </row>
    <row r="968">
      <c r="M968" s="37"/>
      <c r="N968" s="37"/>
    </row>
    <row r="969">
      <c r="M969" s="37"/>
      <c r="N969" s="37"/>
    </row>
    <row r="970">
      <c r="M970" s="37"/>
      <c r="N970" s="37"/>
    </row>
    <row r="971">
      <c r="M971" s="37"/>
      <c r="N971" s="37"/>
    </row>
    <row r="972">
      <c r="M972" s="37"/>
      <c r="N972" s="37"/>
    </row>
    <row r="973">
      <c r="M973" s="37"/>
      <c r="N973" s="37"/>
    </row>
    <row r="974">
      <c r="M974" s="37"/>
      <c r="N974" s="37"/>
    </row>
    <row r="975">
      <c r="M975" s="37"/>
      <c r="N975" s="37"/>
    </row>
    <row r="976">
      <c r="M976" s="37"/>
      <c r="N976" s="37"/>
    </row>
    <row r="977">
      <c r="M977" s="37"/>
      <c r="N977" s="37"/>
    </row>
    <row r="978">
      <c r="M978" s="37"/>
      <c r="N978" s="37"/>
    </row>
    <row r="979">
      <c r="M979" s="37"/>
      <c r="N979" s="37"/>
    </row>
    <row r="980">
      <c r="M980" s="37"/>
      <c r="N980" s="37"/>
    </row>
    <row r="981">
      <c r="M981" s="37"/>
      <c r="N981" s="37"/>
    </row>
    <row r="982">
      <c r="M982" s="37"/>
      <c r="N982" s="37"/>
    </row>
    <row r="983">
      <c r="M983" s="37"/>
      <c r="N983" s="37"/>
    </row>
    <row r="984">
      <c r="M984" s="37"/>
      <c r="N984" s="37"/>
    </row>
    <row r="985">
      <c r="M985" s="37"/>
      <c r="N985" s="37"/>
    </row>
    <row r="986">
      <c r="M986" s="37"/>
      <c r="N986" s="37"/>
    </row>
    <row r="987">
      <c r="M987" s="37"/>
      <c r="N987" s="37"/>
    </row>
    <row r="988">
      <c r="M988" s="37"/>
      <c r="N988" s="37"/>
    </row>
    <row r="989">
      <c r="M989" s="37"/>
      <c r="N989" s="37"/>
    </row>
    <row r="990">
      <c r="M990" s="37"/>
      <c r="N990" s="37"/>
    </row>
    <row r="991">
      <c r="M991" s="37"/>
      <c r="N991" s="37"/>
    </row>
    <row r="992">
      <c r="M992" s="37"/>
      <c r="N992" s="37"/>
    </row>
    <row r="993">
      <c r="M993" s="37"/>
      <c r="N993" s="37"/>
    </row>
    <row r="994">
      <c r="M994" s="37"/>
      <c r="N994" s="37"/>
    </row>
    <row r="995">
      <c r="M995" s="37"/>
      <c r="N995" s="37"/>
    </row>
    <row r="996">
      <c r="M996" s="37"/>
      <c r="N996" s="37"/>
    </row>
    <row r="997">
      <c r="M997" s="37"/>
      <c r="N997" s="37"/>
    </row>
    <row r="998">
      <c r="M998" s="37"/>
      <c r="N998" s="37"/>
    </row>
    <row r="999">
      <c r="M999" s="37"/>
      <c r="N999" s="37"/>
    </row>
    <row r="1000">
      <c r="M1000" s="37"/>
      <c r="N1000" s="37"/>
    </row>
    <row r="1001">
      <c r="M1001" s="37"/>
      <c r="N1001" s="37"/>
    </row>
    <row r="1002">
      <c r="M1002" s="37"/>
      <c r="N1002" s="37"/>
    </row>
    <row r="1003">
      <c r="M1003" s="37"/>
      <c r="N1003" s="37"/>
    </row>
    <row r="1004">
      <c r="M1004" s="37"/>
      <c r="N1004" s="37"/>
    </row>
    <row r="1005">
      <c r="M1005" s="37"/>
      <c r="N1005" s="37"/>
    </row>
    <row r="1006">
      <c r="M1006" s="37"/>
      <c r="N1006" s="37"/>
    </row>
    <row r="1007">
      <c r="M1007" s="37"/>
      <c r="N1007" s="37"/>
    </row>
    <row r="1008">
      <c r="M1008" s="37"/>
      <c r="N1008" s="37"/>
    </row>
    <row r="1009">
      <c r="M1009" s="37"/>
      <c r="N1009" s="37"/>
    </row>
    <row r="1010">
      <c r="M1010" s="37"/>
      <c r="N1010" s="37"/>
    </row>
    <row r="1011">
      <c r="M1011" s="37"/>
      <c r="N1011" s="37"/>
    </row>
    <row r="1012">
      <c r="M1012" s="37"/>
      <c r="N1012" s="37"/>
    </row>
    <row r="1013">
      <c r="M1013" s="37"/>
      <c r="N1013" s="37"/>
    </row>
    <row r="1014">
      <c r="M1014" s="37"/>
      <c r="N1014" s="37"/>
    </row>
    <row r="1015">
      <c r="M1015" s="37"/>
      <c r="N1015" s="37"/>
    </row>
    <row r="1016">
      <c r="M1016" s="37"/>
      <c r="N1016" s="37"/>
    </row>
    <row r="1017">
      <c r="M1017" s="37"/>
      <c r="N1017" s="37"/>
    </row>
    <row r="1018">
      <c r="M1018" s="37"/>
      <c r="N1018" s="37"/>
    </row>
    <row r="1019">
      <c r="M1019" s="37"/>
      <c r="N1019" s="37"/>
    </row>
    <row r="1020">
      <c r="M1020" s="37"/>
      <c r="N1020" s="37"/>
    </row>
    <row r="1021">
      <c r="M1021" s="37"/>
      <c r="N1021" s="37"/>
    </row>
    <row r="1022">
      <c r="M1022" s="37"/>
      <c r="N1022" s="37"/>
    </row>
    <row r="1023">
      <c r="M1023" s="37"/>
      <c r="N1023" s="37"/>
    </row>
    <row r="1024">
      <c r="M1024" s="37"/>
      <c r="N1024" s="37"/>
    </row>
    <row r="1025">
      <c r="M1025" s="37"/>
      <c r="N1025" s="37"/>
    </row>
    <row r="1026">
      <c r="M1026" s="37"/>
      <c r="N1026" s="37"/>
    </row>
    <row r="1027">
      <c r="M1027" s="37"/>
      <c r="N1027" s="37"/>
    </row>
    <row r="1028">
      <c r="M1028" s="37"/>
      <c r="N1028" s="37"/>
    </row>
    <row r="1029">
      <c r="M1029" s="37"/>
      <c r="N1029" s="37"/>
    </row>
    <row r="1030">
      <c r="M1030" s="37"/>
      <c r="N1030" s="37"/>
    </row>
    <row r="1031">
      <c r="M1031" s="37"/>
      <c r="N1031" s="37"/>
    </row>
    <row r="1032">
      <c r="M1032" s="37"/>
      <c r="N1032" s="37"/>
    </row>
    <row r="1033">
      <c r="M1033" s="37"/>
      <c r="N1033" s="37"/>
    </row>
    <row r="1034">
      <c r="M1034" s="37"/>
      <c r="N1034" s="37"/>
    </row>
    <row r="1035">
      <c r="M1035" s="37"/>
      <c r="N1035" s="37"/>
    </row>
    <row r="1036">
      <c r="M1036" s="37"/>
      <c r="N1036" s="37"/>
    </row>
    <row r="1037">
      <c r="M1037" s="37"/>
      <c r="N1037" s="37"/>
    </row>
    <row r="1038">
      <c r="M1038" s="37"/>
      <c r="N1038" s="37"/>
    </row>
    <row r="1039">
      <c r="M1039" s="37"/>
      <c r="N1039" s="37"/>
    </row>
    <row r="1040">
      <c r="M1040" s="37"/>
      <c r="N1040" s="37"/>
    </row>
    <row r="1041">
      <c r="M1041" s="37"/>
      <c r="N1041" s="37"/>
    </row>
    <row r="1042">
      <c r="M1042" s="37"/>
      <c r="N1042" s="37"/>
    </row>
    <row r="1043">
      <c r="M1043" s="37"/>
      <c r="N1043" s="37"/>
    </row>
    <row r="1044">
      <c r="M1044" s="37"/>
      <c r="N1044" s="37"/>
    </row>
    <row r="1045">
      <c r="M1045" s="37"/>
      <c r="N1045" s="37"/>
    </row>
    <row r="1046">
      <c r="M1046" s="37"/>
      <c r="N1046" s="37"/>
    </row>
    <row r="1047">
      <c r="M1047" s="37"/>
      <c r="N1047" s="37"/>
    </row>
    <row r="1048">
      <c r="M1048" s="37"/>
      <c r="N1048" s="37"/>
    </row>
    <row r="1049">
      <c r="M1049" s="37"/>
      <c r="N1049" s="37"/>
    </row>
    <row r="1050">
      <c r="M1050" s="37"/>
      <c r="N1050" s="37"/>
    </row>
    <row r="1051">
      <c r="M1051" s="37"/>
      <c r="N1051" s="37"/>
    </row>
    <row r="1052">
      <c r="M1052" s="37"/>
      <c r="N1052" s="37"/>
    </row>
    <row r="1053">
      <c r="M1053" s="37"/>
      <c r="N1053" s="37"/>
    </row>
    <row r="1054">
      <c r="M1054" s="37"/>
      <c r="N1054" s="37"/>
    </row>
    <row r="1055">
      <c r="M1055" s="37"/>
      <c r="N1055" s="37"/>
    </row>
    <row r="1056">
      <c r="M1056" s="37"/>
      <c r="N1056" s="37"/>
    </row>
    <row r="1057">
      <c r="M1057" s="37"/>
      <c r="N1057" s="37"/>
    </row>
    <row r="1058">
      <c r="M1058" s="37"/>
      <c r="N1058" s="37"/>
    </row>
    <row r="1059">
      <c r="M1059" s="37"/>
      <c r="N1059" s="37"/>
    </row>
    <row r="1060">
      <c r="M1060" s="37"/>
      <c r="N1060" s="37"/>
    </row>
    <row r="1061">
      <c r="M1061" s="37"/>
      <c r="N1061" s="37"/>
    </row>
    <row r="1062">
      <c r="M1062" s="37"/>
      <c r="N1062" s="37"/>
    </row>
    <row r="1063">
      <c r="M1063" s="37"/>
      <c r="N1063" s="37"/>
    </row>
    <row r="1064">
      <c r="M1064" s="37"/>
      <c r="N1064" s="37"/>
    </row>
    <row r="1065">
      <c r="M1065" s="37"/>
      <c r="N1065" s="37"/>
    </row>
    <row r="1066">
      <c r="M1066" s="37"/>
      <c r="N1066" s="37"/>
    </row>
    <row r="1067">
      <c r="M1067" s="37"/>
      <c r="N1067" s="37"/>
    </row>
    <row r="1068">
      <c r="M1068" s="37"/>
      <c r="N1068" s="37"/>
    </row>
    <row r="1069">
      <c r="M1069" s="37"/>
      <c r="N1069" s="37"/>
    </row>
    <row r="1070">
      <c r="M1070" s="37"/>
      <c r="N1070" s="37"/>
    </row>
    <row r="1071">
      <c r="M1071" s="37"/>
      <c r="N1071" s="37"/>
    </row>
    <row r="1072">
      <c r="M1072" s="37"/>
      <c r="N1072" s="37"/>
    </row>
    <row r="1073">
      <c r="M1073" s="37"/>
      <c r="N1073" s="37"/>
    </row>
    <row r="1074">
      <c r="M1074" s="37"/>
      <c r="N1074" s="37"/>
    </row>
    <row r="1075">
      <c r="M1075" s="37"/>
      <c r="N1075" s="37"/>
    </row>
    <row r="1076">
      <c r="M1076" s="37"/>
      <c r="N1076" s="37"/>
    </row>
    <row r="1077">
      <c r="M1077" s="37"/>
      <c r="N1077" s="37"/>
    </row>
    <row r="1078">
      <c r="M1078" s="37"/>
      <c r="N1078" s="37"/>
    </row>
    <row r="1079">
      <c r="M1079" s="37"/>
      <c r="N1079" s="37"/>
    </row>
    <row r="1080">
      <c r="M1080" s="37"/>
      <c r="N1080" s="37"/>
    </row>
    <row r="1081">
      <c r="M1081" s="37"/>
      <c r="N1081" s="37"/>
    </row>
    <row r="1082">
      <c r="M1082" s="37"/>
      <c r="N1082" s="37"/>
    </row>
    <row r="1083">
      <c r="M1083" s="37"/>
      <c r="N1083" s="37"/>
    </row>
    <row r="1084">
      <c r="M1084" s="37"/>
      <c r="N1084" s="37"/>
    </row>
    <row r="1085">
      <c r="M1085" s="37"/>
      <c r="N1085" s="37"/>
    </row>
    <row r="1086">
      <c r="M1086" s="37"/>
      <c r="N1086" s="37"/>
    </row>
    <row r="1087">
      <c r="M1087" s="37"/>
      <c r="N1087" s="37"/>
    </row>
    <row r="1088">
      <c r="M1088" s="37"/>
      <c r="N1088" s="37"/>
    </row>
    <row r="1089">
      <c r="M1089" s="37"/>
      <c r="N1089" s="37"/>
    </row>
    <row r="1090">
      <c r="M1090" s="37"/>
      <c r="N1090" s="37"/>
    </row>
    <row r="1091">
      <c r="M1091" s="37"/>
      <c r="N1091" s="37"/>
    </row>
    <row r="1092">
      <c r="M1092" s="37"/>
      <c r="N1092" s="37"/>
    </row>
    <row r="1093">
      <c r="M1093" s="37"/>
      <c r="N1093" s="37"/>
    </row>
    <row r="1094">
      <c r="M1094" s="37"/>
      <c r="N1094" s="37"/>
    </row>
    <row r="1095">
      <c r="M1095" s="37"/>
      <c r="N1095" s="37"/>
    </row>
    <row r="1096">
      <c r="M1096" s="37"/>
      <c r="N1096" s="37"/>
    </row>
    <row r="1097">
      <c r="M1097" s="37"/>
      <c r="N1097" s="37"/>
    </row>
    <row r="1098">
      <c r="M1098" s="37"/>
      <c r="N1098" s="37"/>
    </row>
    <row r="1099">
      <c r="M1099" s="37"/>
      <c r="N1099" s="37"/>
    </row>
    <row r="1100">
      <c r="M1100" s="37"/>
      <c r="N1100" s="37"/>
    </row>
    <row r="1101">
      <c r="M1101" s="37"/>
      <c r="N1101" s="37"/>
    </row>
    <row r="1102">
      <c r="M1102" s="37"/>
      <c r="N1102" s="37"/>
    </row>
    <row r="1103">
      <c r="M1103" s="37"/>
      <c r="N1103" s="37"/>
    </row>
    <row r="1104">
      <c r="M1104" s="37"/>
      <c r="N1104" s="37"/>
    </row>
    <row r="1105">
      <c r="M1105" s="37"/>
      <c r="N1105" s="37"/>
    </row>
    <row r="1106">
      <c r="M1106" s="37"/>
      <c r="N1106" s="37"/>
    </row>
    <row r="1107">
      <c r="M1107" s="37"/>
      <c r="N1107" s="37"/>
    </row>
    <row r="1108">
      <c r="M1108" s="37"/>
      <c r="N1108" s="37"/>
    </row>
    <row r="1109">
      <c r="M1109" s="37"/>
      <c r="N1109" s="37"/>
    </row>
    <row r="1110">
      <c r="M1110" s="37"/>
      <c r="N1110" s="37"/>
    </row>
    <row r="1111">
      <c r="M1111" s="37"/>
      <c r="N1111" s="37"/>
    </row>
    <row r="1112">
      <c r="M1112" s="37"/>
      <c r="N1112" s="37"/>
    </row>
    <row r="1113">
      <c r="M1113" s="37"/>
      <c r="N1113" s="37"/>
    </row>
    <row r="1114">
      <c r="M1114" s="37"/>
      <c r="N1114" s="37"/>
    </row>
    <row r="1115">
      <c r="M1115" s="37"/>
      <c r="N1115" s="37"/>
    </row>
    <row r="1116">
      <c r="M1116" s="37"/>
      <c r="N1116" s="37"/>
    </row>
    <row r="1117">
      <c r="M1117" s="37"/>
      <c r="N1117" s="37"/>
    </row>
    <row r="1118">
      <c r="M1118" s="37"/>
      <c r="N1118" s="37"/>
    </row>
    <row r="1119">
      <c r="M1119" s="37"/>
      <c r="N1119" s="37"/>
    </row>
    <row r="1120">
      <c r="M1120" s="37"/>
      <c r="N1120" s="37"/>
    </row>
    <row r="1121">
      <c r="M1121" s="37"/>
      <c r="N1121" s="37"/>
    </row>
    <row r="1122">
      <c r="M1122" s="37"/>
      <c r="N1122" s="37"/>
    </row>
    <row r="1123">
      <c r="M1123" s="37"/>
      <c r="N1123" s="37"/>
    </row>
    <row r="1124">
      <c r="M1124" s="37"/>
      <c r="N1124" s="37"/>
    </row>
    <row r="1125">
      <c r="M1125" s="37"/>
      <c r="N1125" s="37"/>
    </row>
    <row r="1126">
      <c r="M1126" s="37"/>
      <c r="N1126" s="37"/>
    </row>
    <row r="1127">
      <c r="M1127" s="37"/>
      <c r="N1127" s="37"/>
    </row>
    <row r="1128">
      <c r="M1128" s="37"/>
      <c r="N1128" s="37"/>
    </row>
    <row r="1129">
      <c r="M1129" s="37"/>
      <c r="N1129" s="37"/>
    </row>
    <row r="1130">
      <c r="M1130" s="37"/>
      <c r="N1130" s="37"/>
    </row>
    <row r="1131">
      <c r="M1131" s="37"/>
      <c r="N1131" s="37"/>
    </row>
    <row r="1132">
      <c r="M1132" s="37"/>
      <c r="N1132" s="37"/>
    </row>
    <row r="1133">
      <c r="M1133" s="37"/>
      <c r="N1133" s="37"/>
    </row>
    <row r="1134">
      <c r="M1134" s="37"/>
      <c r="N1134" s="37"/>
    </row>
    <row r="1135">
      <c r="M1135" s="37"/>
      <c r="N1135" s="37"/>
    </row>
    <row r="1136">
      <c r="M1136" s="37"/>
      <c r="N1136" s="37"/>
    </row>
    <row r="1137">
      <c r="M1137" s="37"/>
      <c r="N1137" s="37"/>
    </row>
    <row r="1138">
      <c r="M1138" s="37"/>
      <c r="N1138" s="37"/>
    </row>
    <row r="1139">
      <c r="M1139" s="37"/>
      <c r="N1139" s="37"/>
    </row>
    <row r="1140">
      <c r="M1140" s="37"/>
      <c r="N1140" s="37"/>
    </row>
    <row r="1141">
      <c r="M1141" s="37"/>
      <c r="N1141" s="37"/>
    </row>
    <row r="1142">
      <c r="M1142" s="37"/>
      <c r="N1142" s="37"/>
    </row>
    <row r="1143">
      <c r="M1143" s="37"/>
      <c r="N1143" s="37"/>
    </row>
    <row r="1144">
      <c r="M1144" s="37"/>
      <c r="N1144" s="37"/>
    </row>
    <row r="1145">
      <c r="M1145" s="37"/>
      <c r="N1145" s="37"/>
    </row>
    <row r="1146">
      <c r="M1146" s="37"/>
      <c r="N1146" s="37"/>
    </row>
    <row r="1147">
      <c r="M1147" s="37"/>
      <c r="N1147" s="37"/>
    </row>
    <row r="1148">
      <c r="M1148" s="37"/>
      <c r="N1148" s="37"/>
    </row>
    <row r="1149">
      <c r="M1149" s="37"/>
      <c r="N1149" s="37"/>
    </row>
    <row r="1150">
      <c r="M1150" s="37"/>
      <c r="N1150" s="37"/>
    </row>
    <row r="1151">
      <c r="M1151" s="37"/>
      <c r="N1151" s="37"/>
    </row>
    <row r="1152">
      <c r="M1152" s="37"/>
      <c r="N1152" s="37"/>
    </row>
    <row r="1153">
      <c r="M1153" s="37"/>
      <c r="N1153" s="37"/>
    </row>
    <row r="1154">
      <c r="M1154" s="37"/>
      <c r="N1154" s="37"/>
    </row>
    <row r="1155">
      <c r="M1155" s="37"/>
      <c r="N1155" s="37"/>
    </row>
    <row r="1156">
      <c r="M1156" s="37"/>
      <c r="N1156" s="37"/>
    </row>
    <row r="1157">
      <c r="M1157" s="37"/>
      <c r="N1157" s="37"/>
    </row>
    <row r="1158">
      <c r="M1158" s="37"/>
      <c r="N1158" s="37"/>
    </row>
    <row r="1159">
      <c r="M1159" s="37"/>
      <c r="N1159" s="37"/>
    </row>
    <row r="1160">
      <c r="M1160" s="37"/>
      <c r="N1160" s="37"/>
    </row>
    <row r="1161">
      <c r="M1161" s="37"/>
      <c r="N1161" s="37"/>
    </row>
    <row r="1162">
      <c r="M1162" s="37"/>
      <c r="N1162" s="37"/>
    </row>
    <row r="1163">
      <c r="M1163" s="37"/>
      <c r="N1163" s="37"/>
    </row>
    <row r="1164">
      <c r="M1164" s="37"/>
      <c r="N1164" s="37"/>
    </row>
    <row r="1165">
      <c r="M1165" s="37"/>
      <c r="N1165" s="37"/>
    </row>
    <row r="1166">
      <c r="M1166" s="37"/>
      <c r="N1166" s="37"/>
    </row>
    <row r="1167">
      <c r="M1167" s="37"/>
      <c r="N1167" s="37"/>
    </row>
    <row r="1168">
      <c r="M1168" s="37"/>
      <c r="N1168" s="37"/>
    </row>
    <row r="1169">
      <c r="M1169" s="37"/>
      <c r="N1169" s="37"/>
    </row>
    <row r="1170">
      <c r="M1170" s="37"/>
      <c r="N1170" s="37"/>
    </row>
    <row r="1171">
      <c r="M1171" s="37"/>
      <c r="N1171" s="37"/>
    </row>
    <row r="1172">
      <c r="M1172" s="37"/>
      <c r="N1172" s="37"/>
    </row>
    <row r="1173">
      <c r="M1173" s="37"/>
      <c r="N1173" s="37"/>
    </row>
    <row r="1174">
      <c r="M1174" s="37"/>
      <c r="N1174" s="37"/>
    </row>
    <row r="1175">
      <c r="M1175" s="37"/>
      <c r="N1175" s="37"/>
    </row>
    <row r="1176">
      <c r="M1176" s="37"/>
      <c r="N1176" s="37"/>
    </row>
    <row r="1177">
      <c r="M1177" s="37"/>
      <c r="N1177" s="37"/>
    </row>
    <row r="1178">
      <c r="M1178" s="37"/>
      <c r="N1178" s="37"/>
    </row>
    <row r="1179">
      <c r="M1179" s="37"/>
      <c r="N1179" s="37"/>
    </row>
    <row r="1180">
      <c r="M1180" s="37"/>
      <c r="N1180" s="37"/>
    </row>
    <row r="1181">
      <c r="M1181" s="37"/>
      <c r="N1181" s="37"/>
    </row>
    <row r="1182">
      <c r="M1182" s="37"/>
      <c r="N1182" s="37"/>
    </row>
    <row r="1183">
      <c r="M1183" s="37"/>
      <c r="N1183" s="37"/>
    </row>
    <row r="1184">
      <c r="M1184" s="37"/>
      <c r="N1184" s="37"/>
    </row>
    <row r="1185">
      <c r="M1185" s="37"/>
      <c r="N1185" s="37"/>
    </row>
    <row r="1186">
      <c r="M1186" s="37"/>
      <c r="N1186" s="37"/>
    </row>
    <row r="1187">
      <c r="M1187" s="37"/>
      <c r="N1187" s="37"/>
    </row>
    <row r="1188">
      <c r="M1188" s="37"/>
      <c r="N1188" s="37"/>
    </row>
    <row r="1189">
      <c r="M1189" s="37"/>
      <c r="N1189" s="37"/>
    </row>
    <row r="1190">
      <c r="M1190" s="37"/>
      <c r="N1190" s="37"/>
    </row>
    <row r="1191">
      <c r="M1191" s="37"/>
      <c r="N1191" s="37"/>
    </row>
    <row r="1192">
      <c r="M1192" s="37"/>
      <c r="N1192" s="37"/>
    </row>
    <row r="1193">
      <c r="M1193" s="37"/>
      <c r="N1193" s="37"/>
    </row>
    <row r="1194">
      <c r="M1194" s="37"/>
      <c r="N1194" s="37"/>
    </row>
    <row r="1195">
      <c r="M1195" s="37"/>
      <c r="N1195" s="37"/>
    </row>
    <row r="1196">
      <c r="M1196" s="37"/>
      <c r="N1196" s="37"/>
    </row>
    <row r="1197">
      <c r="M1197" s="37"/>
      <c r="N1197" s="37"/>
    </row>
    <row r="1198">
      <c r="M1198" s="37"/>
      <c r="N1198" s="37"/>
    </row>
    <row r="1199">
      <c r="M1199" s="37"/>
      <c r="N1199" s="37"/>
    </row>
    <row r="1200">
      <c r="M1200" s="37"/>
      <c r="N1200" s="37"/>
    </row>
    <row r="1201">
      <c r="M1201" s="37"/>
      <c r="N1201" s="37"/>
    </row>
    <row r="1202">
      <c r="M1202" s="37"/>
      <c r="N1202" s="37"/>
    </row>
    <row r="1203">
      <c r="M1203" s="37"/>
      <c r="N1203" s="37"/>
    </row>
    <row r="1204">
      <c r="M1204" s="37"/>
      <c r="N1204" s="37"/>
    </row>
    <row r="1205">
      <c r="M1205" s="37"/>
      <c r="N1205" s="37"/>
    </row>
    <row r="1206">
      <c r="M1206" s="37"/>
      <c r="N1206" s="37"/>
    </row>
    <row r="1207">
      <c r="M1207" s="37"/>
      <c r="N1207" s="37"/>
    </row>
    <row r="1208">
      <c r="M1208" s="37"/>
      <c r="N1208" s="37"/>
    </row>
    <row r="1209">
      <c r="M1209" s="37"/>
      <c r="N1209" s="37"/>
    </row>
    <row r="1210">
      <c r="M1210" s="37"/>
      <c r="N1210" s="37"/>
    </row>
    <row r="1211">
      <c r="M1211" s="37"/>
      <c r="N1211" s="37"/>
    </row>
    <row r="1212">
      <c r="M1212" s="37"/>
      <c r="N1212" s="37"/>
    </row>
    <row r="1213">
      <c r="M1213" s="37"/>
      <c r="N1213" s="37"/>
    </row>
    <row r="1214">
      <c r="M1214" s="37"/>
      <c r="N1214" s="37"/>
    </row>
    <row r="1215">
      <c r="M1215" s="37"/>
      <c r="N1215" s="37"/>
    </row>
    <row r="1216">
      <c r="M1216" s="37"/>
      <c r="N1216" s="37"/>
    </row>
    <row r="1217">
      <c r="M1217" s="37"/>
      <c r="N1217" s="37"/>
    </row>
    <row r="1218">
      <c r="M1218" s="37"/>
      <c r="N1218" s="37"/>
    </row>
    <row r="1219">
      <c r="M1219" s="37"/>
      <c r="N1219" s="37"/>
    </row>
    <row r="1220">
      <c r="M1220" s="37"/>
      <c r="N1220" s="37"/>
    </row>
    <row r="1221">
      <c r="M1221" s="37"/>
      <c r="N1221" s="37"/>
    </row>
    <row r="1222">
      <c r="M1222" s="37"/>
      <c r="N1222" s="37"/>
    </row>
    <row r="1223">
      <c r="M1223" s="37"/>
      <c r="N1223" s="37"/>
    </row>
    <row r="1224">
      <c r="M1224" s="37"/>
      <c r="N1224" s="37"/>
    </row>
    <row r="1225">
      <c r="M1225" s="37"/>
      <c r="N1225" s="37"/>
    </row>
    <row r="1226">
      <c r="M1226" s="37"/>
      <c r="N1226" s="37"/>
    </row>
    <row r="1227">
      <c r="M1227" s="37"/>
      <c r="N1227" s="37"/>
    </row>
    <row r="1228">
      <c r="M1228" s="37"/>
      <c r="N1228" s="37"/>
    </row>
    <row r="1229">
      <c r="M1229" s="37"/>
      <c r="N1229" s="37"/>
    </row>
    <row r="1230">
      <c r="M1230" s="37"/>
      <c r="N1230" s="37"/>
    </row>
    <row r="1231">
      <c r="M1231" s="37"/>
      <c r="N1231" s="37"/>
    </row>
    <row r="1232">
      <c r="M1232" s="37"/>
      <c r="N1232" s="37"/>
    </row>
    <row r="1233">
      <c r="M1233" s="37"/>
      <c r="N1233" s="37"/>
    </row>
    <row r="1234">
      <c r="M1234" s="37"/>
      <c r="N1234" s="37"/>
    </row>
    <row r="1235">
      <c r="M1235" s="37"/>
      <c r="N1235" s="37"/>
    </row>
    <row r="1236">
      <c r="M1236" s="37"/>
      <c r="N1236" s="37"/>
    </row>
    <row r="1237">
      <c r="M1237" s="37"/>
      <c r="N1237" s="37"/>
    </row>
    <row r="1238">
      <c r="M1238" s="37"/>
      <c r="N1238" s="37"/>
    </row>
    <row r="1239">
      <c r="M1239" s="37"/>
      <c r="N1239" s="37"/>
    </row>
    <row r="1240">
      <c r="M1240" s="37"/>
      <c r="N1240" s="37"/>
    </row>
    <row r="1241">
      <c r="M1241" s="37"/>
      <c r="N1241" s="37"/>
    </row>
    <row r="1242">
      <c r="M1242" s="37"/>
      <c r="N1242" s="37"/>
    </row>
    <row r="1243">
      <c r="M1243" s="37"/>
      <c r="N1243" s="37"/>
    </row>
    <row r="1244">
      <c r="M1244" s="37"/>
      <c r="N1244" s="37"/>
    </row>
    <row r="1245">
      <c r="M1245" s="37"/>
      <c r="N1245" s="37"/>
    </row>
    <row r="1246">
      <c r="M1246" s="37"/>
      <c r="N1246" s="37"/>
    </row>
    <row r="1247">
      <c r="M1247" s="37"/>
      <c r="N1247" s="37"/>
    </row>
    <row r="1248">
      <c r="M1248" s="37"/>
      <c r="N1248" s="37"/>
    </row>
    <row r="1249">
      <c r="M1249" s="37"/>
      <c r="N1249" s="37"/>
    </row>
    <row r="1250">
      <c r="M1250" s="37"/>
      <c r="N1250" s="37"/>
    </row>
    <row r="1251">
      <c r="M1251" s="37"/>
      <c r="N1251" s="37"/>
    </row>
    <row r="1252">
      <c r="M1252" s="37"/>
      <c r="N1252" s="37"/>
    </row>
    <row r="1253">
      <c r="M1253" s="37"/>
      <c r="N1253" s="37"/>
    </row>
    <row r="1254">
      <c r="M1254" s="37"/>
      <c r="N1254" s="37"/>
    </row>
    <row r="1255">
      <c r="M1255" s="37"/>
      <c r="N1255" s="37"/>
    </row>
    <row r="1256">
      <c r="M1256" s="37"/>
      <c r="N1256" s="37"/>
    </row>
    <row r="1257">
      <c r="M1257" s="37"/>
      <c r="N1257" s="37"/>
    </row>
    <row r="1258">
      <c r="M1258" s="37"/>
      <c r="N1258" s="37"/>
    </row>
    <row r="1259">
      <c r="M1259" s="37"/>
      <c r="N1259" s="37"/>
    </row>
    <row r="1260">
      <c r="M1260" s="37"/>
      <c r="N1260" s="37"/>
    </row>
    <row r="1261">
      <c r="M1261" s="37"/>
      <c r="N1261" s="37"/>
    </row>
    <row r="1262">
      <c r="M1262" s="37"/>
      <c r="N1262" s="37"/>
    </row>
    <row r="1263">
      <c r="M1263" s="37"/>
      <c r="N1263" s="37"/>
    </row>
    <row r="1264">
      <c r="M1264" s="37"/>
      <c r="N1264" s="37"/>
    </row>
    <row r="1265">
      <c r="M1265" s="37"/>
      <c r="N1265" s="37"/>
    </row>
    <row r="1266">
      <c r="M1266" s="37"/>
      <c r="N1266" s="37"/>
    </row>
    <row r="1267">
      <c r="M1267" s="37"/>
      <c r="N1267" s="37"/>
    </row>
    <row r="1268">
      <c r="M1268" s="37"/>
      <c r="N1268" s="37"/>
    </row>
    <row r="1269">
      <c r="M1269" s="37"/>
      <c r="N1269" s="37"/>
    </row>
    <row r="1270">
      <c r="M1270" s="37"/>
      <c r="N1270" s="37"/>
    </row>
    <row r="1271">
      <c r="M1271" s="37"/>
      <c r="N1271" s="37"/>
    </row>
    <row r="1272">
      <c r="M1272" s="37"/>
      <c r="N1272" s="37"/>
    </row>
    <row r="1273">
      <c r="M1273" s="37"/>
      <c r="N1273" s="37"/>
    </row>
    <row r="1274">
      <c r="M1274" s="37"/>
      <c r="N1274" s="37"/>
    </row>
    <row r="1275">
      <c r="M1275" s="37"/>
      <c r="N1275" s="37"/>
    </row>
    <row r="1276">
      <c r="M1276" s="37"/>
      <c r="N1276" s="37"/>
    </row>
    <row r="1277">
      <c r="M1277" s="37"/>
      <c r="N1277" s="37"/>
    </row>
    <row r="1278">
      <c r="M1278" s="37"/>
      <c r="N1278" s="37"/>
    </row>
    <row r="1279">
      <c r="M1279" s="37"/>
      <c r="N1279" s="37"/>
    </row>
    <row r="1280">
      <c r="M1280" s="37"/>
      <c r="N1280" s="37"/>
    </row>
    <row r="1281">
      <c r="M1281" s="37"/>
      <c r="N1281" s="37"/>
    </row>
    <row r="1282">
      <c r="M1282" s="37"/>
      <c r="N1282" s="37"/>
    </row>
    <row r="1283">
      <c r="M1283" s="37"/>
      <c r="N1283" s="37"/>
    </row>
    <row r="1284">
      <c r="M1284" s="37"/>
      <c r="N1284" s="37"/>
    </row>
    <row r="1285">
      <c r="M1285" s="37"/>
      <c r="N1285" s="37"/>
    </row>
    <row r="1286">
      <c r="M1286" s="37"/>
      <c r="N1286" s="37"/>
    </row>
    <row r="1287">
      <c r="M1287" s="37"/>
      <c r="N1287" s="37"/>
    </row>
    <row r="1288">
      <c r="M1288" s="37"/>
      <c r="N1288" s="37"/>
    </row>
    <row r="1289">
      <c r="M1289" s="37"/>
      <c r="N1289" s="37"/>
    </row>
    <row r="1290">
      <c r="M1290" s="37"/>
      <c r="N1290" s="37"/>
    </row>
    <row r="1291">
      <c r="M1291" s="37"/>
      <c r="N1291" s="37"/>
    </row>
    <row r="1292">
      <c r="M1292" s="37"/>
      <c r="N1292" s="37"/>
    </row>
    <row r="1293">
      <c r="M1293" s="37"/>
      <c r="N1293" s="37"/>
    </row>
    <row r="1294">
      <c r="M1294" s="37"/>
      <c r="N1294" s="37"/>
    </row>
    <row r="1295">
      <c r="M1295" s="37"/>
      <c r="N1295" s="37"/>
    </row>
    <row r="1296">
      <c r="M1296" s="37"/>
      <c r="N1296" s="37"/>
    </row>
    <row r="1297">
      <c r="M1297" s="37"/>
      <c r="N1297" s="37"/>
    </row>
    <row r="1298">
      <c r="M1298" s="37"/>
      <c r="N1298" s="37"/>
    </row>
    <row r="1299">
      <c r="M1299" s="37"/>
      <c r="N1299" s="37"/>
    </row>
    <row r="1300">
      <c r="M1300" s="37"/>
      <c r="N1300" s="37"/>
    </row>
    <row r="1301">
      <c r="M1301" s="37"/>
      <c r="N1301" s="37"/>
    </row>
    <row r="1302">
      <c r="M1302" s="37"/>
      <c r="N1302" s="37"/>
    </row>
    <row r="1303">
      <c r="M1303" s="37"/>
      <c r="N1303" s="37"/>
    </row>
    <row r="1304">
      <c r="M1304" s="37"/>
      <c r="N1304" s="37"/>
    </row>
    <row r="1305">
      <c r="M1305" s="37"/>
      <c r="N1305" s="37"/>
    </row>
    <row r="1306">
      <c r="M1306" s="37"/>
      <c r="N1306" s="37"/>
    </row>
    <row r="1307">
      <c r="M1307" s="37"/>
      <c r="N1307" s="37"/>
    </row>
    <row r="1308">
      <c r="M1308" s="37"/>
      <c r="N1308" s="37"/>
    </row>
    <row r="1309">
      <c r="M1309" s="37"/>
      <c r="N1309" s="37"/>
    </row>
    <row r="1310">
      <c r="M1310" s="37"/>
      <c r="N1310" s="37"/>
    </row>
    <row r="1311">
      <c r="M1311" s="37"/>
      <c r="N1311" s="37"/>
    </row>
    <row r="1312">
      <c r="M1312" s="37"/>
      <c r="N1312" s="37"/>
    </row>
    <row r="1313">
      <c r="M1313" s="37"/>
      <c r="N1313" s="37"/>
    </row>
    <row r="1314">
      <c r="M1314" s="37"/>
      <c r="N1314" s="37"/>
    </row>
    <row r="1315">
      <c r="M1315" s="37"/>
      <c r="N1315" s="37"/>
    </row>
    <row r="1316">
      <c r="M1316" s="37"/>
      <c r="N1316" s="37"/>
    </row>
    <row r="1317">
      <c r="M1317" s="37"/>
      <c r="N1317" s="37"/>
    </row>
    <row r="1318">
      <c r="M1318" s="37"/>
      <c r="N1318" s="37"/>
    </row>
    <row r="1319">
      <c r="M1319" s="37"/>
      <c r="N1319" s="37"/>
    </row>
    <row r="1320">
      <c r="M1320" s="37"/>
      <c r="N1320" s="37"/>
    </row>
    <row r="1321">
      <c r="M1321" s="37"/>
      <c r="N1321" s="37"/>
    </row>
    <row r="1322">
      <c r="M1322" s="37"/>
      <c r="N1322" s="37"/>
    </row>
    <row r="1323">
      <c r="M1323" s="37"/>
      <c r="N1323" s="37"/>
    </row>
    <row r="1324">
      <c r="M1324" s="37"/>
      <c r="N1324" s="37"/>
    </row>
    <row r="1325">
      <c r="M1325" s="37"/>
      <c r="N1325" s="37"/>
    </row>
    <row r="1326">
      <c r="M1326" s="37"/>
      <c r="N1326" s="37"/>
    </row>
    <row r="1327">
      <c r="M1327" s="37"/>
      <c r="N1327" s="37"/>
    </row>
    <row r="1328">
      <c r="M1328" s="37"/>
      <c r="N1328" s="37"/>
    </row>
    <row r="1329">
      <c r="M1329" s="37"/>
      <c r="N1329" s="37"/>
    </row>
    <row r="1330">
      <c r="M1330" s="37"/>
      <c r="N1330" s="37"/>
    </row>
    <row r="1331">
      <c r="M1331" s="37"/>
      <c r="N1331" s="37"/>
    </row>
    <row r="1332">
      <c r="M1332" s="37"/>
      <c r="N1332" s="37"/>
    </row>
    <row r="1333">
      <c r="M1333" s="37"/>
      <c r="N1333" s="37"/>
    </row>
    <row r="1334">
      <c r="M1334" s="37"/>
      <c r="N1334" s="37"/>
    </row>
    <row r="1335">
      <c r="M1335" s="37"/>
      <c r="N1335" s="37"/>
    </row>
    <row r="1336">
      <c r="M1336" s="37"/>
      <c r="N1336" s="37"/>
    </row>
    <row r="1337">
      <c r="M1337" s="37"/>
      <c r="N1337" s="37"/>
    </row>
    <row r="1338">
      <c r="M1338" s="37"/>
      <c r="N1338" s="37"/>
    </row>
    <row r="1339">
      <c r="M1339" s="37"/>
      <c r="N1339" s="37"/>
    </row>
    <row r="1340">
      <c r="M1340" s="37"/>
      <c r="N1340" s="37"/>
    </row>
    <row r="1341">
      <c r="M1341" s="37"/>
      <c r="N1341" s="37"/>
    </row>
    <row r="1342">
      <c r="M1342" s="37"/>
      <c r="N1342" s="37"/>
    </row>
    <row r="1343">
      <c r="M1343" s="37"/>
      <c r="N1343" s="37"/>
    </row>
    <row r="1344">
      <c r="M1344" s="37"/>
      <c r="N1344" s="37"/>
    </row>
    <row r="1345">
      <c r="M1345" s="37"/>
      <c r="N1345" s="37"/>
    </row>
    <row r="1346">
      <c r="M1346" s="37"/>
      <c r="N1346" s="37"/>
    </row>
    <row r="1347">
      <c r="M1347" s="37"/>
      <c r="N1347" s="37"/>
    </row>
    <row r="1348">
      <c r="M1348" s="37"/>
      <c r="N1348" s="37"/>
    </row>
    <row r="1349">
      <c r="M1349" s="37"/>
      <c r="N1349" s="37"/>
    </row>
    <row r="1350">
      <c r="M1350" s="37"/>
      <c r="N1350" s="37"/>
    </row>
    <row r="1351">
      <c r="M1351" s="37"/>
      <c r="N1351" s="37"/>
    </row>
    <row r="1352">
      <c r="M1352" s="37"/>
      <c r="N1352" s="37"/>
    </row>
    <row r="1353">
      <c r="M1353" s="37"/>
      <c r="N1353" s="37"/>
    </row>
    <row r="1354">
      <c r="M1354" s="37"/>
      <c r="N1354" s="37"/>
    </row>
    <row r="1355">
      <c r="M1355" s="37"/>
      <c r="N1355" s="37"/>
    </row>
    <row r="1356">
      <c r="M1356" s="37"/>
      <c r="N1356" s="37"/>
    </row>
    <row r="1357">
      <c r="M1357" s="37"/>
      <c r="N1357" s="37"/>
    </row>
    <row r="1358">
      <c r="M1358" s="37"/>
      <c r="N1358" s="37"/>
    </row>
    <row r="1359">
      <c r="M1359" s="37"/>
      <c r="N1359" s="37"/>
    </row>
    <row r="1360">
      <c r="M1360" s="37"/>
      <c r="N1360" s="37"/>
    </row>
    <row r="1361">
      <c r="M1361" s="37"/>
      <c r="N1361" s="37"/>
    </row>
    <row r="1362">
      <c r="M1362" s="37"/>
      <c r="N1362" s="37"/>
    </row>
    <row r="1363">
      <c r="M1363" s="37"/>
      <c r="N1363" s="37"/>
    </row>
    <row r="1364">
      <c r="M1364" s="37"/>
      <c r="N1364" s="37"/>
    </row>
    <row r="1365">
      <c r="M1365" s="37"/>
      <c r="N1365" s="37"/>
    </row>
    <row r="1366">
      <c r="M1366" s="37"/>
      <c r="N1366" s="37"/>
    </row>
    <row r="1367">
      <c r="M1367" s="37"/>
      <c r="N1367" s="37"/>
    </row>
    <row r="1368">
      <c r="M1368" s="37"/>
      <c r="N1368" s="37"/>
    </row>
    <row r="1369">
      <c r="M1369" s="37"/>
      <c r="N1369" s="37"/>
    </row>
    <row r="1370">
      <c r="M1370" s="37"/>
      <c r="N1370" s="37"/>
    </row>
    <row r="1371">
      <c r="M1371" s="37"/>
      <c r="N1371" s="37"/>
    </row>
    <row r="1372">
      <c r="M1372" s="37"/>
      <c r="N1372" s="37"/>
    </row>
    <row r="1373">
      <c r="M1373" s="37"/>
      <c r="N1373" s="37"/>
    </row>
    <row r="1374">
      <c r="M1374" s="37"/>
      <c r="N1374" s="37"/>
    </row>
    <row r="1375">
      <c r="M1375" s="37"/>
      <c r="N1375" s="37"/>
    </row>
    <row r="1376">
      <c r="M1376" s="37"/>
      <c r="N1376" s="37"/>
    </row>
    <row r="1377">
      <c r="M1377" s="37"/>
      <c r="N1377" s="37"/>
    </row>
    <row r="1378">
      <c r="M1378" s="37"/>
      <c r="N1378" s="37"/>
    </row>
    <row r="1379">
      <c r="M1379" s="37"/>
      <c r="N1379" s="37"/>
    </row>
    <row r="1380">
      <c r="M1380" s="37"/>
      <c r="N1380" s="37"/>
    </row>
    <row r="1381">
      <c r="M1381" s="37"/>
      <c r="N1381" s="37"/>
    </row>
    <row r="1382">
      <c r="M1382" s="37"/>
      <c r="N1382" s="37"/>
    </row>
    <row r="1383">
      <c r="M1383" s="37"/>
      <c r="N1383" s="37"/>
    </row>
    <row r="1384">
      <c r="M1384" s="37"/>
      <c r="N1384" s="37"/>
    </row>
    <row r="1385">
      <c r="M1385" s="37"/>
      <c r="N1385" s="37"/>
    </row>
    <row r="1386">
      <c r="M1386" s="37"/>
      <c r="N1386" s="37"/>
    </row>
    <row r="1387">
      <c r="M1387" s="37"/>
      <c r="N1387" s="37"/>
    </row>
    <row r="1388">
      <c r="M1388" s="37"/>
      <c r="N1388" s="37"/>
    </row>
    <row r="1389">
      <c r="M1389" s="37"/>
      <c r="N1389" s="37"/>
    </row>
    <row r="1390">
      <c r="M1390" s="37"/>
      <c r="N1390" s="37"/>
    </row>
    <row r="1391">
      <c r="M1391" s="37"/>
      <c r="N1391" s="37"/>
    </row>
    <row r="1392">
      <c r="M1392" s="37"/>
      <c r="N1392" s="37"/>
    </row>
    <row r="1393">
      <c r="M1393" s="37"/>
      <c r="N1393" s="37"/>
    </row>
    <row r="1394">
      <c r="M1394" s="37"/>
      <c r="N1394" s="37"/>
    </row>
    <row r="1395">
      <c r="M1395" s="37"/>
      <c r="N1395" s="37"/>
    </row>
    <row r="1396">
      <c r="M1396" s="37"/>
      <c r="N1396" s="37"/>
    </row>
    <row r="1397">
      <c r="M1397" s="37"/>
      <c r="N1397" s="37"/>
    </row>
    <row r="1398">
      <c r="M1398" s="37"/>
      <c r="N1398" s="37"/>
    </row>
    <row r="1399">
      <c r="M1399" s="37"/>
      <c r="N1399" s="37"/>
    </row>
    <row r="1400">
      <c r="M1400" s="37"/>
      <c r="N1400" s="37"/>
    </row>
    <row r="1401">
      <c r="M1401" s="37"/>
      <c r="N1401" s="37"/>
    </row>
    <row r="1402">
      <c r="M1402" s="37"/>
      <c r="N1402" s="37"/>
    </row>
    <row r="1403">
      <c r="M1403" s="37"/>
      <c r="N1403" s="37"/>
    </row>
    <row r="1404">
      <c r="M1404" s="37"/>
      <c r="N1404" s="37"/>
    </row>
    <row r="1405">
      <c r="M1405" s="37"/>
      <c r="N1405" s="37"/>
    </row>
    <row r="1406">
      <c r="M1406" s="37"/>
      <c r="N1406" s="37"/>
    </row>
    <row r="1407">
      <c r="M1407" s="37"/>
      <c r="N1407" s="37"/>
    </row>
    <row r="1408">
      <c r="M1408" s="37"/>
      <c r="N1408" s="37"/>
    </row>
    <row r="1409">
      <c r="M1409" s="37"/>
      <c r="N1409" s="37"/>
    </row>
    <row r="1410">
      <c r="M1410" s="37"/>
      <c r="N1410" s="37"/>
    </row>
    <row r="1411">
      <c r="M1411" s="37"/>
      <c r="N1411" s="37"/>
    </row>
    <row r="1412">
      <c r="M1412" s="37"/>
      <c r="N1412" s="37"/>
    </row>
    <row r="1413">
      <c r="M1413" s="37"/>
      <c r="N1413" s="37"/>
    </row>
    <row r="1414">
      <c r="M1414" s="37"/>
      <c r="N1414" s="37"/>
    </row>
    <row r="1415">
      <c r="M1415" s="37"/>
      <c r="N1415" s="37"/>
    </row>
    <row r="1416">
      <c r="M1416" s="37"/>
      <c r="N1416" s="37"/>
    </row>
    <row r="1417">
      <c r="M1417" s="37"/>
      <c r="N1417" s="37"/>
    </row>
    <row r="1418">
      <c r="M1418" s="37"/>
      <c r="N1418" s="37"/>
    </row>
    <row r="1419">
      <c r="M1419" s="37"/>
      <c r="N1419" s="37"/>
    </row>
    <row r="1420">
      <c r="M1420" s="37"/>
      <c r="N1420" s="37"/>
    </row>
    <row r="1421">
      <c r="M1421" s="37"/>
      <c r="N1421" s="37"/>
    </row>
    <row r="1422">
      <c r="M1422" s="37"/>
      <c r="N1422" s="37"/>
    </row>
    <row r="1423">
      <c r="M1423" s="37"/>
      <c r="N1423" s="37"/>
    </row>
    <row r="1424">
      <c r="M1424" s="37"/>
      <c r="N1424" s="37"/>
    </row>
    <row r="1425">
      <c r="M1425" s="37"/>
      <c r="N1425" s="37"/>
    </row>
    <row r="1426">
      <c r="M1426" s="37"/>
      <c r="N1426" s="37"/>
    </row>
    <row r="1427">
      <c r="M1427" s="37"/>
      <c r="N1427" s="37"/>
    </row>
    <row r="1428">
      <c r="M1428" s="37"/>
      <c r="N1428" s="37"/>
    </row>
    <row r="1429">
      <c r="M1429" s="37"/>
      <c r="N1429" s="37"/>
    </row>
    <row r="1430">
      <c r="M1430" s="37"/>
      <c r="N1430" s="37"/>
    </row>
    <row r="1431">
      <c r="M1431" s="37"/>
      <c r="N1431" s="37"/>
    </row>
    <row r="1432">
      <c r="M1432" s="37"/>
      <c r="N1432" s="37"/>
    </row>
    <row r="1433">
      <c r="M1433" s="37"/>
      <c r="N1433" s="37"/>
    </row>
    <row r="1434">
      <c r="M1434" s="37"/>
      <c r="N1434" s="37"/>
    </row>
    <row r="1435">
      <c r="M1435" s="37"/>
      <c r="N1435" s="37"/>
    </row>
    <row r="1436">
      <c r="M1436" s="37"/>
      <c r="N1436" s="37"/>
    </row>
    <row r="1437">
      <c r="M1437" s="37"/>
      <c r="N1437" s="37"/>
    </row>
    <row r="1438">
      <c r="M1438" s="37"/>
      <c r="N1438" s="37"/>
    </row>
    <row r="1439">
      <c r="M1439" s="37"/>
      <c r="N1439" s="37"/>
    </row>
    <row r="1440">
      <c r="M1440" s="37"/>
      <c r="N1440" s="37"/>
    </row>
    <row r="1441">
      <c r="M1441" s="37"/>
      <c r="N1441" s="37"/>
    </row>
    <row r="1442">
      <c r="M1442" s="37"/>
      <c r="N1442" s="37"/>
    </row>
    <row r="1443">
      <c r="M1443" s="37"/>
      <c r="N1443" s="37"/>
    </row>
    <row r="1444">
      <c r="M1444" s="37"/>
      <c r="N1444" s="37"/>
    </row>
    <row r="1445">
      <c r="M1445" s="37"/>
      <c r="N1445" s="37"/>
    </row>
    <row r="1446">
      <c r="M1446" s="37"/>
      <c r="N1446" s="37"/>
    </row>
    <row r="1447">
      <c r="M1447" s="37"/>
      <c r="N1447" s="37"/>
    </row>
    <row r="1448">
      <c r="M1448" s="37"/>
      <c r="N1448" s="37"/>
    </row>
    <row r="1449">
      <c r="M1449" s="37"/>
      <c r="N1449" s="37"/>
    </row>
    <row r="1450">
      <c r="M1450" s="37"/>
      <c r="N1450" s="37"/>
    </row>
    <row r="1451">
      <c r="M1451" s="37"/>
      <c r="N1451" s="37"/>
    </row>
    <row r="1452">
      <c r="M1452" s="37"/>
      <c r="N1452" s="37"/>
    </row>
    <row r="1453">
      <c r="M1453" s="37"/>
      <c r="N1453" s="37"/>
    </row>
    <row r="1454">
      <c r="M1454" s="37"/>
      <c r="N1454" s="37"/>
    </row>
    <row r="1455">
      <c r="M1455" s="37"/>
      <c r="N1455" s="37"/>
    </row>
    <row r="1456">
      <c r="M1456" s="37"/>
      <c r="N1456" s="37"/>
    </row>
    <row r="1457">
      <c r="M1457" s="37"/>
      <c r="N1457" s="37"/>
    </row>
    <row r="1458">
      <c r="M1458" s="37"/>
      <c r="N1458" s="37"/>
    </row>
    <row r="1459">
      <c r="M1459" s="37"/>
      <c r="N1459" s="37"/>
    </row>
    <row r="1460">
      <c r="M1460" s="37"/>
      <c r="N1460" s="37"/>
    </row>
    <row r="1461">
      <c r="M1461" s="37"/>
      <c r="N1461" s="37"/>
    </row>
    <row r="1462">
      <c r="M1462" s="37"/>
      <c r="N1462" s="37"/>
    </row>
    <row r="1463">
      <c r="M1463" s="37"/>
      <c r="N1463" s="37"/>
    </row>
    <row r="1464">
      <c r="M1464" s="37"/>
      <c r="N1464" s="37"/>
    </row>
    <row r="1465">
      <c r="M1465" s="37"/>
      <c r="N1465" s="37"/>
    </row>
    <row r="1466">
      <c r="M1466" s="37"/>
      <c r="N1466" s="37"/>
    </row>
    <row r="1467">
      <c r="M1467" s="37"/>
      <c r="N1467" s="37"/>
    </row>
    <row r="1468">
      <c r="M1468" s="37"/>
      <c r="N1468" s="37"/>
    </row>
    <row r="1469">
      <c r="M1469" s="37"/>
      <c r="N1469" s="37"/>
    </row>
    <row r="1470">
      <c r="M1470" s="37"/>
      <c r="N1470" s="37"/>
    </row>
    <row r="1471">
      <c r="M1471" s="37"/>
      <c r="N1471" s="37"/>
    </row>
    <row r="1472">
      <c r="M1472" s="37"/>
      <c r="N1472" s="37"/>
    </row>
    <row r="1473">
      <c r="M1473" s="37"/>
      <c r="N1473" s="37"/>
    </row>
    <row r="1474">
      <c r="M1474" s="37"/>
      <c r="N1474" s="37"/>
    </row>
    <row r="1475">
      <c r="M1475" s="37"/>
      <c r="N1475" s="37"/>
    </row>
    <row r="1476">
      <c r="M1476" s="37"/>
      <c r="N1476" s="37"/>
    </row>
    <row r="1477">
      <c r="M1477" s="37"/>
      <c r="N1477" s="37"/>
    </row>
    <row r="1478">
      <c r="M1478" s="37"/>
      <c r="N1478" s="37"/>
    </row>
    <row r="1479">
      <c r="M1479" s="37"/>
      <c r="N1479" s="37"/>
    </row>
    <row r="1480">
      <c r="M1480" s="37"/>
      <c r="N1480" s="37"/>
    </row>
    <row r="1481">
      <c r="M1481" s="37"/>
      <c r="N1481" s="37"/>
    </row>
    <row r="1482">
      <c r="M1482" s="37"/>
      <c r="N1482" s="37"/>
    </row>
    <row r="1483">
      <c r="M1483" s="37"/>
      <c r="N1483" s="37"/>
    </row>
    <row r="1484">
      <c r="M1484" s="37"/>
      <c r="N1484" s="37"/>
    </row>
    <row r="1485">
      <c r="M1485" s="37"/>
      <c r="N1485" s="37"/>
    </row>
    <row r="1486">
      <c r="M1486" s="37"/>
      <c r="N1486" s="37"/>
    </row>
    <row r="1487">
      <c r="M1487" s="37"/>
      <c r="N1487" s="37"/>
    </row>
    <row r="1488">
      <c r="M1488" s="37"/>
      <c r="N1488" s="37"/>
    </row>
    <row r="1489">
      <c r="M1489" s="37"/>
      <c r="N1489" s="37"/>
    </row>
    <row r="1490">
      <c r="M1490" s="37"/>
      <c r="N1490" s="37"/>
    </row>
    <row r="1491">
      <c r="M1491" s="37"/>
      <c r="N1491" s="37"/>
    </row>
    <row r="1492">
      <c r="M1492" s="37"/>
      <c r="N1492" s="37"/>
    </row>
    <row r="1493">
      <c r="M1493" s="37"/>
      <c r="N1493" s="37"/>
    </row>
    <row r="1494">
      <c r="M1494" s="37"/>
      <c r="N1494" s="37"/>
    </row>
    <row r="1495">
      <c r="M1495" s="37"/>
      <c r="N1495" s="37"/>
    </row>
    <row r="1496">
      <c r="M1496" s="37"/>
      <c r="N1496" s="37"/>
    </row>
    <row r="1497">
      <c r="M1497" s="37"/>
      <c r="N1497" s="37"/>
    </row>
    <row r="1498">
      <c r="M1498" s="37"/>
      <c r="N1498" s="37"/>
    </row>
    <row r="1499">
      <c r="M1499" s="37"/>
      <c r="N1499" s="37"/>
    </row>
    <row r="1500">
      <c r="M1500" s="37"/>
      <c r="N1500" s="37"/>
    </row>
    <row r="1501">
      <c r="M1501" s="37"/>
      <c r="N1501" s="37"/>
    </row>
    <row r="1502">
      <c r="M1502" s="37"/>
      <c r="N1502" s="37"/>
    </row>
    <row r="1503">
      <c r="M1503" s="37"/>
      <c r="N1503" s="37"/>
    </row>
    <row r="1504">
      <c r="M1504" s="37"/>
      <c r="N1504" s="37"/>
    </row>
    <row r="1505">
      <c r="M1505" s="37"/>
      <c r="N1505" s="37"/>
    </row>
    <row r="1506">
      <c r="M1506" s="37"/>
      <c r="N1506" s="37"/>
    </row>
    <row r="1507">
      <c r="M1507" s="37"/>
      <c r="N1507" s="37"/>
    </row>
    <row r="1508">
      <c r="M1508" s="37"/>
      <c r="N1508" s="37"/>
    </row>
    <row r="1509">
      <c r="M1509" s="37"/>
      <c r="N1509" s="37"/>
    </row>
    <row r="1510">
      <c r="M1510" s="37"/>
      <c r="N1510" s="37"/>
    </row>
    <row r="1511">
      <c r="M1511" s="37"/>
      <c r="N1511" s="37"/>
    </row>
    <row r="1512">
      <c r="M1512" s="37"/>
      <c r="N1512" s="37"/>
    </row>
    <row r="1513">
      <c r="M1513" s="37"/>
      <c r="N1513" s="37"/>
    </row>
    <row r="1514">
      <c r="M1514" s="37"/>
      <c r="N1514" s="37"/>
    </row>
    <row r="1515">
      <c r="M1515" s="37"/>
      <c r="N1515" s="37"/>
    </row>
    <row r="1516">
      <c r="M1516" s="37"/>
      <c r="N1516" s="37"/>
    </row>
    <row r="1517">
      <c r="M1517" s="37"/>
      <c r="N1517" s="37"/>
    </row>
    <row r="1518">
      <c r="M1518" s="37"/>
      <c r="N1518" s="37"/>
    </row>
    <row r="1519">
      <c r="M1519" s="37"/>
      <c r="N1519" s="37"/>
    </row>
    <row r="1520">
      <c r="M1520" s="37"/>
      <c r="N1520" s="37"/>
    </row>
    <row r="1521">
      <c r="M1521" s="37"/>
      <c r="N1521" s="37"/>
    </row>
    <row r="1522">
      <c r="M1522" s="37"/>
      <c r="N1522" s="37"/>
    </row>
    <row r="1523">
      <c r="M1523" s="37"/>
      <c r="N1523" s="37"/>
    </row>
    <row r="1524">
      <c r="M1524" s="37"/>
      <c r="N1524" s="37"/>
    </row>
    <row r="1525">
      <c r="M1525" s="37"/>
      <c r="N1525" s="37"/>
    </row>
    <row r="1526">
      <c r="M1526" s="37"/>
      <c r="N1526" s="37"/>
    </row>
    <row r="1527">
      <c r="M1527" s="37"/>
      <c r="N1527" s="37"/>
    </row>
    <row r="1528">
      <c r="M1528" s="37"/>
      <c r="N1528" s="37"/>
    </row>
    <row r="1529">
      <c r="M1529" s="37"/>
      <c r="N1529" s="37"/>
    </row>
    <row r="1530">
      <c r="M1530" s="37"/>
      <c r="N1530" s="37"/>
    </row>
    <row r="1531">
      <c r="M1531" s="37"/>
      <c r="N1531" s="37"/>
    </row>
    <row r="1532">
      <c r="M1532" s="37"/>
      <c r="N1532" s="37"/>
    </row>
    <row r="1533">
      <c r="M1533" s="37"/>
      <c r="N1533" s="37"/>
    </row>
    <row r="1534">
      <c r="M1534" s="37"/>
      <c r="N1534" s="37"/>
    </row>
    <row r="1535">
      <c r="M1535" s="37"/>
      <c r="N1535" s="37"/>
    </row>
    <row r="1536">
      <c r="M1536" s="37"/>
      <c r="N1536" s="37"/>
    </row>
    <row r="1537">
      <c r="M1537" s="37"/>
      <c r="N1537" s="37"/>
    </row>
    <row r="1538">
      <c r="M1538" s="37"/>
      <c r="N1538" s="37"/>
    </row>
    <row r="1539">
      <c r="M1539" s="37"/>
      <c r="N1539" s="37"/>
    </row>
    <row r="1540">
      <c r="M1540" s="37"/>
      <c r="N1540" s="37"/>
    </row>
    <row r="1541">
      <c r="M1541" s="37"/>
      <c r="N1541" s="37"/>
    </row>
    <row r="1542">
      <c r="M1542" s="37"/>
      <c r="N1542" s="37"/>
    </row>
    <row r="1543">
      <c r="M1543" s="37"/>
      <c r="N1543" s="37"/>
    </row>
    <row r="1544">
      <c r="M1544" s="37"/>
      <c r="N1544" s="37"/>
    </row>
    <row r="1545">
      <c r="M1545" s="37"/>
      <c r="N1545" s="37"/>
    </row>
    <row r="1546">
      <c r="M1546" s="37"/>
      <c r="N1546" s="37"/>
    </row>
    <row r="1547">
      <c r="M1547" s="37"/>
      <c r="N1547" s="37"/>
    </row>
    <row r="1548">
      <c r="M1548" s="37"/>
      <c r="N1548" s="37"/>
    </row>
    <row r="1549">
      <c r="M1549" s="37"/>
      <c r="N1549" s="37"/>
    </row>
    <row r="1550">
      <c r="M1550" s="37"/>
      <c r="N1550" s="37"/>
    </row>
    <row r="1551">
      <c r="M1551" s="37"/>
      <c r="N1551" s="37"/>
    </row>
    <row r="1552">
      <c r="M1552" s="37"/>
      <c r="N1552" s="37"/>
    </row>
    <row r="1553">
      <c r="M1553" s="37"/>
      <c r="N1553" s="37"/>
    </row>
    <row r="1554">
      <c r="M1554" s="37"/>
      <c r="N1554" s="37"/>
    </row>
    <row r="1555">
      <c r="M1555" s="37"/>
      <c r="N1555" s="37"/>
    </row>
    <row r="1556">
      <c r="M1556" s="37"/>
      <c r="N1556" s="37"/>
    </row>
    <row r="1557">
      <c r="M1557" s="37"/>
      <c r="N1557" s="37"/>
    </row>
    <row r="1558">
      <c r="M1558" s="37"/>
      <c r="N1558" s="37"/>
    </row>
    <row r="1559">
      <c r="M1559" s="37"/>
      <c r="N1559" s="37"/>
    </row>
    <row r="1560">
      <c r="M1560" s="37"/>
      <c r="N1560" s="37"/>
    </row>
    <row r="1561">
      <c r="M1561" s="37"/>
      <c r="N1561" s="37"/>
    </row>
    <row r="1562">
      <c r="M1562" s="37"/>
      <c r="N1562" s="37"/>
    </row>
    <row r="1563">
      <c r="M1563" s="37"/>
      <c r="N1563" s="37"/>
    </row>
    <row r="1564">
      <c r="M1564" s="37"/>
      <c r="N1564" s="37"/>
    </row>
    <row r="1565">
      <c r="M1565" s="37"/>
      <c r="N1565" s="37"/>
    </row>
    <row r="1566">
      <c r="M1566" s="37"/>
      <c r="N1566" s="37"/>
    </row>
    <row r="1567">
      <c r="M1567" s="37"/>
      <c r="N1567" s="37"/>
    </row>
    <row r="1568">
      <c r="M1568" s="37"/>
      <c r="N1568" s="37"/>
    </row>
    <row r="1569">
      <c r="M1569" s="37"/>
      <c r="N1569" s="37"/>
    </row>
    <row r="1570">
      <c r="M1570" s="37"/>
      <c r="N1570" s="37"/>
    </row>
    <row r="1571">
      <c r="M1571" s="37"/>
      <c r="N1571" s="37"/>
    </row>
    <row r="1572">
      <c r="M1572" s="37"/>
      <c r="N1572" s="37"/>
    </row>
    <row r="1573">
      <c r="M1573" s="37"/>
      <c r="N1573" s="37"/>
    </row>
    <row r="1574">
      <c r="M1574" s="37"/>
      <c r="N1574" s="37"/>
    </row>
    <row r="1575">
      <c r="M1575" s="37"/>
      <c r="N1575" s="37"/>
    </row>
    <row r="1576">
      <c r="M1576" s="37"/>
      <c r="N1576" s="37"/>
    </row>
    <row r="1577">
      <c r="M1577" s="37"/>
      <c r="N1577" s="37"/>
    </row>
    <row r="1578">
      <c r="M1578" s="37"/>
      <c r="N1578" s="37"/>
    </row>
    <row r="1579">
      <c r="M1579" s="37"/>
      <c r="N1579" s="37"/>
    </row>
    <row r="1580">
      <c r="M1580" s="37"/>
      <c r="N1580" s="37"/>
    </row>
    <row r="1581">
      <c r="M1581" s="37"/>
      <c r="N1581" s="37"/>
    </row>
    <row r="1582">
      <c r="M1582" s="37"/>
      <c r="N1582" s="37"/>
    </row>
    <row r="1583">
      <c r="M1583" s="37"/>
      <c r="N1583" s="37"/>
    </row>
    <row r="1584">
      <c r="M1584" s="37"/>
      <c r="N1584" s="37"/>
    </row>
    <row r="1585">
      <c r="M1585" s="37"/>
      <c r="N1585" s="37"/>
    </row>
    <row r="1586">
      <c r="M1586" s="37"/>
      <c r="N1586" s="37"/>
    </row>
    <row r="1587">
      <c r="M1587" s="37"/>
      <c r="N1587" s="37"/>
    </row>
    <row r="1588">
      <c r="M1588" s="37"/>
      <c r="N1588" s="37"/>
    </row>
    <row r="1589">
      <c r="M1589" s="37"/>
      <c r="N1589" s="37"/>
    </row>
    <row r="1590">
      <c r="M1590" s="37"/>
      <c r="N1590" s="37"/>
    </row>
    <row r="1591">
      <c r="M1591" s="37"/>
      <c r="N1591" s="37"/>
    </row>
    <row r="1592">
      <c r="M1592" s="37"/>
      <c r="N1592" s="37"/>
    </row>
    <row r="1593">
      <c r="M1593" s="37"/>
      <c r="N1593" s="37"/>
    </row>
    <row r="1594">
      <c r="M1594" s="37"/>
      <c r="N1594" s="37"/>
    </row>
    <row r="1595">
      <c r="M1595" s="37"/>
      <c r="N1595" s="37"/>
    </row>
  </sheetData>
  <autoFilter ref="$A$1:$N$8"/>
  <conditionalFormatting sqref="N2 N4:N8">
    <cfRule type="colorScale" priority="1">
      <colorScale>
        <cfvo type="min"/>
        <cfvo type="max"/>
        <color rgb="FFFFFFFF"/>
        <color rgb="FFFFD666"/>
      </colorScale>
    </cfRule>
  </conditionalFormatting>
  <conditionalFormatting sqref="H4:J8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38"/>
      <c r="G1" s="38"/>
      <c r="H1" s="38"/>
      <c r="I1" s="38"/>
      <c r="J1" s="38"/>
      <c r="K1" s="38"/>
      <c r="L1" s="38"/>
      <c r="M1" s="42"/>
      <c r="N1" s="38"/>
      <c r="O1" s="42"/>
      <c r="P1" s="42"/>
      <c r="Q1" s="43"/>
    </row>
    <row r="2">
      <c r="A2" s="40">
        <v>48.0</v>
      </c>
      <c r="B2" s="44" t="s">
        <v>17</v>
      </c>
      <c r="C2" s="41">
        <v>45679.0</v>
      </c>
      <c r="D2" s="45">
        <v>395.0</v>
      </c>
      <c r="E2" s="45" t="s">
        <v>15</v>
      </c>
      <c r="F2" s="45">
        <v>57.9999999999999</v>
      </c>
      <c r="G2" s="46"/>
      <c r="H2" s="46"/>
      <c r="I2" s="46"/>
      <c r="J2" s="46"/>
      <c r="K2" s="46">
        <v>2.0</v>
      </c>
      <c r="L2" s="46">
        <v>153.7</v>
      </c>
      <c r="M2" s="47">
        <v>3507.81</v>
      </c>
      <c r="N2" s="45">
        <v>30.0</v>
      </c>
      <c r="O2" s="46"/>
      <c r="P2" s="46">
        <v>22.82244632400781</v>
      </c>
      <c r="Q2" s="44">
        <v>9.0</v>
      </c>
    </row>
    <row r="3">
      <c r="A3" s="45">
        <v>55.0</v>
      </c>
      <c r="B3" s="44" t="s">
        <v>18</v>
      </c>
      <c r="C3" s="41">
        <v>45679.0</v>
      </c>
      <c r="D3" s="45">
        <v>724.0</v>
      </c>
      <c r="E3" s="45" t="s">
        <v>15</v>
      </c>
      <c r="F3" s="46">
        <v>61.0</v>
      </c>
      <c r="G3" s="46"/>
      <c r="H3" s="46"/>
      <c r="I3" s="46"/>
      <c r="J3" s="46"/>
      <c r="K3" s="46">
        <v>7.0</v>
      </c>
      <c r="L3" s="46">
        <v>174.21</v>
      </c>
      <c r="M3" s="46">
        <v>1825.8099999999997</v>
      </c>
      <c r="N3" s="46">
        <v>30.0</v>
      </c>
      <c r="O3" s="46"/>
      <c r="P3" s="46">
        <v>10.480512025716088</v>
      </c>
      <c r="Q3" s="44">
        <v>9.0</v>
      </c>
    </row>
    <row r="4">
      <c r="A4" s="45">
        <v>59.0</v>
      </c>
      <c r="B4" s="45" t="s">
        <v>19</v>
      </c>
      <c r="C4" s="41">
        <v>45680.0</v>
      </c>
      <c r="D4" s="45">
        <v>1051.0</v>
      </c>
      <c r="E4" s="45" t="s">
        <v>15</v>
      </c>
      <c r="F4" s="46">
        <v>62.0</v>
      </c>
      <c r="G4" s="46"/>
      <c r="H4" s="46"/>
      <c r="I4" s="46"/>
      <c r="J4" s="46"/>
      <c r="K4" s="46">
        <v>3.0</v>
      </c>
      <c r="L4" s="46">
        <v>171.72</v>
      </c>
      <c r="M4" s="48">
        <v>5053.5599999999995</v>
      </c>
      <c r="N4" s="46">
        <v>25.0</v>
      </c>
      <c r="O4" s="46"/>
      <c r="P4" s="46">
        <v>29.429070580013974</v>
      </c>
      <c r="Q4" s="44">
        <v>7.5</v>
      </c>
    </row>
    <row r="5">
      <c r="A5" s="25">
        <v>77.0</v>
      </c>
      <c r="B5" s="25" t="s">
        <v>20</v>
      </c>
      <c r="C5" s="14">
        <v>45677.0</v>
      </c>
      <c r="D5" s="16">
        <v>931.0</v>
      </c>
      <c r="E5" s="16" t="s">
        <v>15</v>
      </c>
      <c r="F5" s="45">
        <v>60.0</v>
      </c>
      <c r="G5" s="45"/>
      <c r="H5" s="45"/>
      <c r="I5" s="45"/>
      <c r="J5" s="45"/>
      <c r="K5" s="45">
        <v>11.0</v>
      </c>
      <c r="L5" s="45">
        <v>190.1</v>
      </c>
      <c r="M5" s="49">
        <f>2.59+
1339.47+
236.53
</f>
        <v>1578.59</v>
      </c>
      <c r="N5" s="45">
        <v>40.0</v>
      </c>
      <c r="O5" s="46"/>
      <c r="P5" s="46">
        <f t="shared" ref="P5:P6" si="1">M5/L5</f>
        <v>8.303997896</v>
      </c>
    </row>
    <row r="6">
      <c r="A6" s="25">
        <v>148.0</v>
      </c>
      <c r="B6" s="25" t="s">
        <v>21</v>
      </c>
      <c r="C6" s="14">
        <v>45677.0</v>
      </c>
      <c r="D6" s="16">
        <v>112.0</v>
      </c>
      <c r="E6" s="16" t="s">
        <v>15</v>
      </c>
      <c r="L6" s="50">
        <v>127.26</v>
      </c>
      <c r="M6" s="51">
        <f>1920.79+
729.18+
-17.44
</f>
        <v>2632.53</v>
      </c>
      <c r="N6" s="45">
        <v>40.0</v>
      </c>
      <c r="O6" s="46"/>
      <c r="P6" s="46">
        <f t="shared" si="1"/>
        <v>20.68623291</v>
      </c>
    </row>
    <row r="7">
      <c r="M7" s="37"/>
      <c r="O7" s="37"/>
      <c r="P7" s="37"/>
    </row>
    <row r="8">
      <c r="F8" s="52"/>
      <c r="G8" s="52"/>
      <c r="H8" s="52"/>
      <c r="I8" s="52"/>
      <c r="J8" s="52"/>
      <c r="K8" s="52"/>
      <c r="L8" s="52"/>
      <c r="M8" s="46"/>
      <c r="N8" s="52"/>
      <c r="O8" s="46"/>
      <c r="P8" s="46"/>
    </row>
    <row r="9">
      <c r="F9" s="52"/>
      <c r="G9" s="52"/>
      <c r="H9" s="52"/>
      <c r="I9" s="52"/>
      <c r="J9" s="52"/>
      <c r="K9" s="52"/>
      <c r="L9" s="52"/>
      <c r="M9" s="46"/>
      <c r="N9" s="52"/>
      <c r="O9" s="46"/>
      <c r="P9" s="46"/>
    </row>
    <row r="10">
      <c r="F10" s="52"/>
      <c r="G10" s="52"/>
      <c r="H10" s="52"/>
      <c r="I10" s="52"/>
      <c r="J10" s="52"/>
      <c r="K10" s="52"/>
      <c r="L10" s="52"/>
      <c r="M10" s="46"/>
      <c r="N10" s="52"/>
      <c r="O10" s="46"/>
      <c r="P10" s="46"/>
    </row>
    <row r="11">
      <c r="E11" s="53" t="s">
        <v>22</v>
      </c>
      <c r="L11" s="45" t="s">
        <v>23</v>
      </c>
      <c r="M11" s="47" t="s">
        <v>24</v>
      </c>
      <c r="N11" s="54" t="s">
        <v>25</v>
      </c>
      <c r="O11" s="37"/>
      <c r="P11" s="37"/>
    </row>
    <row r="12">
      <c r="E12" s="53" t="s">
        <v>26</v>
      </c>
      <c r="L12" s="45" t="s">
        <v>27</v>
      </c>
      <c r="M12" s="47" t="s">
        <v>28</v>
      </c>
      <c r="N12" s="54" t="s">
        <v>29</v>
      </c>
      <c r="O12" s="37"/>
      <c r="P12" s="37"/>
    </row>
    <row r="13">
      <c r="M13" s="37"/>
      <c r="O13" s="37"/>
      <c r="P13" s="37"/>
    </row>
    <row r="14">
      <c r="F14" s="52"/>
      <c r="G14" s="52"/>
      <c r="H14" s="52"/>
      <c r="I14" s="52"/>
      <c r="J14" s="52"/>
      <c r="K14" s="52"/>
      <c r="L14" s="52"/>
      <c r="M14" s="46"/>
      <c r="N14" s="52"/>
      <c r="O14" s="46"/>
      <c r="P14" s="46"/>
    </row>
    <row r="15">
      <c r="F15" s="52"/>
      <c r="G15" s="52"/>
      <c r="H15" s="52"/>
      <c r="I15" s="52"/>
      <c r="J15" s="52"/>
      <c r="K15" s="52"/>
      <c r="L15" s="52"/>
      <c r="M15" s="46"/>
      <c r="N15" s="52"/>
      <c r="O15" s="46"/>
      <c r="P15" s="46"/>
    </row>
    <row r="16">
      <c r="A16" s="55">
        <v>48.0</v>
      </c>
      <c r="B16" s="56" t="s">
        <v>17</v>
      </c>
      <c r="C16" s="41">
        <v>45679.0</v>
      </c>
      <c r="D16" s="57">
        <v>1363.0</v>
      </c>
      <c r="E16" s="45" t="s">
        <v>15</v>
      </c>
      <c r="F16" s="45">
        <v>57.5213675213675</v>
      </c>
      <c r="G16" s="46"/>
      <c r="H16" s="46"/>
      <c r="I16" s="46"/>
      <c r="J16" s="46"/>
      <c r="K16" s="46">
        <v>5.99999999999999</v>
      </c>
      <c r="L16" s="46">
        <v>127.72</v>
      </c>
      <c r="M16" s="46">
        <v>958.71</v>
      </c>
      <c r="N16" s="45">
        <v>40.0</v>
      </c>
      <c r="O16" s="46"/>
      <c r="P16" s="46">
        <v>7.50634199812089</v>
      </c>
      <c r="Q16" s="44">
        <v>12.0</v>
      </c>
    </row>
    <row r="17">
      <c r="A17" s="45">
        <v>55.0</v>
      </c>
      <c r="B17" s="44" t="s">
        <v>18</v>
      </c>
      <c r="C17" s="41">
        <v>45679.0</v>
      </c>
      <c r="D17" s="45">
        <v>724.0</v>
      </c>
      <c r="E17" s="45" t="s">
        <v>15</v>
      </c>
      <c r="F17" s="46">
        <v>57.7626974489822</v>
      </c>
      <c r="G17" s="46"/>
      <c r="H17" s="46"/>
      <c r="I17" s="46"/>
      <c r="J17" s="46"/>
      <c r="K17" s="46">
        <v>7.0</v>
      </c>
      <c r="L17" s="46">
        <v>174.21</v>
      </c>
      <c r="M17" s="46">
        <v>1825.8099999999997</v>
      </c>
      <c r="N17" s="46">
        <v>30.0</v>
      </c>
      <c r="O17" s="46"/>
      <c r="P17" s="46">
        <v>10.480512025716088</v>
      </c>
      <c r="Q17" s="44">
        <v>9.0</v>
      </c>
    </row>
    <row r="18">
      <c r="A18" s="45">
        <v>59.0</v>
      </c>
      <c r="B18" s="45" t="s">
        <v>19</v>
      </c>
      <c r="C18" s="41">
        <v>45680.0</v>
      </c>
      <c r="D18" s="45">
        <v>935.0</v>
      </c>
      <c r="E18" s="45" t="s">
        <v>15</v>
      </c>
      <c r="F18" s="46">
        <v>61.8147668934429</v>
      </c>
      <c r="G18" s="46"/>
      <c r="H18" s="46"/>
      <c r="I18" s="46"/>
      <c r="J18" s="46"/>
      <c r="K18" s="46">
        <v>5.0</v>
      </c>
      <c r="L18" s="46">
        <v>149.66</v>
      </c>
      <c r="M18" s="46">
        <v>8422.4</v>
      </c>
      <c r="N18" s="46"/>
      <c r="O18" s="46"/>
      <c r="P18" s="46">
        <v>56.27689429373246</v>
      </c>
      <c r="Q18" s="44">
        <v>0.0</v>
      </c>
    </row>
    <row r="19">
      <c r="A19" s="57">
        <v>77.0</v>
      </c>
      <c r="B19" s="57" t="s">
        <v>20</v>
      </c>
      <c r="C19" s="41">
        <v>45677.0</v>
      </c>
      <c r="D19" s="57">
        <v>47.0</v>
      </c>
      <c r="E19" s="45" t="s">
        <v>15</v>
      </c>
      <c r="F19" s="46">
        <v>60.7563651137594</v>
      </c>
      <c r="G19" s="46"/>
      <c r="H19" s="46"/>
      <c r="I19" s="46"/>
      <c r="J19" s="46"/>
      <c r="K19" s="46">
        <v>12.0</v>
      </c>
      <c r="L19" s="46">
        <v>152.96</v>
      </c>
      <c r="M19" s="46">
        <v>2356.64</v>
      </c>
      <c r="N19" s="45">
        <v>60.0</v>
      </c>
      <c r="O19" s="46"/>
      <c r="P19" s="46">
        <v>15.406903765690375</v>
      </c>
      <c r="Q19" s="44">
        <v>18.0</v>
      </c>
    </row>
    <row r="20">
      <c r="A20" s="45">
        <v>148.0</v>
      </c>
      <c r="B20" s="45" t="s">
        <v>21</v>
      </c>
      <c r="C20" s="41">
        <v>45677.0</v>
      </c>
      <c r="D20" s="45">
        <v>1475.0</v>
      </c>
      <c r="E20" s="45" t="s">
        <v>15</v>
      </c>
      <c r="F20" s="46">
        <v>56.4173196363555</v>
      </c>
      <c r="G20" s="46"/>
      <c r="H20" s="46"/>
      <c r="I20" s="46"/>
      <c r="J20" s="46"/>
      <c r="K20" s="46">
        <v>6.99999999999999</v>
      </c>
      <c r="L20" s="46">
        <v>101.46</v>
      </c>
      <c r="M20" s="46">
        <v>795.72</v>
      </c>
      <c r="N20" s="45">
        <v>30.0</v>
      </c>
      <c r="O20" s="46"/>
      <c r="P20" s="46">
        <v>7.842696629213484</v>
      </c>
      <c r="Q20" s="44">
        <v>9.0</v>
      </c>
    </row>
    <row r="21">
      <c r="M21" s="37"/>
      <c r="O21" s="37"/>
      <c r="P21" s="37"/>
    </row>
    <row r="24">
      <c r="C24" s="38" t="s">
        <v>30</v>
      </c>
    </row>
    <row r="25">
      <c r="C25" s="50" t="s">
        <v>31</v>
      </c>
    </row>
    <row r="26">
      <c r="C26" s="58" t="s">
        <v>5</v>
      </c>
    </row>
    <row r="27">
      <c r="C27" s="59" t="s">
        <v>32</v>
      </c>
    </row>
    <row r="28">
      <c r="C28" s="57" t="s">
        <v>33</v>
      </c>
    </row>
    <row r="30">
      <c r="C30" s="60" t="s">
        <v>34</v>
      </c>
    </row>
    <row r="31">
      <c r="C31" s="38" t="s">
        <v>35</v>
      </c>
      <c r="L31" s="38" t="s">
        <v>29</v>
      </c>
      <c r="Q31" s="38" t="s">
        <v>36</v>
      </c>
      <c r="Z31" s="38" t="s">
        <v>28</v>
      </c>
      <c r="AH31" s="38" t="s">
        <v>37</v>
      </c>
    </row>
    <row r="32">
      <c r="C32" s="61">
        <v>1243.0</v>
      </c>
      <c r="D32" s="38">
        <v>52.0</v>
      </c>
      <c r="E32" s="38">
        <v>1146.0</v>
      </c>
      <c r="F32" s="38">
        <v>860.0</v>
      </c>
      <c r="G32" s="45">
        <v>1444.0</v>
      </c>
      <c r="H32" s="45">
        <v>1257.0</v>
      </c>
      <c r="I32" s="45">
        <v>408.0</v>
      </c>
      <c r="J32" s="45">
        <v>1146.0</v>
      </c>
      <c r="L32" s="62">
        <v>1494.0</v>
      </c>
      <c r="M32" s="63">
        <v>1339.0</v>
      </c>
      <c r="N32" s="63">
        <v>1338.0</v>
      </c>
      <c r="O32" s="45">
        <v>1359.0</v>
      </c>
      <c r="Q32" s="61">
        <v>916.0</v>
      </c>
      <c r="R32" s="38">
        <v>176.0</v>
      </c>
      <c r="S32" s="64">
        <v>364.0</v>
      </c>
      <c r="T32" s="38">
        <v>734.0</v>
      </c>
      <c r="U32" s="38">
        <v>807.0</v>
      </c>
      <c r="V32" s="38">
        <v>806.0</v>
      </c>
      <c r="W32" s="45">
        <v>1375.0</v>
      </c>
      <c r="X32" s="57">
        <v>808.0</v>
      </c>
      <c r="Z32" s="50">
        <v>565.0</v>
      </c>
      <c r="AA32" s="45">
        <v>44.0</v>
      </c>
      <c r="AB32" s="45">
        <v>56.0</v>
      </c>
      <c r="AC32" s="58">
        <v>728.0</v>
      </c>
      <c r="AD32" s="45">
        <v>795.0</v>
      </c>
      <c r="AE32" s="45">
        <v>59.0</v>
      </c>
      <c r="AF32" s="59">
        <v>1447.0</v>
      </c>
      <c r="AH32" s="61">
        <v>38.0</v>
      </c>
      <c r="AI32" s="38">
        <v>217.0</v>
      </c>
      <c r="AJ32" s="38">
        <v>229.0</v>
      </c>
      <c r="AK32" s="38">
        <v>245.0</v>
      </c>
      <c r="AL32" s="38">
        <v>930.0</v>
      </c>
      <c r="AM32" s="58">
        <v>447.0</v>
      </c>
      <c r="AN32" s="45">
        <v>561.0</v>
      </c>
      <c r="AO32" s="45">
        <v>44.0</v>
      </c>
      <c r="AP32" s="57">
        <v>194.0</v>
      </c>
    </row>
    <row r="33">
      <c r="C33" s="65">
        <f t="shared" ref="C33:J33" si="2">SUM(C34:C47)</f>
        <v>2.25</v>
      </c>
      <c r="D33" s="44">
        <f t="shared" si="2"/>
        <v>-12.37</v>
      </c>
      <c r="E33" s="44">
        <f t="shared" si="2"/>
        <v>-24.21</v>
      </c>
      <c r="F33" s="44">
        <f t="shared" si="2"/>
        <v>11.79</v>
      </c>
      <c r="G33" s="44">
        <f t="shared" si="2"/>
        <v>-15.52</v>
      </c>
      <c r="H33" s="44">
        <f t="shared" si="2"/>
        <v>-8.53</v>
      </c>
      <c r="I33" s="44">
        <f t="shared" si="2"/>
        <v>-4.23</v>
      </c>
      <c r="J33" s="44">
        <f t="shared" si="2"/>
        <v>-24.21</v>
      </c>
      <c r="L33" s="65">
        <f>SUM(L34:L51)</f>
        <v>-1.5</v>
      </c>
      <c r="M33" s="44">
        <f t="shared" ref="M33:O33" si="3">SUM(M34:M47)</f>
        <v>24.31</v>
      </c>
      <c r="N33" s="44">
        <f t="shared" si="3"/>
        <v>31.5</v>
      </c>
      <c r="O33" s="44">
        <f t="shared" si="3"/>
        <v>-5.84</v>
      </c>
      <c r="Q33" s="65">
        <f>SUM(Q34:Q51)</f>
        <v>-7.31</v>
      </c>
      <c r="R33" s="44">
        <f t="shared" ref="R33:W33" si="4">SUM(R34:R47)</f>
        <v>-20.51</v>
      </c>
      <c r="S33" s="66">
        <f t="shared" si="4"/>
        <v>-10.26</v>
      </c>
      <c r="T33" s="44">
        <f t="shared" si="4"/>
        <v>7.35</v>
      </c>
      <c r="U33" s="44">
        <f t="shared" si="4"/>
        <v>17.63</v>
      </c>
      <c r="V33" s="44">
        <f t="shared" si="4"/>
        <v>4.01</v>
      </c>
      <c r="W33" s="44">
        <f t="shared" si="4"/>
        <v>-18.07</v>
      </c>
      <c r="X33" s="56"/>
      <c r="Z33" s="44">
        <f t="shared" ref="Z33:AF33" si="5">SUM(Z34:Z101)</f>
        <v>-14.05</v>
      </c>
      <c r="AA33" s="44">
        <f t="shared" si="5"/>
        <v>18.35</v>
      </c>
      <c r="AB33" s="44">
        <f t="shared" si="5"/>
        <v>17.99</v>
      </c>
      <c r="AC33" s="66">
        <f t="shared" si="5"/>
        <v>13.54</v>
      </c>
      <c r="AD33" s="44">
        <f t="shared" si="5"/>
        <v>-12.75</v>
      </c>
      <c r="AE33" s="44">
        <f t="shared" si="5"/>
        <v>2</v>
      </c>
      <c r="AF33" s="67">
        <f t="shared" si="5"/>
        <v>22.18</v>
      </c>
      <c r="AH33" s="65">
        <f t="shared" ref="AH33:AO33" si="6">SUM(AH34:AH49)</f>
        <v>4</v>
      </c>
      <c r="AI33" s="44">
        <f t="shared" si="6"/>
        <v>-23.73</v>
      </c>
      <c r="AJ33" s="44">
        <f t="shared" si="6"/>
        <v>-49.24</v>
      </c>
      <c r="AK33" s="44">
        <f t="shared" si="6"/>
        <v>-59.85</v>
      </c>
      <c r="AL33" s="44">
        <f t="shared" si="6"/>
        <v>16.48</v>
      </c>
      <c r="AM33" s="66">
        <f t="shared" si="6"/>
        <v>1.43</v>
      </c>
      <c r="AN33" s="44">
        <f t="shared" si="6"/>
        <v>-17.53</v>
      </c>
      <c r="AO33" s="67">
        <f t="shared" si="6"/>
        <v>-19.7</v>
      </c>
    </row>
    <row r="34">
      <c r="C34" s="50">
        <v>5.02</v>
      </c>
      <c r="D34" s="45">
        <v>-4.03</v>
      </c>
      <c r="E34" s="45">
        <v>-4.1</v>
      </c>
      <c r="F34" s="45">
        <v>5.45</v>
      </c>
      <c r="G34" s="45">
        <v>4.25</v>
      </c>
      <c r="H34" s="45">
        <v>5.13</v>
      </c>
      <c r="I34" s="45">
        <v>5.13</v>
      </c>
      <c r="J34" s="45">
        <v>-4.1</v>
      </c>
      <c r="L34" s="50">
        <v>-4.2</v>
      </c>
      <c r="M34" s="45">
        <v>-5.95</v>
      </c>
      <c r="N34" s="45">
        <v>-4.77</v>
      </c>
      <c r="Q34" s="50">
        <v>-4.13</v>
      </c>
      <c r="R34" s="45">
        <v>-4.63</v>
      </c>
      <c r="S34" s="58">
        <v>-4.23</v>
      </c>
      <c r="T34" s="45">
        <v>-3.89</v>
      </c>
      <c r="U34" s="45">
        <v>-3.73</v>
      </c>
      <c r="V34" s="45">
        <v>-4.14</v>
      </c>
      <c r="W34" s="45">
        <v>-4.94</v>
      </c>
      <c r="X34" s="56"/>
      <c r="Z34" s="50">
        <v>1.43</v>
      </c>
      <c r="AA34" s="45">
        <v>1.9</v>
      </c>
      <c r="AB34" s="45">
        <v>1.9</v>
      </c>
      <c r="AC34" s="58">
        <v>1.94</v>
      </c>
      <c r="AD34" s="45">
        <v>1.93</v>
      </c>
      <c r="AE34" s="45">
        <v>1.88</v>
      </c>
      <c r="AF34" s="59">
        <v>1.5</v>
      </c>
      <c r="AH34" s="50">
        <v>14.41</v>
      </c>
      <c r="AI34" s="45">
        <v>-6.68</v>
      </c>
      <c r="AJ34" s="45">
        <v>-6.12</v>
      </c>
      <c r="AK34" s="45">
        <v>-5.47</v>
      </c>
      <c r="AL34" s="45">
        <v>-3.91</v>
      </c>
      <c r="AM34" s="58">
        <v>4.85</v>
      </c>
      <c r="AN34" s="45">
        <v>-6.38</v>
      </c>
      <c r="AO34" s="45">
        <v>-6.99</v>
      </c>
    </row>
    <row r="35">
      <c r="C35" s="50">
        <v>-6.5</v>
      </c>
      <c r="D35" s="45">
        <v>-6.7</v>
      </c>
      <c r="E35" s="45">
        <v>-7.34</v>
      </c>
      <c r="F35" s="45">
        <v>-6.92</v>
      </c>
      <c r="G35" s="45">
        <v>-4.1</v>
      </c>
      <c r="H35" s="45">
        <v>-6.16</v>
      </c>
      <c r="I35" s="45">
        <v>-6.38</v>
      </c>
      <c r="J35" s="45">
        <v>-7.34</v>
      </c>
      <c r="L35" s="50">
        <v>8.48</v>
      </c>
      <c r="M35" s="45">
        <v>-3.97</v>
      </c>
      <c r="N35" s="45">
        <v>-4.28</v>
      </c>
      <c r="Q35" s="50">
        <v>-3.67</v>
      </c>
      <c r="R35" s="45">
        <v>-3.81</v>
      </c>
      <c r="S35" s="58">
        <v>-3.51</v>
      </c>
      <c r="T35" s="45">
        <v>-4.64</v>
      </c>
      <c r="U35" s="45">
        <v>-4.0</v>
      </c>
      <c r="V35" s="45">
        <v>-4.94</v>
      </c>
      <c r="W35" s="45">
        <v>-4.28</v>
      </c>
      <c r="X35" s="56"/>
      <c r="Z35" s="50">
        <v>-4.37</v>
      </c>
      <c r="AA35" s="45">
        <v>-3.89</v>
      </c>
      <c r="AB35" s="45">
        <v>-4.13</v>
      </c>
      <c r="AC35" s="58">
        <v>2.84</v>
      </c>
      <c r="AD35" s="45">
        <v>-4.48</v>
      </c>
      <c r="AE35" s="45">
        <v>-4.76</v>
      </c>
      <c r="AF35" s="59">
        <v>-4.74</v>
      </c>
      <c r="AH35" s="50">
        <v>3.22</v>
      </c>
      <c r="AI35" s="45">
        <v>2.86</v>
      </c>
      <c r="AJ35" s="45">
        <v>-4.16</v>
      </c>
      <c r="AK35" s="45">
        <v>-4.35</v>
      </c>
      <c r="AL35" s="45">
        <v>3.8</v>
      </c>
      <c r="AM35" s="58">
        <v>-7.2</v>
      </c>
      <c r="AN35" s="45">
        <v>-7.06</v>
      </c>
      <c r="AO35" s="45">
        <v>-6.43</v>
      </c>
    </row>
    <row r="36">
      <c r="C36" s="50">
        <v>-5.0</v>
      </c>
      <c r="D36" s="45">
        <v>-4.67</v>
      </c>
      <c r="E36" s="45">
        <v>-4.61</v>
      </c>
      <c r="F36" s="45">
        <v>-4.73</v>
      </c>
      <c r="G36" s="45">
        <v>-4.07</v>
      </c>
      <c r="H36" s="45">
        <v>-4.46</v>
      </c>
      <c r="I36" s="45">
        <v>-4.36</v>
      </c>
      <c r="J36" s="45">
        <v>-4.61</v>
      </c>
      <c r="L36" s="50">
        <v>-3.96</v>
      </c>
      <c r="M36" s="45">
        <v>-4.58</v>
      </c>
      <c r="N36" s="45">
        <v>-4.4</v>
      </c>
      <c r="Q36" s="50">
        <v>5.18</v>
      </c>
      <c r="R36" s="45">
        <v>4.74</v>
      </c>
      <c r="S36" s="58">
        <v>4.49</v>
      </c>
      <c r="T36" s="45">
        <v>5.46</v>
      </c>
      <c r="U36" s="45">
        <v>4.72</v>
      </c>
      <c r="V36" s="45">
        <v>5.93</v>
      </c>
      <c r="W36" s="45">
        <v>5.81</v>
      </c>
      <c r="X36" s="56"/>
      <c r="Z36" s="50">
        <v>5.91</v>
      </c>
      <c r="AA36" s="45">
        <v>8.73</v>
      </c>
      <c r="AB36" s="45">
        <v>6.9</v>
      </c>
      <c r="AC36" s="58">
        <v>5.87</v>
      </c>
      <c r="AD36" s="45">
        <v>6.2</v>
      </c>
      <c r="AE36" s="45">
        <v>5.88</v>
      </c>
      <c r="AF36" s="59">
        <v>10.11</v>
      </c>
      <c r="AH36" s="50">
        <v>-4.23</v>
      </c>
      <c r="AI36" s="45">
        <v>4.55</v>
      </c>
      <c r="AJ36" s="45">
        <v>-4.34</v>
      </c>
      <c r="AK36" s="45">
        <v>3.98</v>
      </c>
      <c r="AL36" s="45">
        <v>3.97</v>
      </c>
      <c r="AM36" s="58">
        <v>2.68</v>
      </c>
      <c r="AN36" s="45">
        <v>-5.26</v>
      </c>
      <c r="AO36" s="45">
        <v>-6.72</v>
      </c>
    </row>
    <row r="37">
      <c r="C37" s="50">
        <v>-5.74</v>
      </c>
      <c r="D37" s="45">
        <v>-5.1</v>
      </c>
      <c r="E37" s="45">
        <v>-6.56</v>
      </c>
      <c r="F37" s="45">
        <v>-7.33</v>
      </c>
      <c r="G37" s="45">
        <v>-3.92</v>
      </c>
      <c r="H37" s="45">
        <v>-5.48</v>
      </c>
      <c r="I37" s="45">
        <v>-6.06</v>
      </c>
      <c r="J37" s="45">
        <v>-6.56</v>
      </c>
      <c r="L37" s="50">
        <v>3.05</v>
      </c>
      <c r="M37" s="45">
        <v>3.72</v>
      </c>
      <c r="N37" s="45">
        <v>3.79</v>
      </c>
      <c r="Q37" s="50">
        <v>3.5</v>
      </c>
      <c r="R37" s="45">
        <v>3.67</v>
      </c>
      <c r="S37" s="58">
        <v>3.26</v>
      </c>
      <c r="T37" s="45">
        <v>3.77</v>
      </c>
      <c r="U37" s="45">
        <v>3.35</v>
      </c>
      <c r="V37" s="45">
        <v>3.61</v>
      </c>
      <c r="W37" s="45">
        <v>3.67</v>
      </c>
      <c r="X37" s="56"/>
      <c r="Z37" s="50">
        <v>-4.19</v>
      </c>
      <c r="AA37" s="45">
        <v>-5.45</v>
      </c>
      <c r="AB37" s="45">
        <v>-4.89</v>
      </c>
      <c r="AC37" s="58">
        <v>6.75</v>
      </c>
      <c r="AD37" s="45">
        <v>-3.99</v>
      </c>
      <c r="AE37" s="45">
        <v>-3.56</v>
      </c>
      <c r="AF37" s="59">
        <v>-5.75</v>
      </c>
      <c r="AH37" s="50">
        <v>5.93</v>
      </c>
      <c r="AI37" s="45">
        <v>-5.54</v>
      </c>
      <c r="AJ37" s="45">
        <v>-5.06</v>
      </c>
      <c r="AK37" s="45">
        <v>-5.72</v>
      </c>
      <c r="AL37" s="45">
        <v>5.92</v>
      </c>
      <c r="AM37" s="58">
        <v>-4.57</v>
      </c>
      <c r="AN37" s="45">
        <v>-4.66</v>
      </c>
      <c r="AO37" s="45">
        <v>-4.28</v>
      </c>
    </row>
    <row r="38">
      <c r="C38" s="50">
        <v>-3.53</v>
      </c>
      <c r="D38" s="45">
        <v>-5.53</v>
      </c>
      <c r="E38" s="45">
        <v>-4.42</v>
      </c>
      <c r="F38" s="45">
        <v>-4.36</v>
      </c>
      <c r="G38" s="45">
        <v>-3.55</v>
      </c>
      <c r="H38" s="45">
        <v>-3.67</v>
      </c>
      <c r="I38" s="45">
        <v>-4.36</v>
      </c>
      <c r="J38" s="45">
        <v>-4.42</v>
      </c>
      <c r="L38" s="50">
        <v>3.23</v>
      </c>
      <c r="M38" s="45">
        <v>4.02</v>
      </c>
      <c r="N38" s="45">
        <v>4.04</v>
      </c>
      <c r="Q38" s="50">
        <v>-5.17</v>
      </c>
      <c r="R38" s="45">
        <v>-5.11</v>
      </c>
      <c r="S38" s="58">
        <v>-4.67</v>
      </c>
      <c r="T38" s="45">
        <v>-5.46</v>
      </c>
      <c r="U38" s="45">
        <v>-4.61</v>
      </c>
      <c r="V38" s="45">
        <v>-6.09</v>
      </c>
      <c r="W38" s="45">
        <v>-4.06</v>
      </c>
      <c r="X38" s="56"/>
      <c r="Z38" s="50">
        <v>-5.4</v>
      </c>
      <c r="AA38" s="45">
        <v>-4.57</v>
      </c>
      <c r="AB38" s="45">
        <v>12.62</v>
      </c>
      <c r="AC38" s="58">
        <v>-5.27</v>
      </c>
      <c r="AD38" s="45">
        <v>-4.65</v>
      </c>
      <c r="AE38" s="45">
        <v>-4.74</v>
      </c>
      <c r="AF38" s="59">
        <v>10.93</v>
      </c>
      <c r="AH38" s="50">
        <v>-4.97</v>
      </c>
      <c r="AI38" s="45">
        <v>-4.29</v>
      </c>
      <c r="AJ38" s="45">
        <v>-4.91</v>
      </c>
      <c r="AK38" s="45">
        <v>-4.51</v>
      </c>
      <c r="AL38" s="45">
        <v>-5.38</v>
      </c>
      <c r="AM38" s="58">
        <v>5.67</v>
      </c>
      <c r="AN38" s="45">
        <v>5.83</v>
      </c>
      <c r="AO38" s="45">
        <v>4.72</v>
      </c>
    </row>
    <row r="39">
      <c r="C39" s="50">
        <v>2.94</v>
      </c>
      <c r="D39" s="45">
        <v>4.1</v>
      </c>
      <c r="E39" s="45">
        <v>3.28</v>
      </c>
      <c r="F39" s="45">
        <v>3.1</v>
      </c>
      <c r="G39" s="45">
        <v>2.95</v>
      </c>
      <c r="H39" s="45">
        <v>2.94</v>
      </c>
      <c r="I39" s="45">
        <v>3.04</v>
      </c>
      <c r="J39" s="45">
        <v>3.28</v>
      </c>
      <c r="L39" s="50">
        <v>-5.06</v>
      </c>
      <c r="M39" s="45">
        <v>-5.52</v>
      </c>
      <c r="N39" s="45">
        <v>-4.97</v>
      </c>
      <c r="Q39" s="50">
        <v>0.78</v>
      </c>
      <c r="R39" s="45">
        <v>0.65</v>
      </c>
      <c r="S39" s="58">
        <v>0.63</v>
      </c>
      <c r="T39" s="45">
        <v>0.59</v>
      </c>
      <c r="U39" s="45">
        <v>0.49</v>
      </c>
      <c r="V39" s="45">
        <v>0.68</v>
      </c>
      <c r="W39" s="45">
        <v>0.72</v>
      </c>
      <c r="X39" s="56"/>
      <c r="Z39" s="50">
        <v>0.88</v>
      </c>
      <c r="AA39" s="45">
        <v>0.99</v>
      </c>
      <c r="AB39" s="45">
        <v>1.05</v>
      </c>
      <c r="AC39" s="58">
        <v>1.01</v>
      </c>
      <c r="AD39" s="45">
        <v>1.1</v>
      </c>
      <c r="AE39" s="45">
        <v>1.1</v>
      </c>
      <c r="AF39" s="59">
        <v>1.26</v>
      </c>
      <c r="AH39" s="50">
        <v>1.62</v>
      </c>
      <c r="AI39" s="45">
        <v>1.68</v>
      </c>
      <c r="AJ39" s="45">
        <v>1.99</v>
      </c>
      <c r="AK39" s="45">
        <v>1.61</v>
      </c>
      <c r="AL39" s="45">
        <v>-5.49</v>
      </c>
      <c r="AM39" s="66"/>
    </row>
    <row r="40">
      <c r="C40" s="50">
        <v>3.54</v>
      </c>
      <c r="D40" s="45">
        <v>-4.79</v>
      </c>
      <c r="E40" s="45">
        <v>-4.01</v>
      </c>
      <c r="F40" s="45">
        <v>3.51</v>
      </c>
      <c r="G40" s="45">
        <v>3.67</v>
      </c>
      <c r="H40" s="45">
        <v>3.51</v>
      </c>
      <c r="I40" s="45">
        <v>-3.97</v>
      </c>
      <c r="J40" s="45">
        <v>-4.01</v>
      </c>
      <c r="L40" s="50">
        <v>9.71</v>
      </c>
      <c r="M40" s="45">
        <v>9.2</v>
      </c>
      <c r="N40" s="45">
        <v>10.68</v>
      </c>
      <c r="O40" s="68">
        <v>-3.99</v>
      </c>
      <c r="Q40" s="50">
        <v>-4.39</v>
      </c>
      <c r="R40" s="45">
        <v>-3.73</v>
      </c>
      <c r="S40" s="58">
        <v>-3.39</v>
      </c>
      <c r="T40" s="45">
        <v>10.35</v>
      </c>
      <c r="U40" s="45">
        <v>10.49</v>
      </c>
      <c r="V40" s="45">
        <v>11.22</v>
      </c>
      <c r="W40" s="45">
        <v>-5.09</v>
      </c>
      <c r="X40" s="56"/>
      <c r="Z40" s="50">
        <v>-5.16</v>
      </c>
      <c r="AA40" s="45">
        <v>-5.86</v>
      </c>
      <c r="AB40" s="45">
        <v>-6.14</v>
      </c>
      <c r="AC40" s="58">
        <v>-4.26</v>
      </c>
      <c r="AD40" s="45">
        <v>-4.39</v>
      </c>
      <c r="AE40" s="45">
        <v>-4.49</v>
      </c>
      <c r="AF40" s="59">
        <v>-7.84</v>
      </c>
      <c r="AH40" s="50">
        <v>-3.82</v>
      </c>
      <c r="AI40" s="45">
        <v>-4.56</v>
      </c>
      <c r="AJ40" s="45">
        <v>-4.58</v>
      </c>
      <c r="AK40" s="45">
        <v>-4.1</v>
      </c>
      <c r="AL40" s="45">
        <v>5.23</v>
      </c>
      <c r="AM40" s="66"/>
    </row>
    <row r="41">
      <c r="C41" s="50">
        <v>1.93</v>
      </c>
      <c r="D41" s="45">
        <v>1.56</v>
      </c>
      <c r="E41" s="45">
        <v>2.13</v>
      </c>
      <c r="F41" s="45">
        <v>2.12</v>
      </c>
      <c r="G41" s="45">
        <v>1.48</v>
      </c>
      <c r="H41" s="45">
        <v>1.79</v>
      </c>
      <c r="I41" s="45">
        <v>1.89</v>
      </c>
      <c r="J41" s="45">
        <v>2.13</v>
      </c>
      <c r="L41" s="50">
        <v>4.38</v>
      </c>
      <c r="M41" s="45">
        <v>5.3</v>
      </c>
      <c r="N41" s="45">
        <v>5.59</v>
      </c>
      <c r="O41" s="68">
        <v>-6.03</v>
      </c>
      <c r="Q41" s="50">
        <v>-3.63</v>
      </c>
      <c r="R41" s="45">
        <v>-3.58</v>
      </c>
      <c r="S41" s="58">
        <v>-3.52</v>
      </c>
      <c r="T41" s="45">
        <v>-3.79</v>
      </c>
      <c r="U41" s="45">
        <v>9.56</v>
      </c>
      <c r="V41" s="45">
        <v>-3.82</v>
      </c>
      <c r="W41" s="45">
        <v>10.73</v>
      </c>
      <c r="X41" s="56"/>
      <c r="Z41" s="50">
        <v>-4.28</v>
      </c>
      <c r="AA41" s="45">
        <v>-5.2</v>
      </c>
      <c r="AB41" s="45">
        <v>-6.18</v>
      </c>
      <c r="AC41" s="58">
        <v>-3.99</v>
      </c>
      <c r="AD41" s="45">
        <v>-4.22</v>
      </c>
      <c r="AE41" s="45">
        <v>-5.61</v>
      </c>
      <c r="AF41" s="59">
        <v>-6.46</v>
      </c>
      <c r="AH41" s="50">
        <v>1.72</v>
      </c>
      <c r="AI41" s="45">
        <v>1.78</v>
      </c>
      <c r="AJ41" s="45">
        <v>1.91</v>
      </c>
      <c r="AK41" s="45">
        <v>-3.61</v>
      </c>
      <c r="AL41" s="45">
        <v>2.05</v>
      </c>
      <c r="AM41" s="66"/>
    </row>
    <row r="42">
      <c r="C42" s="50">
        <v>-3.39</v>
      </c>
      <c r="D42" s="45">
        <v>-4.03</v>
      </c>
      <c r="E42" s="45">
        <v>-5.23</v>
      </c>
      <c r="F42" s="45">
        <v>8.14</v>
      </c>
      <c r="G42" s="45">
        <v>-3.5</v>
      </c>
      <c r="H42" s="45">
        <v>-3.55</v>
      </c>
      <c r="I42" s="45">
        <v>9.42</v>
      </c>
      <c r="J42" s="45">
        <v>-5.23</v>
      </c>
      <c r="L42" s="50">
        <v>-5.33</v>
      </c>
      <c r="M42" s="45">
        <v>-6.77</v>
      </c>
      <c r="N42" s="45">
        <v>-6.57</v>
      </c>
      <c r="O42" s="68">
        <v>4.88</v>
      </c>
      <c r="Q42" s="50">
        <v>3.14</v>
      </c>
      <c r="R42" s="45">
        <v>2.57</v>
      </c>
      <c r="S42" s="58">
        <v>2.55</v>
      </c>
      <c r="T42" s="45">
        <v>2.59</v>
      </c>
      <c r="U42" s="45">
        <v>2.52</v>
      </c>
      <c r="V42" s="45">
        <v>3.38</v>
      </c>
      <c r="W42" s="45">
        <v>3.08</v>
      </c>
      <c r="X42" s="56"/>
      <c r="Z42" s="50">
        <v>-4.84</v>
      </c>
      <c r="AA42" s="45">
        <v>-7.4</v>
      </c>
      <c r="AB42" s="45">
        <v>-5.63</v>
      </c>
      <c r="AC42" s="58">
        <v>-5.25</v>
      </c>
      <c r="AD42" s="45">
        <v>-6.18</v>
      </c>
      <c r="AE42" s="45">
        <v>13.69</v>
      </c>
      <c r="AF42" s="59">
        <v>17.74</v>
      </c>
      <c r="AH42" s="50">
        <v>5.2</v>
      </c>
      <c r="AI42" s="45">
        <v>-4.43</v>
      </c>
      <c r="AJ42" s="45">
        <v>-4.42</v>
      </c>
      <c r="AK42" s="45">
        <v>-4.75</v>
      </c>
      <c r="AL42" s="45">
        <v>10.16</v>
      </c>
      <c r="AM42" s="66"/>
    </row>
    <row r="43">
      <c r="C43" s="50">
        <v>8.05</v>
      </c>
      <c r="D43" s="45">
        <v>11.24</v>
      </c>
      <c r="E43" s="45">
        <v>10.59</v>
      </c>
      <c r="F43" s="45">
        <v>7.92</v>
      </c>
      <c r="G43" s="45">
        <v>-3.75</v>
      </c>
      <c r="H43" s="45">
        <v>-3.7</v>
      </c>
      <c r="I43" s="45">
        <v>-3.75</v>
      </c>
      <c r="J43" s="45">
        <v>10.59</v>
      </c>
      <c r="L43" s="50">
        <v>1.83</v>
      </c>
      <c r="M43" s="45">
        <v>2.39</v>
      </c>
      <c r="N43" s="45">
        <v>2.23</v>
      </c>
      <c r="O43" s="68">
        <v>2.25</v>
      </c>
      <c r="Q43" s="50">
        <v>-3.73</v>
      </c>
      <c r="R43" s="45">
        <v>-3.69</v>
      </c>
      <c r="S43" s="58">
        <v>5.02</v>
      </c>
      <c r="T43" s="45">
        <v>5.06</v>
      </c>
      <c r="U43" s="45">
        <v>5.18</v>
      </c>
      <c r="V43" s="45">
        <v>5.2</v>
      </c>
      <c r="W43" s="45">
        <v>-4.69</v>
      </c>
      <c r="X43" s="56"/>
      <c r="Z43" s="50">
        <v>0.67</v>
      </c>
      <c r="AA43" s="45">
        <v>0.68</v>
      </c>
      <c r="AB43" s="45">
        <v>0.74</v>
      </c>
      <c r="AC43" s="58">
        <v>0.83</v>
      </c>
      <c r="AD43" s="45">
        <v>0.78</v>
      </c>
      <c r="AE43" s="45">
        <v>0.79</v>
      </c>
      <c r="AF43" s="59">
        <v>0.98</v>
      </c>
      <c r="AH43" s="50">
        <v>3.92</v>
      </c>
      <c r="AI43" s="45">
        <v>-5.33</v>
      </c>
      <c r="AJ43" s="45">
        <v>-4.9</v>
      </c>
      <c r="AK43" s="45">
        <v>-4.45</v>
      </c>
      <c r="AL43" s="45">
        <v>4.9</v>
      </c>
      <c r="AM43" s="66"/>
    </row>
    <row r="44">
      <c r="C44" s="50">
        <v>-3.52</v>
      </c>
      <c r="D44" s="45">
        <v>6.64</v>
      </c>
      <c r="E44" s="45">
        <v>-4.38</v>
      </c>
      <c r="F44" s="45">
        <v>6.48</v>
      </c>
      <c r="G44" s="45">
        <v>-3.57</v>
      </c>
      <c r="H44" s="45">
        <v>-3.64</v>
      </c>
      <c r="I44" s="45">
        <v>-3.58</v>
      </c>
      <c r="J44" s="45">
        <v>-4.38</v>
      </c>
      <c r="L44" s="50">
        <v>-4.78</v>
      </c>
      <c r="M44" s="45">
        <v>8.16</v>
      </c>
      <c r="N44" s="45">
        <v>8.84</v>
      </c>
      <c r="O44" s="68">
        <v>-3.65</v>
      </c>
      <c r="Q44" s="50">
        <v>5.26</v>
      </c>
      <c r="R44" s="45">
        <v>5.76</v>
      </c>
      <c r="S44" s="58">
        <v>5.61</v>
      </c>
      <c r="T44" s="45">
        <v>-4.0</v>
      </c>
      <c r="U44" s="45">
        <v>5.58</v>
      </c>
      <c r="V44" s="45">
        <v>6.28</v>
      </c>
      <c r="W44" s="45">
        <v>-4.41</v>
      </c>
      <c r="X44" s="56"/>
      <c r="Z44" s="50">
        <v>-4.35</v>
      </c>
      <c r="AA44" s="45">
        <v>-4.02</v>
      </c>
      <c r="AB44" s="45">
        <v>-5.39</v>
      </c>
      <c r="AC44" s="58">
        <v>-3.74</v>
      </c>
      <c r="AD44" s="45">
        <v>-4.05</v>
      </c>
      <c r="AE44" s="45">
        <v>-5.4</v>
      </c>
      <c r="AF44" s="59">
        <v>-6.54</v>
      </c>
      <c r="AH44" s="50">
        <v>1.71</v>
      </c>
      <c r="AI44" s="45">
        <v>1.65</v>
      </c>
      <c r="AJ44" s="45">
        <v>1.81</v>
      </c>
      <c r="AK44" s="45">
        <v>-4.44</v>
      </c>
      <c r="AL44" s="45">
        <v>1.53</v>
      </c>
      <c r="AM44" s="66"/>
    </row>
    <row r="45">
      <c r="C45" s="50">
        <v>-4.68</v>
      </c>
      <c r="D45" s="45">
        <v>-4.29</v>
      </c>
      <c r="E45" s="45">
        <v>-4.98</v>
      </c>
      <c r="F45" s="45">
        <v>-4.86</v>
      </c>
      <c r="G45" s="45">
        <v>-3.69</v>
      </c>
      <c r="H45" s="45">
        <v>-4.39</v>
      </c>
      <c r="I45" s="45">
        <v>-4.84</v>
      </c>
      <c r="J45" s="45">
        <v>-4.98</v>
      </c>
      <c r="L45" s="50">
        <v>2.03</v>
      </c>
      <c r="M45" s="45">
        <v>2.19</v>
      </c>
      <c r="N45" s="45">
        <v>2.39</v>
      </c>
      <c r="O45" s="68">
        <v>2.19</v>
      </c>
      <c r="Q45" s="50">
        <v>-4.19</v>
      </c>
      <c r="R45" s="45">
        <v>-3.73</v>
      </c>
      <c r="S45" s="58">
        <v>-3.54</v>
      </c>
      <c r="T45" s="45">
        <v>-3.7</v>
      </c>
      <c r="U45" s="45">
        <v>-3.48</v>
      </c>
      <c r="V45" s="45">
        <v>-3.58</v>
      </c>
      <c r="W45" s="45">
        <v>-4.24</v>
      </c>
      <c r="X45" s="56"/>
      <c r="Z45" s="50">
        <v>5.55</v>
      </c>
      <c r="AA45" s="45">
        <v>10.43</v>
      </c>
      <c r="AB45" s="45">
        <v>7.75</v>
      </c>
      <c r="AC45" s="58">
        <v>4.94</v>
      </c>
      <c r="AD45" s="45">
        <v>5.57</v>
      </c>
      <c r="AE45" s="45">
        <v>5.31</v>
      </c>
      <c r="AF45" s="59">
        <v>8.27</v>
      </c>
      <c r="AH45" s="50">
        <v>-8.72</v>
      </c>
      <c r="AI45" s="45">
        <v>-6.08</v>
      </c>
      <c r="AJ45" s="45">
        <v>-5.49</v>
      </c>
      <c r="AK45" s="45">
        <v>-5.37</v>
      </c>
      <c r="AL45" s="45">
        <v>-7.48</v>
      </c>
      <c r="AM45" s="66"/>
    </row>
    <row r="46">
      <c r="C46" s="50">
        <v>6.43</v>
      </c>
      <c r="D46" s="45">
        <v>7.51</v>
      </c>
      <c r="E46" s="45">
        <v>9.05</v>
      </c>
      <c r="F46" s="45">
        <v>6.82</v>
      </c>
      <c r="G46" s="45">
        <v>5.66</v>
      </c>
      <c r="H46" s="45">
        <v>6.39</v>
      </c>
      <c r="I46" s="45">
        <v>6.17</v>
      </c>
      <c r="J46" s="45">
        <v>9.05</v>
      </c>
      <c r="L46" s="50">
        <v>-4.25</v>
      </c>
      <c r="M46" s="45">
        <v>-4.77</v>
      </c>
      <c r="N46" s="45">
        <v>-4.88</v>
      </c>
      <c r="O46" s="68">
        <v>-3.81</v>
      </c>
      <c r="Q46" s="50">
        <v>-4.98</v>
      </c>
      <c r="R46" s="45">
        <v>-4.27</v>
      </c>
      <c r="S46" s="58">
        <v>-3.98</v>
      </c>
      <c r="T46" s="45">
        <v>10.26</v>
      </c>
      <c r="U46" s="45">
        <v>-3.65</v>
      </c>
      <c r="V46" s="45">
        <v>-3.67</v>
      </c>
      <c r="W46" s="45">
        <v>-6.0</v>
      </c>
      <c r="X46" s="56"/>
      <c r="Z46" s="50">
        <v>2.51</v>
      </c>
      <c r="AA46" s="45">
        <v>3.07</v>
      </c>
      <c r="AB46" s="45">
        <v>2.94</v>
      </c>
      <c r="AC46" s="58">
        <v>2.51</v>
      </c>
      <c r="AD46" s="45">
        <v>2.6</v>
      </c>
      <c r="AE46" s="45">
        <v>2.71</v>
      </c>
      <c r="AF46" s="59">
        <v>2.4</v>
      </c>
      <c r="AH46" s="50">
        <v>-7.43</v>
      </c>
      <c r="AI46" s="45">
        <v>-5.53</v>
      </c>
      <c r="AJ46" s="45">
        <v>-4.65</v>
      </c>
      <c r="AK46" s="45">
        <v>-4.36</v>
      </c>
      <c r="AL46" s="45">
        <v>-6.82</v>
      </c>
      <c r="AM46" s="66"/>
    </row>
    <row r="47">
      <c r="C47" s="50">
        <v>6.7</v>
      </c>
      <c r="D47" s="45">
        <v>-4.28</v>
      </c>
      <c r="E47" s="45">
        <v>-3.63</v>
      </c>
      <c r="F47" s="45">
        <v>-3.55</v>
      </c>
      <c r="G47" s="45">
        <v>-3.38</v>
      </c>
      <c r="H47" s="45">
        <v>6.76</v>
      </c>
      <c r="I47" s="45">
        <v>7.42</v>
      </c>
      <c r="J47" s="45">
        <v>-3.63</v>
      </c>
      <c r="L47" s="50">
        <v>-5.54</v>
      </c>
      <c r="M47" s="45">
        <v>20.89</v>
      </c>
      <c r="N47" s="45">
        <v>23.81</v>
      </c>
      <c r="O47" s="68">
        <v>2.32</v>
      </c>
      <c r="Q47" s="50">
        <v>8.72</v>
      </c>
      <c r="R47" s="45">
        <v>-5.35</v>
      </c>
      <c r="S47" s="58">
        <v>-4.98</v>
      </c>
      <c r="T47" s="45">
        <v>-5.25</v>
      </c>
      <c r="U47" s="45">
        <v>-4.79</v>
      </c>
      <c r="V47" s="45">
        <v>-6.05</v>
      </c>
      <c r="W47" s="45">
        <v>-4.37</v>
      </c>
      <c r="X47" s="56"/>
      <c r="Z47" s="50">
        <v>-5.06</v>
      </c>
      <c r="AA47" s="45">
        <v>3.14</v>
      </c>
      <c r="AB47" s="45">
        <v>2.66</v>
      </c>
      <c r="AC47" s="58">
        <v>2.75</v>
      </c>
      <c r="AD47" s="45">
        <v>-4.8</v>
      </c>
      <c r="AE47" s="45">
        <v>-4.34</v>
      </c>
      <c r="AF47" s="59">
        <v>-5.32</v>
      </c>
      <c r="AH47" s="50">
        <v>-6.49</v>
      </c>
      <c r="AI47" s="45">
        <v>15.46</v>
      </c>
      <c r="AJ47" s="45">
        <v>-5.25</v>
      </c>
      <c r="AK47" s="45">
        <v>-5.19</v>
      </c>
      <c r="AL47" s="45">
        <v>-4.18</v>
      </c>
      <c r="AM47" s="66"/>
    </row>
    <row r="48">
      <c r="C48" s="66"/>
      <c r="D48" s="67"/>
      <c r="L48" s="50">
        <v>-4.89</v>
      </c>
      <c r="M48" s="45">
        <v>7.94</v>
      </c>
      <c r="N48" s="45">
        <v>-4.65</v>
      </c>
      <c r="O48" s="68">
        <v>-5.39</v>
      </c>
      <c r="Q48" s="67"/>
      <c r="X48" s="56"/>
      <c r="Z48" s="50">
        <v>3.18</v>
      </c>
      <c r="AA48" s="45">
        <v>4.2</v>
      </c>
      <c r="AB48" s="45">
        <v>-4.34</v>
      </c>
      <c r="AC48" s="58">
        <v>3.35</v>
      </c>
      <c r="AD48" s="45">
        <v>3.22</v>
      </c>
      <c r="AE48" s="45">
        <v>-3.97</v>
      </c>
      <c r="AF48" s="59">
        <v>-6.72</v>
      </c>
      <c r="AH48" s="50">
        <v>-3.96</v>
      </c>
      <c r="AI48" s="45">
        <v>-5.19</v>
      </c>
      <c r="AJ48" s="45">
        <v>-4.44</v>
      </c>
      <c r="AK48" s="45">
        <v>-4.54</v>
      </c>
      <c r="AL48" s="45">
        <v>8.14</v>
      </c>
      <c r="AM48" s="66"/>
    </row>
    <row r="49">
      <c r="C49" s="56"/>
      <c r="L49" s="50">
        <v>-6.86</v>
      </c>
      <c r="M49" s="45">
        <v>-7.74</v>
      </c>
      <c r="N49" s="45">
        <v>-8.66</v>
      </c>
      <c r="O49" s="68">
        <v>-4.23</v>
      </c>
      <c r="Z49" s="50">
        <v>-6.98</v>
      </c>
      <c r="AA49" s="45">
        <v>-8.47</v>
      </c>
      <c r="AB49" s="45">
        <v>-8.71</v>
      </c>
      <c r="AC49" s="58">
        <v>-6.48</v>
      </c>
      <c r="AD49" s="45">
        <v>-7.42</v>
      </c>
      <c r="AE49" s="45">
        <v>-6.5</v>
      </c>
      <c r="AF49" s="59">
        <v>-7.74</v>
      </c>
      <c r="AH49" s="50">
        <v>5.89</v>
      </c>
      <c r="AI49" s="45">
        <v>-4.08</v>
      </c>
      <c r="AJ49" s="45">
        <v>3.37</v>
      </c>
      <c r="AK49" s="45">
        <v>-4.58</v>
      </c>
      <c r="AL49" s="45">
        <v>4.04</v>
      </c>
      <c r="AM49" s="66"/>
    </row>
    <row r="50">
      <c r="L50" s="50">
        <v>15.18</v>
      </c>
      <c r="M50" s="45">
        <v>17.39</v>
      </c>
      <c r="N50" s="45">
        <v>16.71</v>
      </c>
      <c r="O50" s="69">
        <v>-6.63</v>
      </c>
      <c r="Z50" s="45">
        <v>4.94</v>
      </c>
      <c r="AA50" s="45">
        <v>5.45</v>
      </c>
      <c r="AB50" s="45">
        <v>5.13</v>
      </c>
      <c r="AC50" s="58">
        <v>4.29</v>
      </c>
      <c r="AD50" s="45">
        <v>4.33</v>
      </c>
      <c r="AE50" s="45">
        <v>5.64</v>
      </c>
      <c r="AF50" s="59">
        <v>6.05</v>
      </c>
      <c r="AH50" s="67"/>
    </row>
    <row r="51">
      <c r="L51" s="50">
        <v>-4.52</v>
      </c>
      <c r="M51" s="45">
        <v>11.12</v>
      </c>
      <c r="N51" s="45">
        <v>-4.81</v>
      </c>
      <c r="O51" s="69">
        <v>-5.07</v>
      </c>
      <c r="Z51" s="45">
        <v>4.18</v>
      </c>
      <c r="AA51" s="45">
        <v>4.9</v>
      </c>
      <c r="AB51" s="45">
        <v>4.89</v>
      </c>
      <c r="AC51" s="58">
        <v>4.65</v>
      </c>
      <c r="AD51" s="45">
        <v>4.06</v>
      </c>
      <c r="AE51" s="45">
        <v>4.44</v>
      </c>
      <c r="AF51" s="59">
        <v>6.06</v>
      </c>
    </row>
    <row r="52">
      <c r="L52" s="66"/>
      <c r="Z52" s="45">
        <v>1.67</v>
      </c>
      <c r="AA52" s="45">
        <v>2.2</v>
      </c>
      <c r="AB52" s="45">
        <v>2.38</v>
      </c>
      <c r="AC52" s="58">
        <v>-4.88</v>
      </c>
      <c r="AD52" s="45">
        <v>-5.65</v>
      </c>
      <c r="AE52" s="45">
        <v>2.29</v>
      </c>
      <c r="AF52" s="59">
        <v>2.88</v>
      </c>
    </row>
    <row r="53">
      <c r="L53" s="67"/>
      <c r="Z53" s="45">
        <v>2.88</v>
      </c>
      <c r="AA53" s="45">
        <v>3.9</v>
      </c>
      <c r="AB53" s="45">
        <v>3.37</v>
      </c>
      <c r="AC53" s="58">
        <v>2.21</v>
      </c>
      <c r="AD53" s="45">
        <v>3.0</v>
      </c>
      <c r="AE53" s="45">
        <v>2.63</v>
      </c>
      <c r="AF53" s="59">
        <v>-5.58</v>
      </c>
    </row>
    <row r="54">
      <c r="L54" s="56"/>
      <c r="Z54" s="45">
        <v>6.48</v>
      </c>
      <c r="AA54" s="45">
        <v>7.85</v>
      </c>
      <c r="AB54" s="45">
        <v>5.91</v>
      </c>
      <c r="AC54" s="58">
        <v>4.41</v>
      </c>
      <c r="AD54" s="45">
        <v>5.68</v>
      </c>
      <c r="AE54" s="45">
        <v>6.21</v>
      </c>
      <c r="AF54" s="59">
        <v>8.75</v>
      </c>
    </row>
    <row r="55">
      <c r="C55" s="38"/>
      <c r="Z55" s="45">
        <v>-5.24</v>
      </c>
      <c r="AA55" s="45">
        <v>-4.54</v>
      </c>
      <c r="AB55" s="45">
        <v>-5.26</v>
      </c>
      <c r="AC55" s="58">
        <v>2.62</v>
      </c>
      <c r="AD55" s="45">
        <v>3.06</v>
      </c>
      <c r="AE55" s="45">
        <v>-4.85</v>
      </c>
      <c r="AF55" s="59">
        <v>-6.63</v>
      </c>
    </row>
    <row r="56">
      <c r="Z56" s="45">
        <v>-4.67</v>
      </c>
      <c r="AA56" s="45">
        <v>7.95</v>
      </c>
      <c r="AB56" s="45">
        <v>8.17</v>
      </c>
      <c r="AC56" s="58">
        <v>-3.5</v>
      </c>
      <c r="AD56" s="45">
        <v>-4.39</v>
      </c>
      <c r="AE56" s="45">
        <v>-4.36</v>
      </c>
      <c r="AF56" s="59">
        <v>8.84</v>
      </c>
    </row>
    <row r="57">
      <c r="Z57" s="45">
        <v>-4.31</v>
      </c>
      <c r="AA57" s="45">
        <v>-4.53</v>
      </c>
      <c r="AB57" s="45">
        <v>-4.57</v>
      </c>
      <c r="AC57" s="58">
        <v>-4.16</v>
      </c>
      <c r="AD57" s="45">
        <v>-4.5</v>
      </c>
      <c r="AE57" s="45">
        <v>-3.73</v>
      </c>
      <c r="AF57" s="59">
        <v>-6.24</v>
      </c>
    </row>
    <row r="58">
      <c r="Z58" s="45">
        <v>4.52</v>
      </c>
      <c r="AA58" s="45">
        <v>6.89</v>
      </c>
      <c r="AB58" s="45">
        <v>6.82</v>
      </c>
      <c r="AC58" s="58">
        <v>4.1</v>
      </c>
      <c r="AD58" s="45">
        <v>4.44</v>
      </c>
      <c r="AE58" s="45">
        <v>5.74</v>
      </c>
      <c r="AF58" s="59">
        <v>5.97</v>
      </c>
    </row>
    <row r="59">
      <c r="AC59" s="56"/>
    </row>
    <row r="63">
      <c r="C63" s="38" t="s">
        <v>38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6" t="s">
        <v>31</v>
      </c>
      <c r="I65" s="6" t="s">
        <v>39</v>
      </c>
      <c r="J65" s="6" t="s">
        <v>40</v>
      </c>
      <c r="K65" s="8" t="s">
        <v>41</v>
      </c>
      <c r="L65" s="6" t="s">
        <v>42</v>
      </c>
      <c r="M65" s="70" t="s">
        <v>13</v>
      </c>
      <c r="N65" s="71" t="s">
        <v>11</v>
      </c>
    </row>
    <row r="66">
      <c r="C66" s="12">
        <v>6.0</v>
      </c>
      <c r="D66" s="13" t="s">
        <v>14</v>
      </c>
      <c r="E66" s="72"/>
      <c r="F66" s="73"/>
      <c r="G66" s="73"/>
      <c r="H66" s="23"/>
      <c r="I66" s="23"/>
      <c r="J66" s="23"/>
      <c r="K66" s="29"/>
      <c r="L66" s="23"/>
      <c r="M66" s="29"/>
      <c r="N66" s="23"/>
    </row>
    <row r="67">
      <c r="C67" s="25">
        <v>167.0</v>
      </c>
      <c r="D67" s="25" t="s">
        <v>16</v>
      </c>
      <c r="E67" s="14">
        <v>45570.0</v>
      </c>
      <c r="F67" s="14"/>
      <c r="G67" s="14"/>
      <c r="H67" s="23"/>
      <c r="I67" s="23"/>
      <c r="J67" s="23"/>
      <c r="K67" s="29"/>
      <c r="L67" s="23"/>
      <c r="M67" s="29"/>
      <c r="N67" s="19"/>
    </row>
    <row r="68">
      <c r="C68" s="32">
        <v>48.0</v>
      </c>
      <c r="D68" s="33" t="s">
        <v>17</v>
      </c>
      <c r="E68" s="14">
        <v>45679.0</v>
      </c>
      <c r="F68" s="16">
        <v>395.0</v>
      </c>
      <c r="G68" s="16" t="s">
        <v>15</v>
      </c>
      <c r="H68" s="19">
        <v>57.2457163045398</v>
      </c>
      <c r="I68" s="21">
        <v>1.99999999999998</v>
      </c>
      <c r="J68" s="21">
        <v>153.7</v>
      </c>
      <c r="K68" s="21">
        <f>-40.5+
2413.68+
163.23
</f>
        <v>2536.41</v>
      </c>
      <c r="L68" s="19">
        <v>30.0</v>
      </c>
      <c r="M68" s="21">
        <f t="shared" ref="M68:M72" si="7">K68/J68</f>
        <v>16.50234223</v>
      </c>
      <c r="N68" s="23">
        <f>L68*'Data preparation'!$C$2</f>
        <v>7.5</v>
      </c>
    </row>
    <row r="69">
      <c r="C69" s="25">
        <v>55.0</v>
      </c>
      <c r="D69" s="33" t="s">
        <v>18</v>
      </c>
      <c r="E69" s="14">
        <v>45679.0</v>
      </c>
      <c r="F69" s="16">
        <v>724.0</v>
      </c>
      <c r="G69" s="16" t="s">
        <v>15</v>
      </c>
      <c r="H69" s="21">
        <v>57.7626974489822</v>
      </c>
      <c r="I69" s="21">
        <v>7.0</v>
      </c>
      <c r="J69" s="21">
        <v>174.21</v>
      </c>
      <c r="K69" s="21">
        <f>1150.93+
478.33+
122.61
</f>
        <v>1751.87</v>
      </c>
      <c r="L69" s="21">
        <f>60/2</f>
        <v>30</v>
      </c>
      <c r="M69" s="21">
        <f t="shared" si="7"/>
        <v>10.05608174</v>
      </c>
      <c r="N69" s="23">
        <f>L69*'Data preparation'!$C$2</f>
        <v>7.5</v>
      </c>
    </row>
    <row r="70">
      <c r="C70" s="25">
        <v>59.0</v>
      </c>
      <c r="D70" s="25" t="s">
        <v>19</v>
      </c>
      <c r="E70" s="14">
        <v>45680.0</v>
      </c>
      <c r="F70" s="16">
        <v>935.0</v>
      </c>
      <c r="G70" s="16" t="s">
        <v>15</v>
      </c>
      <c r="H70" s="21">
        <v>61.8147668934429</v>
      </c>
      <c r="I70" s="21">
        <v>5.0</v>
      </c>
      <c r="J70" s="21">
        <v>149.66</v>
      </c>
      <c r="K70" s="21">
        <f>729.17+
5039.3+
-26.81
</f>
        <v>5741.66</v>
      </c>
      <c r="L70" s="21">
        <f>50/2</f>
        <v>25</v>
      </c>
      <c r="M70" s="21">
        <f t="shared" si="7"/>
        <v>38.3646933</v>
      </c>
      <c r="N70" s="23">
        <f>L70*'Data preparation'!$C$2</f>
        <v>6.25</v>
      </c>
    </row>
    <row r="71">
      <c r="C71" s="25">
        <v>77.0</v>
      </c>
      <c r="D71" s="25" t="s">
        <v>20</v>
      </c>
      <c r="E71" s="14">
        <v>45677.0</v>
      </c>
      <c r="F71" s="16">
        <v>931.0</v>
      </c>
      <c r="G71" s="16" t="s">
        <v>15</v>
      </c>
      <c r="H71" s="21">
        <v>59.8048011309572</v>
      </c>
      <c r="I71" s="21">
        <v>11.0</v>
      </c>
      <c r="J71" s="21">
        <v>190.1</v>
      </c>
      <c r="K71" s="21">
        <f>-0.29+
1243.98+
236.53
</f>
        <v>1480.22</v>
      </c>
      <c r="L71" s="19">
        <v>40.0</v>
      </c>
      <c r="M71" s="21">
        <f t="shared" si="7"/>
        <v>7.786533403</v>
      </c>
      <c r="N71" s="23">
        <f>L71*'Data preparation'!$C$2</f>
        <v>10</v>
      </c>
    </row>
    <row r="72">
      <c r="C72" s="25">
        <v>148.0</v>
      </c>
      <c r="D72" s="25" t="s">
        <v>21</v>
      </c>
      <c r="E72" s="14">
        <v>45677.0</v>
      </c>
      <c r="F72" s="16">
        <v>112.0</v>
      </c>
      <c r="G72" s="16" t="s">
        <v>15</v>
      </c>
      <c r="H72" s="21">
        <v>56.318574213311</v>
      </c>
      <c r="I72" s="21">
        <v>8.0</v>
      </c>
      <c r="J72" s="21">
        <v>127.26</v>
      </c>
      <c r="K72" s="21">
        <f>1613.45+
584.93+
-27.72
</f>
        <v>2170.66</v>
      </c>
      <c r="L72" s="19">
        <v>40.0</v>
      </c>
      <c r="M72" s="21">
        <f t="shared" si="7"/>
        <v>17.0568914</v>
      </c>
      <c r="N72" s="23">
        <f>L72*'Data preparation'!$C$2</f>
        <v>10</v>
      </c>
    </row>
    <row r="76">
      <c r="C76" s="38" t="s">
        <v>43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6" t="s">
        <v>31</v>
      </c>
      <c r="I77" s="6" t="s">
        <v>39</v>
      </c>
      <c r="J77" s="6" t="s">
        <v>40</v>
      </c>
      <c r="K77" s="8" t="s">
        <v>41</v>
      </c>
      <c r="L77" s="6" t="s">
        <v>7</v>
      </c>
      <c r="M77" s="6" t="s">
        <v>8</v>
      </c>
      <c r="N77" s="6" t="s">
        <v>9</v>
      </c>
      <c r="O77" s="6"/>
      <c r="P77" s="6" t="s">
        <v>10</v>
      </c>
      <c r="Q77" s="70" t="s">
        <v>13</v>
      </c>
      <c r="R77" s="71" t="s">
        <v>11</v>
      </c>
    </row>
    <row r="78">
      <c r="C78" s="12">
        <v>6.0</v>
      </c>
      <c r="D78" s="13" t="s">
        <v>14</v>
      </c>
      <c r="E78" s="72"/>
      <c r="F78" s="73"/>
      <c r="G78" s="73"/>
      <c r="H78" s="23"/>
      <c r="I78" s="23"/>
      <c r="J78" s="23"/>
      <c r="K78" s="29"/>
      <c r="L78" s="23"/>
      <c r="M78" s="23"/>
      <c r="N78" s="23"/>
      <c r="O78" s="23"/>
      <c r="P78" s="23"/>
      <c r="Q78" s="29"/>
      <c r="R78" s="23"/>
    </row>
    <row r="79">
      <c r="C79" s="25">
        <v>167.0</v>
      </c>
      <c r="D79" s="25" t="s">
        <v>16</v>
      </c>
      <c r="E79" s="14">
        <v>45570.0</v>
      </c>
      <c r="F79" s="14"/>
      <c r="G79" s="14"/>
      <c r="H79" s="23"/>
      <c r="I79" s="23"/>
      <c r="J79" s="23"/>
      <c r="K79" s="29"/>
      <c r="L79" s="23"/>
      <c r="M79" s="23"/>
      <c r="N79" s="23"/>
      <c r="O79" s="23"/>
      <c r="P79" s="23"/>
      <c r="Q79" s="29"/>
      <c r="R79" s="19"/>
    </row>
    <row r="80">
      <c r="C80" s="32">
        <v>48.0</v>
      </c>
      <c r="D80" s="33" t="s">
        <v>17</v>
      </c>
      <c r="E80" s="14">
        <v>45679.0</v>
      </c>
      <c r="F80" s="16">
        <v>395.0</v>
      </c>
      <c r="G80" s="16" t="s">
        <v>15</v>
      </c>
      <c r="H80" s="19">
        <v>57.2457163045398</v>
      </c>
      <c r="I80" s="21">
        <v>1.99999999999998</v>
      </c>
      <c r="J80" s="21">
        <v>153.7</v>
      </c>
      <c r="K80" s="21">
        <f>-2+
8641.42+
76.54
</f>
        <v>8715.96</v>
      </c>
      <c r="L80" s="19">
        <v>5.0</v>
      </c>
      <c r="M80" s="19">
        <v>60.0</v>
      </c>
      <c r="N80" s="19">
        <v>30.0</v>
      </c>
      <c r="O80" s="19"/>
      <c r="P80" s="19">
        <f t="shared" ref="P80:P84" si="8">AVERAGE(L80:N80)</f>
        <v>31.66666667</v>
      </c>
      <c r="Q80" s="21">
        <f t="shared" ref="Q80:Q84" si="9">K80/J80</f>
        <v>56.70761223</v>
      </c>
      <c r="R80" s="29">
        <f>P80*'Data preparation'!$C$2</f>
        <v>7.916666667</v>
      </c>
    </row>
    <row r="81">
      <c r="C81" s="25">
        <v>55.0</v>
      </c>
      <c r="D81" s="33" t="s">
        <v>18</v>
      </c>
      <c r="E81" s="14">
        <v>45679.0</v>
      </c>
      <c r="F81" s="16">
        <v>724.0</v>
      </c>
      <c r="G81" s="16" t="s">
        <v>15</v>
      </c>
      <c r="H81" s="21">
        <v>57.7626974489822</v>
      </c>
      <c r="I81" s="21">
        <v>7.0</v>
      </c>
      <c r="J81" s="21">
        <v>174.21</v>
      </c>
      <c r="K81" s="21">
        <f>2560.91+
473.91+
196
</f>
        <v>3230.82</v>
      </c>
      <c r="L81" s="21">
        <v>90.0</v>
      </c>
      <c r="M81" s="21">
        <v>50.0</v>
      </c>
      <c r="N81" s="21">
        <v>40.0</v>
      </c>
      <c r="O81" s="19"/>
      <c r="P81" s="21">
        <f t="shared" si="8"/>
        <v>60</v>
      </c>
      <c r="Q81" s="21">
        <f t="shared" si="9"/>
        <v>18.54554848</v>
      </c>
      <c r="R81" s="74">
        <f>P81*'Data preparation'!$C$2/2</f>
        <v>7.5</v>
      </c>
    </row>
    <row r="82">
      <c r="C82" s="25">
        <v>59.0</v>
      </c>
      <c r="D82" s="25" t="s">
        <v>19</v>
      </c>
      <c r="E82" s="14">
        <v>45680.0</v>
      </c>
      <c r="F82" s="16">
        <v>935.0</v>
      </c>
      <c r="G82" s="16" t="s">
        <v>15</v>
      </c>
      <c r="H82" s="21">
        <v>61.8147668934429</v>
      </c>
      <c r="I82" s="21">
        <v>5.0</v>
      </c>
      <c r="J82" s="21">
        <v>149.66</v>
      </c>
      <c r="K82" s="21">
        <f>899.02+
15191.45+
-2.4
</f>
        <v>16088.07</v>
      </c>
      <c r="L82" s="21">
        <v>80.0</v>
      </c>
      <c r="M82" s="21">
        <v>90.0</v>
      </c>
      <c r="N82" s="21">
        <v>5.0</v>
      </c>
      <c r="O82" s="19"/>
      <c r="P82" s="21">
        <f t="shared" si="8"/>
        <v>58.33333333</v>
      </c>
      <c r="Q82" s="21">
        <f t="shared" si="9"/>
        <v>107.4974609</v>
      </c>
      <c r="R82" s="74">
        <f>P82*'Data preparation'!$C$2/2</f>
        <v>7.291666667</v>
      </c>
    </row>
    <row r="83">
      <c r="C83" s="25">
        <v>77.0</v>
      </c>
      <c r="D83" s="25" t="s">
        <v>20</v>
      </c>
      <c r="E83" s="14">
        <v>45677.0</v>
      </c>
      <c r="F83" s="16">
        <v>931.0</v>
      </c>
      <c r="G83" s="16" t="s">
        <v>15</v>
      </c>
      <c r="H83" s="21">
        <v>59.8048011309572</v>
      </c>
      <c r="I83" s="21">
        <v>11.0</v>
      </c>
      <c r="J83" s="21">
        <v>190.1</v>
      </c>
      <c r="K83" s="21">
        <f>11.94+
1356.27+
240.96
</f>
        <v>1609.17</v>
      </c>
      <c r="L83" s="19">
        <v>10.0</v>
      </c>
      <c r="M83" s="19">
        <v>40.0</v>
      </c>
      <c r="N83" s="19">
        <v>50.0</v>
      </c>
      <c r="O83" s="19"/>
      <c r="P83" s="19">
        <f t="shared" si="8"/>
        <v>33.33333333</v>
      </c>
      <c r="Q83" s="21">
        <f t="shared" si="9"/>
        <v>8.4648606</v>
      </c>
      <c r="R83" s="29">
        <f>P83*'Data preparation'!$C$2</f>
        <v>8.333333333</v>
      </c>
    </row>
    <row r="84">
      <c r="C84" s="25">
        <v>148.0</v>
      </c>
      <c r="D84" s="25" t="s">
        <v>21</v>
      </c>
      <c r="E84" s="14">
        <v>45677.0</v>
      </c>
      <c r="F84" s="16">
        <v>112.0</v>
      </c>
      <c r="G84" s="16" t="s">
        <v>15</v>
      </c>
      <c r="H84" s="21">
        <v>56.318574213311</v>
      </c>
      <c r="I84" s="21">
        <v>8.0</v>
      </c>
      <c r="J84" s="21">
        <v>127.26</v>
      </c>
      <c r="K84" s="21">
        <f>1485.08+
1015.76+
21.03
</f>
        <v>2521.87</v>
      </c>
      <c r="L84" s="19">
        <v>70.0</v>
      </c>
      <c r="M84" s="19">
        <v>70.0</v>
      </c>
      <c r="N84" s="19">
        <v>10.0</v>
      </c>
      <c r="O84" s="19"/>
      <c r="P84" s="19">
        <f t="shared" si="8"/>
        <v>50</v>
      </c>
      <c r="Q84" s="21">
        <f t="shared" si="9"/>
        <v>19.81667452</v>
      </c>
      <c r="R84" s="29">
        <f>P84*'Data preparation'!$C$2</f>
        <v>12.5</v>
      </c>
    </row>
    <row r="94">
      <c r="C94" s="45" t="s">
        <v>44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6" t="s">
        <v>5</v>
      </c>
      <c r="I96" s="6" t="s">
        <v>45</v>
      </c>
      <c r="J96" s="6" t="s">
        <v>31</v>
      </c>
      <c r="K96" s="8" t="s">
        <v>46</v>
      </c>
      <c r="L96" s="8" t="s">
        <v>47</v>
      </c>
      <c r="M96" s="8" t="s">
        <v>48</v>
      </c>
      <c r="N96" s="6" t="s">
        <v>40</v>
      </c>
      <c r="O96" s="8" t="s">
        <v>41</v>
      </c>
      <c r="P96" s="70" t="s">
        <v>13</v>
      </c>
      <c r="Q96" s="6" t="s">
        <v>7</v>
      </c>
      <c r="R96" s="6" t="s">
        <v>8</v>
      </c>
      <c r="S96" s="6" t="s">
        <v>9</v>
      </c>
      <c r="T96" s="6" t="s">
        <v>10</v>
      </c>
      <c r="U96" s="71" t="s">
        <v>11</v>
      </c>
    </row>
    <row r="97">
      <c r="C97" s="12">
        <v>6.0</v>
      </c>
      <c r="D97" s="13" t="s">
        <v>14</v>
      </c>
      <c r="E97" s="72"/>
      <c r="F97" s="73"/>
      <c r="G97" s="73"/>
      <c r="H97" s="23"/>
      <c r="I97" s="23"/>
      <c r="J97" s="23"/>
      <c r="K97" s="29"/>
      <c r="L97" s="29"/>
      <c r="M97" s="29"/>
      <c r="N97" s="23"/>
      <c r="O97" s="29"/>
      <c r="P97" s="29"/>
      <c r="Q97" s="23"/>
      <c r="R97" s="23"/>
      <c r="S97" s="23"/>
      <c r="T97" s="23"/>
      <c r="U97" s="23"/>
    </row>
    <row r="98">
      <c r="C98" s="25">
        <v>167.0</v>
      </c>
      <c r="D98" s="25" t="s">
        <v>16</v>
      </c>
      <c r="E98" s="14">
        <v>45570.0</v>
      </c>
      <c r="F98" s="14"/>
      <c r="G98" s="14"/>
      <c r="H98" s="23"/>
      <c r="I98" s="23"/>
      <c r="J98" s="23"/>
      <c r="K98" s="29"/>
      <c r="L98" s="29"/>
      <c r="M98" s="29"/>
      <c r="N98" s="23"/>
      <c r="O98" s="29"/>
      <c r="P98" s="29"/>
      <c r="Q98" s="23"/>
      <c r="R98" s="23"/>
      <c r="S98" s="23"/>
      <c r="T98" s="23"/>
      <c r="U98" s="19"/>
    </row>
    <row r="99">
      <c r="C99" s="32">
        <v>48.0</v>
      </c>
      <c r="D99" s="33" t="s">
        <v>17</v>
      </c>
      <c r="E99" s="14">
        <v>45679.0</v>
      </c>
      <c r="F99" s="16">
        <v>395.0</v>
      </c>
      <c r="G99" s="16" t="s">
        <v>15</v>
      </c>
      <c r="H99" s="21">
        <v>57.9999999999999</v>
      </c>
      <c r="I99" s="21">
        <v>57.1154487821154</v>
      </c>
      <c r="J99" s="21">
        <v>57.2457163045398</v>
      </c>
      <c r="K99" s="21">
        <v>-0.02</v>
      </c>
      <c r="L99" s="21">
        <v>99.14</v>
      </c>
      <c r="M99" s="21">
        <v>0.88</v>
      </c>
      <c r="N99" s="21">
        <v>153.704876815795</v>
      </c>
      <c r="O99" s="21">
        <v>8715.95604136256</v>
      </c>
      <c r="P99" s="21">
        <v>55.7057872328151</v>
      </c>
      <c r="Q99" s="19">
        <v>5.0</v>
      </c>
      <c r="R99" s="19">
        <v>60.0</v>
      </c>
      <c r="S99" s="19">
        <v>30.0</v>
      </c>
      <c r="T99" s="21">
        <f t="shared" ref="T99:T103" si="10">AVERAGE(Q99:S99)</f>
        <v>31.66666667</v>
      </c>
      <c r="U99" s="29">
        <f>T99*'Data preparation'!$C$2</f>
        <v>7.916666667</v>
      </c>
    </row>
    <row r="100">
      <c r="C100" s="75">
        <v>55.0</v>
      </c>
      <c r="D100" s="76" t="s">
        <v>18</v>
      </c>
      <c r="E100" s="14">
        <v>45679.0</v>
      </c>
      <c r="F100" s="16">
        <v>724.0</v>
      </c>
      <c r="G100" s="16" t="s">
        <v>15</v>
      </c>
      <c r="H100" s="21">
        <v>61.0</v>
      </c>
      <c r="I100" s="21">
        <v>58.04</v>
      </c>
      <c r="J100" s="21">
        <v>57.76</v>
      </c>
      <c r="K100" s="21">
        <v>79.27</v>
      </c>
      <c r="L100" s="21">
        <v>14.67</v>
      </c>
      <c r="M100" s="21">
        <v>6.07</v>
      </c>
      <c r="N100" s="21">
        <v>174.2</v>
      </c>
      <c r="O100" s="21">
        <v>3230.82</v>
      </c>
      <c r="P100" s="21">
        <v>17.55</v>
      </c>
      <c r="Q100" s="21">
        <v>90.0</v>
      </c>
      <c r="R100" s="21">
        <v>50.0</v>
      </c>
      <c r="S100" s="21">
        <v>40.0</v>
      </c>
      <c r="T100" s="21">
        <f t="shared" si="10"/>
        <v>60</v>
      </c>
      <c r="U100" s="74">
        <f>T100*'Data preparation'!$C$2/2</f>
        <v>7.5</v>
      </c>
    </row>
    <row r="101">
      <c r="C101" s="75">
        <v>59.0</v>
      </c>
      <c r="D101" s="75" t="s">
        <v>19</v>
      </c>
      <c r="E101" s="14">
        <v>45680.0</v>
      </c>
      <c r="F101" s="16">
        <v>935.0</v>
      </c>
      <c r="G101" s="16" t="s">
        <v>15</v>
      </c>
      <c r="H101" s="21">
        <v>64.0</v>
      </c>
      <c r="I101" s="21">
        <v>61.76</v>
      </c>
      <c r="J101" s="21">
        <v>61.81</v>
      </c>
      <c r="K101" s="21">
        <v>5.59</v>
      </c>
      <c r="L101" s="21">
        <v>94.43</v>
      </c>
      <c r="M101" s="21">
        <v>-0.01</v>
      </c>
      <c r="N101" s="21">
        <v>149.67</v>
      </c>
      <c r="O101" s="21">
        <v>16088.07</v>
      </c>
      <c r="P101" s="21">
        <v>106.49</v>
      </c>
      <c r="Q101" s="21">
        <v>80.0</v>
      </c>
      <c r="R101" s="21">
        <v>90.0</v>
      </c>
      <c r="S101" s="21">
        <v>5.0</v>
      </c>
      <c r="T101" s="21">
        <f t="shared" si="10"/>
        <v>58.33333333</v>
      </c>
      <c r="U101" s="74">
        <f>T101*'Data preparation'!$C$2/2</f>
        <v>7.291666667</v>
      </c>
    </row>
    <row r="102">
      <c r="C102" s="75">
        <v>77.0</v>
      </c>
      <c r="D102" s="75" t="s">
        <v>20</v>
      </c>
      <c r="E102" s="14">
        <v>45677.0</v>
      </c>
      <c r="F102" s="16">
        <v>1623.0</v>
      </c>
      <c r="G102" s="16" t="s">
        <v>15</v>
      </c>
      <c r="H102" s="21">
        <v>60.0</v>
      </c>
      <c r="I102" s="21">
        <v>59.89</v>
      </c>
      <c r="J102" s="21">
        <v>58.66</v>
      </c>
      <c r="K102" s="21">
        <v>-0.06</v>
      </c>
      <c r="L102" s="21">
        <v>92.71</v>
      </c>
      <c r="M102" s="21">
        <v>7.34</v>
      </c>
      <c r="N102" s="21">
        <v>130.83</v>
      </c>
      <c r="O102" s="21">
        <v>5977.86</v>
      </c>
      <c r="P102" s="21">
        <v>44.69</v>
      </c>
      <c r="Q102" s="19">
        <v>5.0</v>
      </c>
      <c r="R102" s="19">
        <v>80.0</v>
      </c>
      <c r="S102" s="19">
        <v>50.0</v>
      </c>
      <c r="T102" s="19">
        <f t="shared" si="10"/>
        <v>45</v>
      </c>
      <c r="U102" s="29">
        <f>T102*'Data preparation'!$C$2</f>
        <v>11.25</v>
      </c>
    </row>
    <row r="103">
      <c r="C103" s="75">
        <v>148.0</v>
      </c>
      <c r="D103" s="75" t="s">
        <v>21</v>
      </c>
      <c r="E103" s="14">
        <v>45677.0</v>
      </c>
      <c r="F103" s="16">
        <v>814.0</v>
      </c>
      <c r="G103" s="16" t="s">
        <v>15</v>
      </c>
      <c r="H103" s="21">
        <v>56.0</v>
      </c>
      <c r="I103" s="21">
        <v>52.0</v>
      </c>
      <c r="J103" s="21">
        <v>51.98</v>
      </c>
      <c r="K103" s="21">
        <v>99.43</v>
      </c>
      <c r="L103" s="21">
        <v>0.64</v>
      </c>
      <c r="M103" s="21">
        <v>-0.07</v>
      </c>
      <c r="N103" s="21">
        <v>96.01</v>
      </c>
      <c r="O103" s="21">
        <v>7974.28</v>
      </c>
      <c r="P103" s="21">
        <v>82.06</v>
      </c>
      <c r="Q103" s="19">
        <v>90.0</v>
      </c>
      <c r="R103" s="19">
        <v>15.0</v>
      </c>
      <c r="S103" s="19">
        <v>5.0</v>
      </c>
      <c r="T103" s="19">
        <f t="shared" si="10"/>
        <v>36.66666667</v>
      </c>
      <c r="U103" s="29">
        <f>T103*'Data preparation'!$C$2</f>
        <v>9.166666667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sheetData>
    <row r="1">
      <c r="A1" s="77" t="s">
        <v>49</v>
      </c>
      <c r="B1" s="78"/>
      <c r="C1" s="78"/>
      <c r="D1" s="79"/>
      <c r="E1" s="79"/>
      <c r="F1" s="78"/>
      <c r="G1" s="80"/>
      <c r="H1" s="80"/>
      <c r="I1" s="80"/>
      <c r="J1" s="78"/>
      <c r="K1" s="78"/>
      <c r="L1" s="78"/>
      <c r="M1" s="81"/>
      <c r="N1" s="80"/>
      <c r="O1" s="80"/>
      <c r="P1" s="80"/>
      <c r="U1" s="43"/>
      <c r="V1" s="38"/>
    </row>
    <row r="2">
      <c r="A2" s="82"/>
      <c r="B2" s="83" t="s">
        <v>50</v>
      </c>
      <c r="C2" s="83" t="s">
        <v>51</v>
      </c>
      <c r="D2" s="84" t="s">
        <v>52</v>
      </c>
      <c r="E2" s="84" t="s">
        <v>53</v>
      </c>
      <c r="F2" s="83" t="s">
        <v>54</v>
      </c>
      <c r="G2" s="85" t="s">
        <v>6</v>
      </c>
      <c r="H2" s="85" t="s">
        <v>55</v>
      </c>
      <c r="I2" s="85" t="s">
        <v>12</v>
      </c>
      <c r="J2" s="83"/>
      <c r="K2" s="83" t="s">
        <v>56</v>
      </c>
      <c r="L2" s="83" t="s">
        <v>57</v>
      </c>
      <c r="M2" s="86" t="s">
        <v>58</v>
      </c>
      <c r="N2" s="85" t="s">
        <v>59</v>
      </c>
      <c r="O2" s="85" t="s">
        <v>60</v>
      </c>
      <c r="P2" s="85" t="s">
        <v>61</v>
      </c>
      <c r="U2" s="43"/>
      <c r="V2" s="38"/>
    </row>
    <row r="3">
      <c r="A3" s="87" t="s">
        <v>37</v>
      </c>
      <c r="B3" s="25">
        <v>343.0</v>
      </c>
      <c r="C3" s="25">
        <v>343.0</v>
      </c>
      <c r="D3" s="25">
        <v>343.0</v>
      </c>
      <c r="E3" s="25">
        <v>343.0</v>
      </c>
      <c r="F3" s="88">
        <v>395.0</v>
      </c>
      <c r="G3" s="88">
        <v>395.0</v>
      </c>
      <c r="H3" s="88">
        <v>395.0</v>
      </c>
      <c r="I3" s="88">
        <v>395.0</v>
      </c>
      <c r="J3" s="88"/>
      <c r="K3" s="88">
        <v>395.0</v>
      </c>
      <c r="L3" s="88">
        <v>395.0</v>
      </c>
      <c r="M3" s="88">
        <v>395.0</v>
      </c>
      <c r="N3" s="25">
        <v>343.0</v>
      </c>
      <c r="O3" s="25">
        <v>343.0</v>
      </c>
      <c r="P3" s="25">
        <v>343.0</v>
      </c>
    </row>
    <row r="4">
      <c r="A4" s="87" t="s">
        <v>36</v>
      </c>
      <c r="B4" s="25">
        <v>1127.0</v>
      </c>
      <c r="C4" s="88">
        <v>724.0</v>
      </c>
      <c r="D4" s="88">
        <v>724.0</v>
      </c>
      <c r="E4" s="88">
        <v>724.0</v>
      </c>
      <c r="F4" s="88">
        <v>724.0</v>
      </c>
      <c r="G4" s="88">
        <v>724.0</v>
      </c>
      <c r="H4" s="88">
        <v>724.0</v>
      </c>
      <c r="I4" s="88">
        <v>724.0</v>
      </c>
      <c r="J4" s="88"/>
      <c r="K4" s="88">
        <v>724.0</v>
      </c>
      <c r="L4" s="88">
        <v>724.0</v>
      </c>
      <c r="M4" s="88">
        <v>724.0</v>
      </c>
      <c r="N4" s="88">
        <v>724.0</v>
      </c>
      <c r="O4" s="88">
        <v>724.0</v>
      </c>
      <c r="P4" s="88">
        <v>724.0</v>
      </c>
      <c r="Q4" s="46"/>
      <c r="R4" s="46"/>
      <c r="S4" s="46"/>
    </row>
    <row r="5">
      <c r="A5" s="87" t="s">
        <v>28</v>
      </c>
      <c r="B5" s="88">
        <v>1051.0</v>
      </c>
      <c r="C5" s="88">
        <v>1051.0</v>
      </c>
      <c r="D5" s="88">
        <v>1051.0</v>
      </c>
      <c r="E5" s="88">
        <v>1051.0</v>
      </c>
      <c r="F5" s="88">
        <v>1051.0</v>
      </c>
      <c r="G5" s="88">
        <v>1051.0</v>
      </c>
      <c r="H5" s="88">
        <v>1051.0</v>
      </c>
      <c r="I5" s="88">
        <v>1051.0</v>
      </c>
      <c r="J5" s="88"/>
      <c r="K5" s="88">
        <v>1051.0</v>
      </c>
      <c r="L5" s="88">
        <v>1051.0</v>
      </c>
      <c r="M5" s="88">
        <v>1051.0</v>
      </c>
      <c r="N5" s="88">
        <v>1051.0</v>
      </c>
      <c r="O5" s="88">
        <v>1051.0</v>
      </c>
      <c r="P5" s="88">
        <v>1051.0</v>
      </c>
      <c r="Q5" s="46"/>
      <c r="R5" s="46"/>
      <c r="S5" s="46"/>
    </row>
    <row r="6">
      <c r="A6" s="87" t="s">
        <v>29</v>
      </c>
      <c r="B6" s="25">
        <v>622.0</v>
      </c>
      <c r="C6" s="25">
        <v>622.0</v>
      </c>
      <c r="D6" s="25">
        <v>47.0</v>
      </c>
      <c r="E6" s="25">
        <v>47.0</v>
      </c>
      <c r="F6" s="25">
        <v>19.0</v>
      </c>
      <c r="G6" s="25">
        <v>19.0</v>
      </c>
      <c r="H6" s="88">
        <v>1623.0</v>
      </c>
      <c r="I6" s="88">
        <v>1623.0</v>
      </c>
      <c r="J6" s="88"/>
      <c r="K6" s="88">
        <v>1623.0</v>
      </c>
      <c r="L6" s="88">
        <v>1623.0</v>
      </c>
      <c r="M6" s="88">
        <v>1623.0</v>
      </c>
      <c r="N6" s="25">
        <v>47.0</v>
      </c>
      <c r="O6" s="25">
        <v>47.0</v>
      </c>
      <c r="P6" s="25">
        <v>47.0</v>
      </c>
    </row>
    <row r="7">
      <c r="A7" s="87" t="s">
        <v>25</v>
      </c>
      <c r="B7" s="25">
        <v>1447.0</v>
      </c>
      <c r="C7" s="25">
        <v>1606.0</v>
      </c>
      <c r="D7" s="25">
        <v>1447.0</v>
      </c>
      <c r="E7" s="25">
        <v>1545.0</v>
      </c>
      <c r="F7" s="25">
        <v>1051.0</v>
      </c>
      <c r="G7" s="25">
        <v>1051.0</v>
      </c>
      <c r="H7" s="88">
        <v>112.0</v>
      </c>
      <c r="I7" s="88">
        <v>112.0</v>
      </c>
      <c r="J7" s="88"/>
      <c r="K7" s="88">
        <v>112.0</v>
      </c>
      <c r="L7" s="88">
        <v>112.0</v>
      </c>
      <c r="M7" s="88">
        <v>112.0</v>
      </c>
      <c r="N7" s="25">
        <v>1606.0</v>
      </c>
      <c r="O7" s="89">
        <v>1243.0</v>
      </c>
      <c r="P7" s="25">
        <v>1606.0</v>
      </c>
    </row>
    <row r="8">
      <c r="O8" s="37"/>
    </row>
    <row r="9">
      <c r="O9" s="46"/>
      <c r="P9" s="52"/>
      <c r="Q9" s="52"/>
      <c r="R9" s="52"/>
      <c r="S9" s="52"/>
      <c r="V9" s="52"/>
    </row>
    <row r="10">
      <c r="A10" s="52"/>
      <c r="O10" s="46"/>
      <c r="P10" s="52"/>
      <c r="Q10" s="52"/>
      <c r="R10" s="52"/>
      <c r="S10" s="36"/>
      <c r="T10" s="11"/>
    </row>
    <row r="11">
      <c r="A11" s="43"/>
      <c r="E11" s="33" t="s">
        <v>17</v>
      </c>
      <c r="F11" s="16">
        <v>343.0</v>
      </c>
      <c r="O11" s="46"/>
      <c r="P11" s="43"/>
      <c r="Q11" s="43"/>
      <c r="R11" s="43"/>
      <c r="S11" s="43"/>
      <c r="T11" s="43"/>
      <c r="V11" s="43"/>
      <c r="W11" s="43"/>
    </row>
    <row r="12">
      <c r="A12" s="34"/>
      <c r="E12" s="33" t="s">
        <v>18</v>
      </c>
      <c r="F12" s="16">
        <v>724.0</v>
      </c>
      <c r="O12" s="37"/>
      <c r="P12" s="34"/>
      <c r="Q12" s="34"/>
      <c r="S12" s="34"/>
      <c r="T12" s="34"/>
      <c r="V12" s="34"/>
      <c r="W12" s="34"/>
    </row>
    <row r="13">
      <c r="A13" s="34"/>
      <c r="E13" s="25" t="s">
        <v>19</v>
      </c>
      <c r="F13" s="16">
        <v>1051.0</v>
      </c>
      <c r="O13" s="37"/>
      <c r="P13" s="34"/>
      <c r="Q13" s="34"/>
      <c r="S13" s="34"/>
      <c r="T13" s="34"/>
      <c r="V13" s="34"/>
      <c r="W13" s="34"/>
    </row>
    <row r="14">
      <c r="A14" s="34"/>
      <c r="E14" s="25" t="s">
        <v>20</v>
      </c>
      <c r="F14" s="16">
        <v>47.0</v>
      </c>
      <c r="N14" s="37"/>
      <c r="O14" s="37"/>
      <c r="P14" s="34"/>
      <c r="Q14" s="34"/>
      <c r="S14" s="34"/>
      <c r="T14" s="34"/>
      <c r="V14" s="34"/>
      <c r="W14" s="34"/>
    </row>
    <row r="15">
      <c r="A15" s="52"/>
      <c r="B15" s="34"/>
      <c r="C15" s="34"/>
      <c r="D15" s="34"/>
      <c r="E15" s="25" t="s">
        <v>21</v>
      </c>
      <c r="F15" s="16">
        <v>1447.0</v>
      </c>
      <c r="G15" s="34"/>
      <c r="H15" s="34"/>
      <c r="I15" s="34"/>
      <c r="J15" s="34"/>
      <c r="K15" s="34"/>
      <c r="N15" s="34"/>
      <c r="O15" s="46"/>
      <c r="P15" s="52"/>
      <c r="Q15" s="52"/>
      <c r="R15" s="52"/>
      <c r="S15" s="34"/>
      <c r="T15" s="34"/>
      <c r="V15" s="34"/>
      <c r="W15" s="34"/>
    </row>
    <row r="16">
      <c r="A16" s="52"/>
      <c r="B16" s="34"/>
      <c r="C16" s="34"/>
      <c r="D16" s="34"/>
      <c r="E16" s="34"/>
      <c r="F16" s="34"/>
      <c r="G16" s="34"/>
      <c r="H16" s="34"/>
      <c r="I16" s="34"/>
      <c r="J16" s="34"/>
      <c r="K16" s="34"/>
      <c r="O16" s="46"/>
      <c r="P16" s="52"/>
      <c r="Q16" s="52"/>
      <c r="R16" s="52"/>
      <c r="S16" s="34"/>
      <c r="T16" s="34"/>
      <c r="V16" s="34"/>
    </row>
    <row r="17">
      <c r="O17" s="46"/>
      <c r="P17" s="34"/>
      <c r="Q17" s="34"/>
      <c r="S17" s="34"/>
      <c r="T17" s="34"/>
    </row>
    <row r="18">
      <c r="A18" s="46"/>
      <c r="O18" s="46"/>
      <c r="P18" s="46"/>
      <c r="Q18" s="46"/>
      <c r="R18" s="46"/>
      <c r="S18" s="34"/>
      <c r="T18" s="34"/>
      <c r="W18" s="34"/>
    </row>
    <row r="19">
      <c r="A19" s="46"/>
      <c r="O19" s="46"/>
      <c r="P19" s="46"/>
      <c r="Q19" s="46"/>
      <c r="R19" s="46"/>
      <c r="S19" s="34"/>
      <c r="T19" s="34"/>
    </row>
    <row r="20">
      <c r="O20" s="46"/>
      <c r="Q20" s="34"/>
      <c r="S20" s="34"/>
      <c r="T20" s="34"/>
    </row>
    <row r="21">
      <c r="O21" s="46"/>
      <c r="P21" s="34"/>
      <c r="T21" s="34"/>
    </row>
    <row r="22">
      <c r="M22" s="52"/>
      <c r="O22" s="37"/>
      <c r="P22" s="34"/>
      <c r="T22" s="34"/>
    </row>
    <row r="23">
      <c r="M23" s="52"/>
      <c r="O23" s="37"/>
      <c r="T23" s="34"/>
    </row>
    <row r="24">
      <c r="M24" s="52"/>
      <c r="O24" s="37"/>
      <c r="Q24" s="34"/>
      <c r="T24" s="34"/>
    </row>
    <row r="25">
      <c r="O25" s="37"/>
    </row>
    <row r="26">
      <c r="O26" s="37"/>
      <c r="T26" s="34"/>
    </row>
    <row r="27">
      <c r="N27" s="37"/>
      <c r="O27" s="37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45" t="s">
        <v>62</v>
      </c>
    </row>
    <row r="2">
      <c r="B2" s="10"/>
      <c r="C2" s="90" t="s">
        <v>63</v>
      </c>
      <c r="E2" s="91"/>
      <c r="F2" s="92" t="s">
        <v>64</v>
      </c>
      <c r="H2" s="91"/>
    </row>
    <row r="3">
      <c r="B3" s="93" t="s">
        <v>65</v>
      </c>
      <c r="C3" s="94" t="s">
        <v>66</v>
      </c>
      <c r="D3" s="93" t="s">
        <v>67</v>
      </c>
      <c r="E3" s="95" t="s">
        <v>68</v>
      </c>
      <c r="F3" s="93" t="s">
        <v>69</v>
      </c>
      <c r="G3" s="93" t="s">
        <v>70</v>
      </c>
      <c r="H3" s="93" t="s">
        <v>71</v>
      </c>
    </row>
    <row r="4">
      <c r="B4" s="96" t="s">
        <v>72</v>
      </c>
      <c r="C4" s="97" t="s">
        <v>73</v>
      </c>
      <c r="D4" s="98" t="s">
        <v>74</v>
      </c>
      <c r="E4" s="99" t="s">
        <v>75</v>
      </c>
      <c r="F4" s="100" t="s">
        <v>76</v>
      </c>
      <c r="G4" s="100" t="s">
        <v>77</v>
      </c>
      <c r="H4" s="98"/>
    </row>
    <row r="5">
      <c r="B5" s="96" t="s">
        <v>78</v>
      </c>
      <c r="C5" s="101" t="s">
        <v>79</v>
      </c>
      <c r="D5" s="102"/>
      <c r="E5" s="99" t="s">
        <v>75</v>
      </c>
      <c r="F5" s="103" t="s">
        <v>80</v>
      </c>
      <c r="G5" s="104" t="s">
        <v>81</v>
      </c>
      <c r="H5" s="98"/>
    </row>
    <row r="6">
      <c r="B6" s="96" t="s">
        <v>82</v>
      </c>
      <c r="C6" s="97" t="s">
        <v>73</v>
      </c>
      <c r="D6" s="98" t="s">
        <v>83</v>
      </c>
      <c r="E6" s="99" t="s">
        <v>75</v>
      </c>
      <c r="F6" s="98" t="s">
        <v>84</v>
      </c>
      <c r="G6" s="98"/>
      <c r="H6" s="98"/>
    </row>
    <row r="7">
      <c r="B7" s="98" t="s">
        <v>85</v>
      </c>
      <c r="C7" s="105" t="s">
        <v>86</v>
      </c>
      <c r="D7" s="98"/>
      <c r="E7" s="106" t="s">
        <v>87</v>
      </c>
      <c r="F7" s="97" t="s">
        <v>88</v>
      </c>
      <c r="G7" s="98"/>
      <c r="H7" s="98" t="s">
        <v>89</v>
      </c>
    </row>
    <row r="8">
      <c r="B8" s="107" t="s">
        <v>90</v>
      </c>
      <c r="C8" s="108" t="s">
        <v>91</v>
      </c>
      <c r="D8" s="109"/>
      <c r="E8" s="107" t="s">
        <v>92</v>
      </c>
      <c r="F8" s="110" t="s">
        <v>93</v>
      </c>
      <c r="G8" s="111" t="s">
        <v>94</v>
      </c>
      <c r="H8" s="109"/>
    </row>
    <row r="9">
      <c r="B9" s="25" t="s">
        <v>95</v>
      </c>
      <c r="C9" s="112" t="s">
        <v>91</v>
      </c>
      <c r="D9" s="82"/>
      <c r="E9" s="82"/>
      <c r="F9" s="113"/>
      <c r="G9" s="82"/>
      <c r="H9" s="82"/>
    </row>
    <row r="10">
      <c r="B10" s="25" t="s">
        <v>96</v>
      </c>
      <c r="C10" s="113"/>
      <c r="D10" s="82"/>
      <c r="E10" s="82"/>
      <c r="F10" s="113"/>
      <c r="G10" s="100" t="s">
        <v>77</v>
      </c>
      <c r="H10" s="82"/>
    </row>
    <row r="11">
      <c r="B11" s="25" t="s">
        <v>97</v>
      </c>
      <c r="C11" s="113"/>
      <c r="D11" s="82"/>
      <c r="E11" s="82"/>
      <c r="F11" s="113"/>
      <c r="G11" s="114" t="s">
        <v>98</v>
      </c>
      <c r="H11" s="25"/>
    </row>
  </sheetData>
  <mergeCells count="2">
    <mergeCell ref="C2:E2"/>
    <mergeCell ref="F2:H2"/>
  </mergeCell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19"/>
      <c r="B1" s="92"/>
      <c r="C1" s="19"/>
      <c r="L1" s="115"/>
    </row>
    <row r="2">
      <c r="A2" s="19"/>
      <c r="B2" s="92" t="s">
        <v>99</v>
      </c>
      <c r="C2" s="19">
        <v>0.25</v>
      </c>
      <c r="L2" s="115"/>
    </row>
    <row r="3">
      <c r="A3" s="19"/>
      <c r="B3" s="92" t="s">
        <v>100</v>
      </c>
      <c r="C3" s="29">
        <f>AVERAGE('Modelos actuales'!L4:L8)</f>
        <v>9.75</v>
      </c>
      <c r="L3" s="115"/>
      <c r="P3" s="115"/>
    </row>
    <row r="4">
      <c r="A4" s="19"/>
      <c r="B4" s="115"/>
      <c r="L4" s="115"/>
      <c r="P4" s="115"/>
      <c r="AE4" s="45" t="s">
        <v>101</v>
      </c>
      <c r="AF4" s="116">
        <f>CORREL(AE6:AE10000,AF6:AF10000)</f>
        <v>0.4113182759</v>
      </c>
    </row>
    <row r="5">
      <c r="A5" s="19"/>
      <c r="B5" s="115" t="s">
        <v>102</v>
      </c>
      <c r="L5" s="115" t="s">
        <v>103</v>
      </c>
      <c r="P5" s="115" t="s">
        <v>104</v>
      </c>
      <c r="AE5" s="45" t="s">
        <v>105</v>
      </c>
      <c r="AF5" s="45" t="s">
        <v>106</v>
      </c>
    </row>
    <row r="6">
      <c r="A6" s="19"/>
      <c r="B6" s="45" t="s">
        <v>107</v>
      </c>
      <c r="F6" s="45" t="s">
        <v>108</v>
      </c>
      <c r="K6" s="38"/>
      <c r="L6" s="38" t="s">
        <v>109</v>
      </c>
      <c r="N6" s="38" t="s">
        <v>110</v>
      </c>
      <c r="P6" s="38" t="s">
        <v>111</v>
      </c>
      <c r="R6" s="38" t="s">
        <v>112</v>
      </c>
      <c r="V6" s="38" t="s">
        <v>113</v>
      </c>
      <c r="AA6" s="45" t="s">
        <v>114</v>
      </c>
      <c r="AB6" s="45" t="s">
        <v>115</v>
      </c>
      <c r="AE6" s="45">
        <v>519.2</v>
      </c>
      <c r="AF6" s="45">
        <v>-50.86</v>
      </c>
    </row>
    <row r="7">
      <c r="A7" s="19"/>
      <c r="K7" s="117"/>
      <c r="L7" s="118" t="str">
        <f>AVERAGE(L10:L19)</f>
        <v>#VALUE!</v>
      </c>
      <c r="N7" s="44" t="str">
        <f>SUM(N10:N29)/SUM(M10:M19)</f>
        <v>#VALUE!</v>
      </c>
      <c r="P7" s="119">
        <v>1.0</v>
      </c>
      <c r="R7" s="45">
        <v>1.0</v>
      </c>
      <c r="S7" s="44">
        <f t="shared" ref="S7:S9" si="1">COUNTIF($P$7:$P1775,R7)</f>
        <v>51</v>
      </c>
      <c r="T7" s="120">
        <f t="shared" ref="T7:T9" si="2">S7/$S$10</f>
        <v>0.4636363636</v>
      </c>
      <c r="V7" s="44">
        <v>33.0</v>
      </c>
      <c r="W7" s="120">
        <f t="shared" ref="W7:W9" si="3">(S7-V7)/V7</f>
        <v>0.5454545455</v>
      </c>
      <c r="AA7" s="45" t="s">
        <v>116</v>
      </c>
      <c r="AB7" s="44">
        <f t="shared" ref="AB7:AB16" si="4">LEFT(REPLACE(AA7,1,1,""),FIND(",", AA7)-2)/1</f>
        <v>81</v>
      </c>
      <c r="AE7" s="45">
        <v>415.94</v>
      </c>
      <c r="AF7" s="45">
        <v>-60.55</v>
      </c>
    </row>
    <row r="8">
      <c r="A8" s="19"/>
      <c r="B8" s="121" t="s">
        <v>117</v>
      </c>
      <c r="C8" s="122" t="str">
        <f t="shared" ref="C8:C17" si="5">REPLACE(B8,FIND(".",B8),1,",")*1</f>
        <v>#VALUE!</v>
      </c>
      <c r="F8" s="50" t="s">
        <v>118</v>
      </c>
      <c r="G8" s="122" t="str">
        <f t="shared" ref="G8:G27" si="6">REPLACE(F8,FIND(".",F8),1,",")*1</f>
        <v>#VALUE!</v>
      </c>
      <c r="I8" s="45">
        <v>30.0</v>
      </c>
      <c r="J8" s="45">
        <v>50.0</v>
      </c>
      <c r="K8" s="19"/>
      <c r="P8" s="119">
        <v>2.0</v>
      </c>
      <c r="R8" s="45">
        <v>0.0</v>
      </c>
      <c r="S8" s="44">
        <f t="shared" si="1"/>
        <v>29</v>
      </c>
      <c r="T8" s="120">
        <f t="shared" si="2"/>
        <v>0.2636363636</v>
      </c>
      <c r="V8" s="44">
        <v>19.0</v>
      </c>
      <c r="W8" s="120">
        <f t="shared" si="3"/>
        <v>0.5263157895</v>
      </c>
      <c r="AA8" s="45" t="s">
        <v>119</v>
      </c>
      <c r="AB8" s="44">
        <f t="shared" si="4"/>
        <v>54</v>
      </c>
      <c r="AE8" s="45">
        <v>396.62</v>
      </c>
      <c r="AF8" s="45">
        <v>77.53</v>
      </c>
    </row>
    <row r="9">
      <c r="A9" s="19"/>
      <c r="B9" s="121" t="s">
        <v>120</v>
      </c>
      <c r="C9" s="122" t="str">
        <f t="shared" si="5"/>
        <v>#VALUE!</v>
      </c>
      <c r="F9" s="50" t="s">
        <v>121</v>
      </c>
      <c r="G9" s="122" t="str">
        <f t="shared" si="6"/>
        <v>#VALUE!</v>
      </c>
      <c r="I9" s="45">
        <v>30.0</v>
      </c>
      <c r="J9" s="45">
        <v>50.0</v>
      </c>
      <c r="K9" s="19"/>
      <c r="L9" s="117" t="s">
        <v>122</v>
      </c>
      <c r="M9" s="117" t="s">
        <v>123</v>
      </c>
      <c r="N9" s="38" t="s">
        <v>124</v>
      </c>
      <c r="P9" s="119">
        <v>1.0</v>
      </c>
      <c r="R9" s="45">
        <v>2.0</v>
      </c>
      <c r="S9" s="44">
        <f t="shared" si="1"/>
        <v>30</v>
      </c>
      <c r="T9" s="120">
        <f t="shared" si="2"/>
        <v>0.2727272727</v>
      </c>
      <c r="V9" s="44">
        <v>24.0</v>
      </c>
      <c r="W9" s="120">
        <f t="shared" si="3"/>
        <v>0.25</v>
      </c>
      <c r="AA9" s="45" t="s">
        <v>125</v>
      </c>
      <c r="AB9" s="44">
        <f t="shared" si="4"/>
        <v>81</v>
      </c>
      <c r="AE9" s="45">
        <v>386.95</v>
      </c>
      <c r="AF9" s="45">
        <v>196.62</v>
      </c>
    </row>
    <row r="10">
      <c r="A10" s="19"/>
      <c r="B10" s="123" t="s">
        <v>126</v>
      </c>
      <c r="C10" s="122" t="str">
        <f t="shared" si="5"/>
        <v>#VALUE!</v>
      </c>
      <c r="F10" s="50" t="s">
        <v>127</v>
      </c>
      <c r="G10" s="122" t="str">
        <f t="shared" si="6"/>
        <v>#VALUE!</v>
      </c>
      <c r="I10" s="45">
        <v>20.0</v>
      </c>
      <c r="J10" s="45">
        <v>40.0</v>
      </c>
      <c r="K10" s="19"/>
      <c r="L10" s="31" t="str">
        <f t="shared" ref="L10:L19" si="7">C8</f>
        <v>#VALUE!</v>
      </c>
      <c r="M10" s="19">
        <f t="shared" ref="M10:M18" si="8">M11*2</f>
        <v>512</v>
      </c>
      <c r="N10" s="44" t="str">
        <f t="shared" ref="N10:N19" si="9">M10*L10</f>
        <v>#VALUE!</v>
      </c>
      <c r="P10" s="119">
        <v>0.0</v>
      </c>
      <c r="S10" s="44">
        <f>SUM(S7:S9)</f>
        <v>110</v>
      </c>
      <c r="V10" s="44">
        <f>SUM(V7:V9)</f>
        <v>76</v>
      </c>
      <c r="AA10" s="45" t="s">
        <v>128</v>
      </c>
      <c r="AB10" s="44">
        <f t="shared" si="4"/>
        <v>54</v>
      </c>
      <c r="AE10" s="45">
        <v>325.02</v>
      </c>
      <c r="AF10" s="45">
        <v>159.3</v>
      </c>
    </row>
    <row r="11">
      <c r="B11" s="121" t="s">
        <v>129</v>
      </c>
      <c r="C11" s="122" t="str">
        <f t="shared" si="5"/>
        <v>#VALUE!</v>
      </c>
      <c r="F11" s="50" t="s">
        <v>130</v>
      </c>
      <c r="G11" s="122" t="str">
        <f t="shared" si="6"/>
        <v>#VALUE!</v>
      </c>
      <c r="I11" s="45">
        <v>20.0</v>
      </c>
      <c r="J11" s="45">
        <v>40.0</v>
      </c>
      <c r="K11" s="19"/>
      <c r="L11" s="31" t="str">
        <f t="shared" si="7"/>
        <v>#VALUE!</v>
      </c>
      <c r="M11" s="19">
        <f t="shared" si="8"/>
        <v>256</v>
      </c>
      <c r="N11" s="44" t="str">
        <f t="shared" si="9"/>
        <v>#VALUE!</v>
      </c>
      <c r="P11" s="119">
        <v>2.0</v>
      </c>
      <c r="AA11" s="45" t="s">
        <v>131</v>
      </c>
      <c r="AB11" s="44">
        <f t="shared" si="4"/>
        <v>54</v>
      </c>
      <c r="AE11" s="45">
        <v>311.0</v>
      </c>
      <c r="AF11" s="45">
        <v>139.56</v>
      </c>
    </row>
    <row r="12">
      <c r="B12" s="123" t="s">
        <v>132</v>
      </c>
      <c r="C12" s="122" t="str">
        <f t="shared" si="5"/>
        <v>#VALUE!</v>
      </c>
      <c r="F12" s="50" t="s">
        <v>133</v>
      </c>
      <c r="G12" s="122" t="str">
        <f t="shared" si="6"/>
        <v>#VALUE!</v>
      </c>
      <c r="I12" s="45">
        <v>20.0</v>
      </c>
      <c r="J12" s="45">
        <v>40.0</v>
      </c>
      <c r="K12" s="19"/>
      <c r="L12" s="31" t="str">
        <f t="shared" si="7"/>
        <v>#VALUE!</v>
      </c>
      <c r="M12" s="19">
        <f t="shared" si="8"/>
        <v>128</v>
      </c>
      <c r="N12" s="44" t="str">
        <f t="shared" si="9"/>
        <v>#VALUE!</v>
      </c>
      <c r="P12" s="119">
        <v>1.0</v>
      </c>
      <c r="AA12" s="45" t="s">
        <v>128</v>
      </c>
      <c r="AB12" s="44">
        <f t="shared" si="4"/>
        <v>54</v>
      </c>
      <c r="AE12" s="45">
        <v>298.88</v>
      </c>
      <c r="AF12" s="45">
        <v>9.97</v>
      </c>
    </row>
    <row r="13">
      <c r="B13" s="121" t="s">
        <v>134</v>
      </c>
      <c r="C13" s="122" t="str">
        <f t="shared" si="5"/>
        <v>#VALUE!</v>
      </c>
      <c r="F13" s="50" t="s">
        <v>135</v>
      </c>
      <c r="G13" s="122" t="str">
        <f t="shared" si="6"/>
        <v>#VALUE!</v>
      </c>
      <c r="I13" s="45">
        <v>20.0</v>
      </c>
      <c r="J13" s="45">
        <v>40.0</v>
      </c>
      <c r="L13" s="31" t="str">
        <f t="shared" si="7"/>
        <v>#VALUE!</v>
      </c>
      <c r="M13" s="19">
        <f t="shared" si="8"/>
        <v>64</v>
      </c>
      <c r="N13" s="44" t="str">
        <f t="shared" si="9"/>
        <v>#VALUE!</v>
      </c>
      <c r="P13" s="119">
        <v>1.0</v>
      </c>
      <c r="Q13" s="43"/>
      <c r="R13" s="82"/>
      <c r="S13" s="87" t="s">
        <v>136</v>
      </c>
      <c r="T13" s="87" t="s">
        <v>137</v>
      </c>
      <c r="U13" s="87" t="s">
        <v>138</v>
      </c>
      <c r="AA13" s="45" t="s">
        <v>139</v>
      </c>
      <c r="AB13" s="44">
        <f t="shared" si="4"/>
        <v>81</v>
      </c>
      <c r="AE13" s="45">
        <v>278.86</v>
      </c>
      <c r="AF13" s="45">
        <v>-2.22</v>
      </c>
    </row>
    <row r="14">
      <c r="B14" s="121" t="s">
        <v>140</v>
      </c>
      <c r="C14" s="122" t="str">
        <f t="shared" si="5"/>
        <v>#VALUE!</v>
      </c>
      <c r="F14" s="50" t="s">
        <v>141</v>
      </c>
      <c r="G14" s="122" t="str">
        <f t="shared" si="6"/>
        <v>#VALUE!</v>
      </c>
      <c r="I14" s="45">
        <v>20.0</v>
      </c>
      <c r="J14" s="45">
        <v>40.0</v>
      </c>
      <c r="L14" s="31" t="str">
        <f t="shared" si="7"/>
        <v>#VALUE!</v>
      </c>
      <c r="M14" s="19">
        <f t="shared" si="8"/>
        <v>32</v>
      </c>
      <c r="N14" s="44" t="str">
        <f t="shared" si="9"/>
        <v>#VALUE!</v>
      </c>
      <c r="P14" s="119">
        <v>1.0</v>
      </c>
      <c r="R14" s="87">
        <v>1.0</v>
      </c>
      <c r="S14" s="82">
        <v>18.0</v>
      </c>
      <c r="T14" s="82">
        <v>21.0</v>
      </c>
      <c r="U14" s="82">
        <v>11.0</v>
      </c>
      <c r="AA14" s="45" t="s">
        <v>142</v>
      </c>
      <c r="AB14" s="44">
        <f t="shared" si="4"/>
        <v>81</v>
      </c>
      <c r="AE14" s="45">
        <v>248.07</v>
      </c>
      <c r="AF14" s="45">
        <v>-78.26</v>
      </c>
    </row>
    <row r="15">
      <c r="B15" s="121" t="s">
        <v>143</v>
      </c>
      <c r="C15" s="122" t="str">
        <f t="shared" si="5"/>
        <v>#VALUE!</v>
      </c>
      <c r="F15" s="50" t="s">
        <v>144</v>
      </c>
      <c r="G15" s="122" t="str">
        <f t="shared" si="6"/>
        <v>#VALUE!</v>
      </c>
      <c r="I15" s="45">
        <v>20.0</v>
      </c>
      <c r="J15" s="45">
        <v>40.0</v>
      </c>
      <c r="L15" s="31" t="str">
        <f t="shared" si="7"/>
        <v>#VALUE!</v>
      </c>
      <c r="M15" s="19">
        <f t="shared" si="8"/>
        <v>16</v>
      </c>
      <c r="N15" s="44" t="str">
        <f t="shared" si="9"/>
        <v>#VALUE!</v>
      </c>
      <c r="P15" s="119">
        <v>1.0</v>
      </c>
      <c r="R15" s="87">
        <v>0.0</v>
      </c>
      <c r="S15" s="82">
        <v>8.0</v>
      </c>
      <c r="T15" s="82">
        <v>0.0</v>
      </c>
      <c r="U15" s="82">
        <v>13.0</v>
      </c>
      <c r="AA15" s="45" t="s">
        <v>145</v>
      </c>
      <c r="AB15" s="44">
        <f t="shared" si="4"/>
        <v>54</v>
      </c>
      <c r="AE15" s="45">
        <v>247.8</v>
      </c>
      <c r="AF15" s="45">
        <v>-49.83</v>
      </c>
    </row>
    <row r="16">
      <c r="B16" s="121" t="s">
        <v>146</v>
      </c>
      <c r="C16" s="122" t="str">
        <f t="shared" si="5"/>
        <v>#VALUE!</v>
      </c>
      <c r="F16" s="50" t="s">
        <v>147</v>
      </c>
      <c r="G16" s="122" t="str">
        <f t="shared" si="6"/>
        <v>#VALUE!</v>
      </c>
      <c r="I16" s="45">
        <v>20.0</v>
      </c>
      <c r="J16" s="45">
        <v>40.0</v>
      </c>
      <c r="L16" s="31" t="str">
        <f t="shared" si="7"/>
        <v>#VALUE!</v>
      </c>
      <c r="M16" s="19">
        <f t="shared" si="8"/>
        <v>8</v>
      </c>
      <c r="N16" s="44" t="str">
        <f t="shared" si="9"/>
        <v>#VALUE!</v>
      </c>
      <c r="P16" s="119">
        <v>0.0</v>
      </c>
      <c r="R16" s="87">
        <v>2.0</v>
      </c>
      <c r="S16" s="82">
        <v>10.0</v>
      </c>
      <c r="T16" s="82">
        <v>15.0</v>
      </c>
      <c r="U16" s="82">
        <v>12.0</v>
      </c>
      <c r="AA16" s="45" t="s">
        <v>148</v>
      </c>
      <c r="AB16" s="44">
        <f t="shared" si="4"/>
        <v>81</v>
      </c>
      <c r="AE16" s="45">
        <v>245.03</v>
      </c>
      <c r="AF16" s="45">
        <v>213.08</v>
      </c>
    </row>
    <row r="17">
      <c r="B17" s="121" t="s">
        <v>149</v>
      </c>
      <c r="C17" s="122" t="str">
        <f t="shared" si="5"/>
        <v>#VALUE!</v>
      </c>
      <c r="F17" s="50" t="s">
        <v>150</v>
      </c>
      <c r="G17" s="122" t="str">
        <f t="shared" si="6"/>
        <v>#VALUE!</v>
      </c>
      <c r="I17" s="45">
        <v>20.0</v>
      </c>
      <c r="J17" s="45">
        <v>40.0</v>
      </c>
      <c r="L17" s="31" t="str">
        <f t="shared" si="7"/>
        <v>#VALUE!</v>
      </c>
      <c r="M17" s="19">
        <f t="shared" si="8"/>
        <v>4</v>
      </c>
      <c r="N17" s="44" t="str">
        <f t="shared" si="9"/>
        <v>#VALUE!</v>
      </c>
      <c r="P17" s="119">
        <v>1.0</v>
      </c>
      <c r="R17" s="87" t="s">
        <v>151</v>
      </c>
      <c r="S17" s="124">
        <f t="shared" ref="S17:U17" si="10">SUM(S14:S16)</f>
        <v>36</v>
      </c>
      <c r="T17" s="82">
        <f t="shared" si="10"/>
        <v>36</v>
      </c>
      <c r="U17" s="82">
        <f t="shared" si="10"/>
        <v>36</v>
      </c>
      <c r="AE17" s="45">
        <v>215.88</v>
      </c>
      <c r="AF17" s="45">
        <v>45.87</v>
      </c>
    </row>
    <row r="18">
      <c r="F18" s="50" t="s">
        <v>152</v>
      </c>
      <c r="G18" s="122" t="str">
        <f t="shared" si="6"/>
        <v>#VALUE!</v>
      </c>
      <c r="I18" s="45">
        <v>10.0</v>
      </c>
      <c r="L18" s="31" t="str">
        <f t="shared" si="7"/>
        <v>#VALUE!</v>
      </c>
      <c r="M18" s="19">
        <f t="shared" si="8"/>
        <v>2</v>
      </c>
      <c r="N18" s="44" t="str">
        <f t="shared" si="9"/>
        <v>#VALUE!</v>
      </c>
      <c r="P18" s="119">
        <v>1.0</v>
      </c>
      <c r="R18" s="23"/>
      <c r="S18" s="23"/>
      <c r="T18" s="23"/>
      <c r="U18" s="23"/>
      <c r="AE18" s="45">
        <v>189.05</v>
      </c>
      <c r="AF18" s="45">
        <v>51.45</v>
      </c>
    </row>
    <row r="19">
      <c r="B19" s="38" t="s">
        <v>153</v>
      </c>
      <c r="C19" s="44" t="str">
        <f>AVERAGE(C8:C17)</f>
        <v>#VALUE!</v>
      </c>
      <c r="F19" s="50" t="s">
        <v>154</v>
      </c>
      <c r="G19" s="122" t="str">
        <f t="shared" si="6"/>
        <v>#VALUE!</v>
      </c>
      <c r="I19" s="45">
        <v>10.0</v>
      </c>
      <c r="L19" s="31" t="str">
        <f t="shared" si="7"/>
        <v>#VALUE!</v>
      </c>
      <c r="M19" s="19">
        <v>1.0</v>
      </c>
      <c r="N19" s="44" t="str">
        <f t="shared" si="9"/>
        <v>#VALUE!</v>
      </c>
      <c r="P19" s="119">
        <v>1.0</v>
      </c>
      <c r="R19" s="23"/>
      <c r="S19" s="23"/>
      <c r="T19" s="23"/>
      <c r="U19" s="23"/>
      <c r="AA19" s="45" t="s">
        <v>155</v>
      </c>
      <c r="AB19" s="44">
        <f>AVERAGE(AB7:AB16)</f>
        <v>67.5</v>
      </c>
      <c r="AE19" s="45">
        <v>161.12</v>
      </c>
      <c r="AF19" s="45">
        <v>125.27</v>
      </c>
    </row>
    <row r="20">
      <c r="F20" s="50" t="s">
        <v>156</v>
      </c>
      <c r="G20" s="122" t="str">
        <f t="shared" si="6"/>
        <v>#VALUE!</v>
      </c>
      <c r="I20" s="45">
        <v>10.0</v>
      </c>
      <c r="P20" s="119">
        <v>1.0</v>
      </c>
      <c r="R20" s="23"/>
      <c r="S20" s="23"/>
      <c r="T20" s="23"/>
      <c r="U20" s="23"/>
      <c r="AE20" s="45">
        <v>147.56</v>
      </c>
      <c r="AF20" s="45">
        <v>-64.93</v>
      </c>
    </row>
    <row r="21">
      <c r="F21" s="50" t="s">
        <v>157</v>
      </c>
      <c r="G21" s="122" t="str">
        <f t="shared" si="6"/>
        <v>#VALUE!</v>
      </c>
      <c r="I21" s="45">
        <v>10.0</v>
      </c>
      <c r="P21" s="119">
        <v>1.0</v>
      </c>
      <c r="R21" s="82"/>
      <c r="S21" s="87" t="s">
        <v>136</v>
      </c>
      <c r="T21" s="87" t="s">
        <v>137</v>
      </c>
      <c r="U21" s="87" t="s">
        <v>138</v>
      </c>
      <c r="AE21" s="45">
        <v>146.62</v>
      </c>
      <c r="AF21" s="45">
        <v>74.55</v>
      </c>
    </row>
    <row r="22">
      <c r="C22" s="122"/>
      <c r="F22" s="50" t="s">
        <v>158</v>
      </c>
      <c r="G22" s="122" t="str">
        <f t="shared" si="6"/>
        <v>#VALUE!</v>
      </c>
      <c r="I22" s="45">
        <v>10.0</v>
      </c>
      <c r="P22" s="119">
        <v>0.0</v>
      </c>
      <c r="R22" s="87">
        <v>1.0</v>
      </c>
      <c r="S22" s="125">
        <f t="shared" ref="S22:U22" si="11">S14/S$17</f>
        <v>0.5</v>
      </c>
      <c r="T22" s="125">
        <f t="shared" si="11"/>
        <v>0.5833333333</v>
      </c>
      <c r="U22" s="125">
        <f t="shared" si="11"/>
        <v>0.3055555556</v>
      </c>
      <c r="AE22" s="45">
        <v>143.08</v>
      </c>
      <c r="AF22" s="45">
        <v>57.92</v>
      </c>
    </row>
    <row r="23">
      <c r="C23" s="122"/>
      <c r="F23" s="126">
        <v>45356.0</v>
      </c>
      <c r="G23" s="122" t="str">
        <f t="shared" si="6"/>
        <v>#VALUE!</v>
      </c>
      <c r="I23" s="45">
        <v>10.0</v>
      </c>
      <c r="P23" s="119">
        <v>1.0</v>
      </c>
      <c r="R23" s="87">
        <v>0.0</v>
      </c>
      <c r="S23" s="125">
        <f t="shared" ref="S23:U23" si="12">S15/S$17</f>
        <v>0.2222222222</v>
      </c>
      <c r="T23" s="125">
        <f t="shared" si="12"/>
        <v>0</v>
      </c>
      <c r="U23" s="125">
        <f t="shared" si="12"/>
        <v>0.3611111111</v>
      </c>
      <c r="AE23" s="45">
        <v>135.11</v>
      </c>
      <c r="AF23" s="45">
        <v>-1.76</v>
      </c>
    </row>
    <row r="24">
      <c r="F24" s="50" t="s">
        <v>159</v>
      </c>
      <c r="G24" s="122" t="str">
        <f t="shared" si="6"/>
        <v>#VALUE!</v>
      </c>
      <c r="I24" s="45">
        <v>10.0</v>
      </c>
      <c r="P24" s="119">
        <v>1.0</v>
      </c>
      <c r="R24" s="87">
        <v>2.0</v>
      </c>
      <c r="S24" s="125">
        <f t="shared" ref="S24:U24" si="13">S16/S$17</f>
        <v>0.2777777778</v>
      </c>
      <c r="T24" s="125">
        <f t="shared" si="13"/>
        <v>0.4166666667</v>
      </c>
      <c r="U24" s="125">
        <f t="shared" si="13"/>
        <v>0.3333333333</v>
      </c>
      <c r="AE24" s="45">
        <v>132.91</v>
      </c>
      <c r="AF24" s="45">
        <v>294.68</v>
      </c>
    </row>
    <row r="25">
      <c r="F25" s="50" t="s">
        <v>160</v>
      </c>
      <c r="G25" s="122" t="str">
        <f t="shared" si="6"/>
        <v>#VALUE!</v>
      </c>
      <c r="I25" s="45">
        <v>10.0</v>
      </c>
      <c r="P25" s="119">
        <v>1.0</v>
      </c>
      <c r="R25" s="87" t="s">
        <v>151</v>
      </c>
      <c r="S25" s="124">
        <f t="shared" ref="S25:U25" si="14">SUM(S22:S24)</f>
        <v>1</v>
      </c>
      <c r="T25" s="125">
        <f t="shared" si="14"/>
        <v>1</v>
      </c>
      <c r="U25" s="125">
        <f t="shared" si="14"/>
        <v>1</v>
      </c>
      <c r="AE25" s="45">
        <v>127.74</v>
      </c>
      <c r="AF25" s="45">
        <v>332.05</v>
      </c>
    </row>
    <row r="26">
      <c r="F26" s="50" t="s">
        <v>161</v>
      </c>
      <c r="G26" s="122" t="str">
        <f t="shared" si="6"/>
        <v>#VALUE!</v>
      </c>
      <c r="I26" s="45">
        <v>10.0</v>
      </c>
      <c r="P26" s="119">
        <v>1.0</v>
      </c>
      <c r="AE26" s="45">
        <v>124.15</v>
      </c>
      <c r="AF26" s="45">
        <v>249.31</v>
      </c>
    </row>
    <row r="27">
      <c r="F27" s="126">
        <v>45542.0</v>
      </c>
      <c r="G27" s="122" t="str">
        <f t="shared" si="6"/>
        <v>#VALUE!</v>
      </c>
      <c r="I27" s="45">
        <v>10.0</v>
      </c>
      <c r="P27" s="119">
        <v>1.0</v>
      </c>
      <c r="AE27" s="45">
        <v>111.37</v>
      </c>
      <c r="AF27" s="45">
        <v>140.53</v>
      </c>
    </row>
    <row r="28">
      <c r="P28" s="119">
        <v>1.0</v>
      </c>
      <c r="AA28" s="45" t="s">
        <v>162</v>
      </c>
      <c r="AB28" s="45" t="s">
        <v>163</v>
      </c>
      <c r="AC28" s="45" t="s">
        <v>163</v>
      </c>
      <c r="AE28" s="45">
        <v>106.73</v>
      </c>
      <c r="AF28" s="45">
        <v>-68.34</v>
      </c>
    </row>
    <row r="29">
      <c r="F29" s="38" t="s">
        <v>153</v>
      </c>
      <c r="G29" s="44" t="str">
        <f>AVERAGE(G8:G27)</f>
        <v>#VALUE!</v>
      </c>
      <c r="H29" s="38"/>
      <c r="I29" s="118">
        <f>AVERAGE(I8:I27)</f>
        <v>16</v>
      </c>
      <c r="J29" s="118">
        <f>AVERAGE(J8:J17)</f>
        <v>42</v>
      </c>
      <c r="P29" s="119">
        <v>0.0</v>
      </c>
      <c r="AA29" s="52">
        <v>1051.0</v>
      </c>
      <c r="AB29" s="45">
        <v>207.56</v>
      </c>
      <c r="AC29" s="44">
        <f t="shared" ref="AC29:AC43" si="15">VLOOKUP(AA29,$AA$48:$AB$62,2,0)</f>
        <v>263.81</v>
      </c>
      <c r="AD29" s="120">
        <f t="shared" ref="AD29:AD43" si="16">(AC29-AB29)/AB29</f>
        <v>0.2710059742</v>
      </c>
      <c r="AE29" s="45">
        <v>101.39</v>
      </c>
      <c r="AF29" s="45">
        <v>207.24</v>
      </c>
    </row>
    <row r="30">
      <c r="P30" s="119">
        <v>0.0</v>
      </c>
      <c r="AA30" s="45">
        <v>112.0</v>
      </c>
      <c r="AB30" s="45">
        <v>185.35</v>
      </c>
      <c r="AC30" s="44">
        <f t="shared" si="15"/>
        <v>130.76</v>
      </c>
      <c r="AD30" s="120">
        <f t="shared" si="16"/>
        <v>-0.2945238738</v>
      </c>
      <c r="AE30" s="45">
        <v>95.51</v>
      </c>
      <c r="AF30" s="45">
        <v>214.38</v>
      </c>
    </row>
    <row r="31">
      <c r="P31" s="119">
        <v>2.0</v>
      </c>
      <c r="AA31" s="45">
        <v>752.0</v>
      </c>
      <c r="AB31" s="45">
        <v>121.6</v>
      </c>
      <c r="AC31" s="44">
        <f t="shared" si="15"/>
        <v>78.68</v>
      </c>
      <c r="AD31" s="120">
        <f t="shared" si="16"/>
        <v>-0.3529605263</v>
      </c>
      <c r="AE31" s="45">
        <v>93.4</v>
      </c>
      <c r="AF31" s="45">
        <v>111.66</v>
      </c>
    </row>
    <row r="32">
      <c r="B32" s="57" t="s">
        <v>164</v>
      </c>
      <c r="G32" s="122"/>
      <c r="P32" s="119">
        <v>0.0</v>
      </c>
      <c r="AA32" s="52">
        <v>1475.0</v>
      </c>
      <c r="AB32" s="45">
        <v>120.82</v>
      </c>
      <c r="AC32" s="44">
        <f t="shared" si="15"/>
        <v>83.5</v>
      </c>
      <c r="AD32" s="120">
        <f t="shared" si="16"/>
        <v>-0.3088892567</v>
      </c>
      <c r="AE32" s="45">
        <v>90.38</v>
      </c>
      <c r="AF32" s="45">
        <v>-64.77</v>
      </c>
    </row>
    <row r="33">
      <c r="B33" s="127" t="s">
        <v>165</v>
      </c>
      <c r="G33" s="128"/>
      <c r="P33" s="119">
        <v>1.0</v>
      </c>
      <c r="AA33" s="52">
        <v>1545.0</v>
      </c>
      <c r="AB33" s="45">
        <v>111.42</v>
      </c>
      <c r="AC33" s="44">
        <f t="shared" si="15"/>
        <v>101.16</v>
      </c>
      <c r="AD33" s="120">
        <f t="shared" si="16"/>
        <v>-0.09208400646</v>
      </c>
      <c r="AE33" s="45">
        <v>86.8</v>
      </c>
      <c r="AF33" s="45">
        <v>86.2</v>
      </c>
    </row>
    <row r="34">
      <c r="P34" s="119">
        <v>0.0</v>
      </c>
      <c r="AA34" s="45">
        <v>814.0</v>
      </c>
      <c r="AB34" s="45">
        <v>104.32</v>
      </c>
      <c r="AC34" s="44">
        <f t="shared" si="15"/>
        <v>60.31</v>
      </c>
      <c r="AD34" s="120">
        <f t="shared" si="16"/>
        <v>-0.421875</v>
      </c>
      <c r="AE34" s="45">
        <v>84.15</v>
      </c>
      <c r="AF34" s="45">
        <v>5.62</v>
      </c>
    </row>
    <row r="35">
      <c r="H35" s="38" t="s">
        <v>166</v>
      </c>
      <c r="P35" s="119">
        <v>1.0</v>
      </c>
      <c r="AA35" s="52">
        <v>1426.0</v>
      </c>
      <c r="AB35" s="45">
        <v>101.23</v>
      </c>
      <c r="AC35" s="44">
        <f t="shared" si="15"/>
        <v>68.02</v>
      </c>
      <c r="AD35" s="120">
        <f t="shared" si="16"/>
        <v>-0.3280648029</v>
      </c>
      <c r="AE35" s="45">
        <v>83.01</v>
      </c>
      <c r="AF35" s="45">
        <v>43.27</v>
      </c>
    </row>
    <row r="36">
      <c r="G36" s="38" t="s">
        <v>37</v>
      </c>
      <c r="H36" s="129">
        <v>4.555000000000001</v>
      </c>
      <c r="P36" s="119">
        <v>1.0</v>
      </c>
      <c r="AA36" s="52">
        <v>1447.0</v>
      </c>
      <c r="AB36" s="45">
        <v>97.89</v>
      </c>
      <c r="AC36" s="44">
        <f t="shared" si="15"/>
        <v>138.76</v>
      </c>
      <c r="AD36" s="120">
        <f t="shared" si="16"/>
        <v>0.4175094494</v>
      </c>
      <c r="AE36" s="45">
        <v>80.91</v>
      </c>
      <c r="AF36" s="45">
        <v>128.36</v>
      </c>
    </row>
    <row r="37">
      <c r="A37" s="43"/>
      <c r="B37" s="43"/>
      <c r="C37" s="43"/>
      <c r="D37" s="130">
        <f>AVERAGE(D39:D1775)</f>
        <v>5.495813953</v>
      </c>
      <c r="G37" s="38" t="s">
        <v>36</v>
      </c>
      <c r="H37" s="129">
        <v>7.555294117647058</v>
      </c>
      <c r="P37" s="119">
        <v>1.0</v>
      </c>
      <c r="AA37" s="45">
        <v>136.0</v>
      </c>
      <c r="AB37" s="45">
        <v>87.93</v>
      </c>
      <c r="AC37" s="44">
        <f t="shared" si="15"/>
        <v>58.8</v>
      </c>
      <c r="AD37" s="120">
        <f t="shared" si="16"/>
        <v>-0.3312862504</v>
      </c>
      <c r="AE37" s="45">
        <v>80.19</v>
      </c>
      <c r="AF37" s="45">
        <v>-56.27</v>
      </c>
    </row>
    <row r="38">
      <c r="G38" s="38" t="s">
        <v>28</v>
      </c>
      <c r="H38" s="131">
        <v>2.21</v>
      </c>
      <c r="P38" s="119">
        <v>2.0</v>
      </c>
      <c r="AA38" s="52">
        <v>1526.0</v>
      </c>
      <c r="AB38" s="45">
        <v>85.82</v>
      </c>
      <c r="AC38" s="44">
        <f t="shared" si="15"/>
        <v>53.3</v>
      </c>
      <c r="AD38" s="120">
        <f t="shared" si="16"/>
        <v>-0.3789326497</v>
      </c>
      <c r="AE38" s="45">
        <v>79.61</v>
      </c>
      <c r="AF38" s="45">
        <v>-61.31</v>
      </c>
    </row>
    <row r="39">
      <c r="C39" s="132" t="s">
        <v>167</v>
      </c>
      <c r="D39" s="122">
        <f t="shared" ref="D39:D221" si="17">IF(COUNTA(C39)=1,C39/1,"")</f>
        <v>2.33</v>
      </c>
      <c r="G39" s="38" t="s">
        <v>29</v>
      </c>
      <c r="H39" s="129">
        <v>9.938235294117648</v>
      </c>
      <c r="P39" s="119">
        <v>1.0</v>
      </c>
      <c r="AA39" s="45">
        <v>952.0</v>
      </c>
      <c r="AB39" s="45">
        <v>78.09</v>
      </c>
      <c r="AC39" s="44">
        <f t="shared" si="15"/>
        <v>73.76</v>
      </c>
      <c r="AD39" s="120">
        <f t="shared" si="16"/>
        <v>-0.05544884108</v>
      </c>
      <c r="AE39" s="45">
        <v>78.89</v>
      </c>
      <c r="AF39" s="45">
        <v>-18.54</v>
      </c>
    </row>
    <row r="40">
      <c r="C40" s="133" t="s">
        <v>168</v>
      </c>
      <c r="D40" s="122">
        <f t="shared" si="17"/>
        <v>0.08</v>
      </c>
      <c r="G40" s="38" t="s">
        <v>25</v>
      </c>
      <c r="H40" s="129">
        <v>3.3411111111111107</v>
      </c>
      <c r="P40" s="119">
        <v>2.0</v>
      </c>
      <c r="AA40" s="52">
        <v>1606.0</v>
      </c>
      <c r="AB40" s="45">
        <v>77.21</v>
      </c>
      <c r="AC40" s="44">
        <f t="shared" si="15"/>
        <v>75.05</v>
      </c>
      <c r="AD40" s="120">
        <f t="shared" si="16"/>
        <v>-0.02797565082</v>
      </c>
      <c r="AE40" s="45">
        <v>78.73</v>
      </c>
      <c r="AF40" s="45">
        <v>134.76</v>
      </c>
    </row>
    <row r="41">
      <c r="C41" s="133" t="s">
        <v>169</v>
      </c>
      <c r="D41" s="122">
        <f t="shared" si="17"/>
        <v>0.86</v>
      </c>
      <c r="P41" s="119">
        <v>0.0</v>
      </c>
      <c r="AA41" s="52">
        <v>1164.0</v>
      </c>
      <c r="AB41" s="45">
        <v>76.05</v>
      </c>
      <c r="AC41" s="44">
        <f t="shared" si="15"/>
        <v>26.27</v>
      </c>
      <c r="AD41" s="120">
        <f t="shared" si="16"/>
        <v>-0.6545693623</v>
      </c>
      <c r="AE41" s="45">
        <v>78.25</v>
      </c>
      <c r="AF41" s="45">
        <v>-66.82</v>
      </c>
    </row>
    <row r="42">
      <c r="C42" s="133" t="s">
        <v>170</v>
      </c>
      <c r="D42" s="122">
        <f t="shared" si="17"/>
        <v>0.23</v>
      </c>
      <c r="P42" s="119">
        <v>2.0</v>
      </c>
      <c r="AA42" s="52">
        <v>1448.0</v>
      </c>
      <c r="AB42" s="45">
        <v>71.77</v>
      </c>
      <c r="AC42" s="44">
        <f t="shared" si="15"/>
        <v>39.69</v>
      </c>
      <c r="AD42" s="120">
        <f t="shared" si="16"/>
        <v>-0.4469834193</v>
      </c>
      <c r="AE42" s="45">
        <v>76.75</v>
      </c>
      <c r="AF42" s="45">
        <v>-3.93</v>
      </c>
    </row>
    <row r="43">
      <c r="C43" s="133" t="s">
        <v>171</v>
      </c>
      <c r="D43" s="122">
        <f t="shared" si="17"/>
        <v>8.96</v>
      </c>
      <c r="P43" s="119">
        <v>1.0</v>
      </c>
      <c r="AA43" s="52">
        <v>1614.0</v>
      </c>
      <c r="AB43" s="45">
        <v>68.01</v>
      </c>
      <c r="AC43" s="44">
        <f t="shared" si="15"/>
        <v>67.42</v>
      </c>
      <c r="AD43" s="120">
        <f t="shared" si="16"/>
        <v>-0.008675194824</v>
      </c>
      <c r="AE43" s="45">
        <v>72.53</v>
      </c>
      <c r="AF43" s="45">
        <v>-12.29</v>
      </c>
    </row>
    <row r="44">
      <c r="C44" s="133" t="s">
        <v>172</v>
      </c>
      <c r="D44" s="122">
        <f t="shared" si="17"/>
        <v>9.16</v>
      </c>
      <c r="P44" s="119">
        <v>2.0</v>
      </c>
      <c r="AB44" s="44">
        <f t="shared" ref="AB44:AD44" si="18">AVERAGE(AB29:AB43)</f>
        <v>106.338</v>
      </c>
      <c r="AC44" s="44">
        <f t="shared" si="18"/>
        <v>87.95266667</v>
      </c>
      <c r="AD44" s="120">
        <f t="shared" si="18"/>
        <v>-0.2009168941</v>
      </c>
      <c r="AE44" s="45">
        <v>70.47</v>
      </c>
      <c r="AF44" s="45">
        <v>373.65</v>
      </c>
    </row>
    <row r="45">
      <c r="C45" s="133" t="s">
        <v>173</v>
      </c>
      <c r="D45" s="122">
        <f t="shared" si="17"/>
        <v>9.83</v>
      </c>
      <c r="P45" s="119">
        <v>1.0</v>
      </c>
      <c r="AE45" s="45">
        <v>69.71</v>
      </c>
      <c r="AF45" s="45">
        <v>-64.4</v>
      </c>
    </row>
    <row r="46">
      <c r="C46" s="133" t="s">
        <v>174</v>
      </c>
      <c r="D46" s="122">
        <f t="shared" si="17"/>
        <v>4.55</v>
      </c>
      <c r="G46" s="93" t="s">
        <v>175</v>
      </c>
      <c r="H46" s="93" t="s">
        <v>176</v>
      </c>
      <c r="P46" s="119">
        <v>0.0</v>
      </c>
      <c r="AE46" s="45">
        <v>69.63</v>
      </c>
      <c r="AF46" s="45">
        <v>-60.86</v>
      </c>
    </row>
    <row r="47">
      <c r="C47" s="133" t="s">
        <v>177</v>
      </c>
      <c r="D47" s="122">
        <f t="shared" si="17"/>
        <v>6.78</v>
      </c>
      <c r="G47" s="98" t="s">
        <v>37</v>
      </c>
      <c r="H47" s="134">
        <v>0.376453591155815</v>
      </c>
      <c r="P47" s="119">
        <v>2.0</v>
      </c>
      <c r="AA47" s="45" t="s">
        <v>3</v>
      </c>
      <c r="AB47" s="45" t="s">
        <v>163</v>
      </c>
      <c r="AE47" s="45">
        <v>67.98</v>
      </c>
      <c r="AF47" s="45">
        <v>104.85</v>
      </c>
    </row>
    <row r="48">
      <c r="C48" s="133" t="s">
        <v>178</v>
      </c>
      <c r="D48" s="122">
        <f t="shared" si="17"/>
        <v>5.35</v>
      </c>
      <c r="G48" s="98" t="s">
        <v>36</v>
      </c>
      <c r="H48" s="134">
        <v>0.36678739680281</v>
      </c>
      <c r="J48" s="45" t="s">
        <v>179</v>
      </c>
      <c r="K48" s="120">
        <f>AVERAGE(H47:H51)</f>
        <v>0.326199044</v>
      </c>
      <c r="P48" s="119">
        <v>2.0</v>
      </c>
      <c r="AA48" s="45">
        <v>136.0</v>
      </c>
      <c r="AB48" s="45">
        <v>58.8</v>
      </c>
      <c r="AE48" s="45">
        <v>65.59</v>
      </c>
      <c r="AF48" s="45">
        <v>-43.48</v>
      </c>
    </row>
    <row r="49">
      <c r="C49" s="133" t="s">
        <v>180</v>
      </c>
      <c r="D49" s="122">
        <f t="shared" si="17"/>
        <v>9.07</v>
      </c>
      <c r="G49" s="98" t="s">
        <v>28</v>
      </c>
      <c r="H49" s="134">
        <v>0.142870351877935</v>
      </c>
      <c r="J49" s="45" t="s">
        <v>181</v>
      </c>
      <c r="K49" s="120">
        <f>MEDIAN(H47:H51)</f>
        <v>0.3667873968</v>
      </c>
      <c r="P49" s="119">
        <v>1.0</v>
      </c>
      <c r="AA49" s="52">
        <v>1051.0</v>
      </c>
      <c r="AB49" s="45">
        <v>263.81</v>
      </c>
      <c r="AE49" s="45">
        <v>63.74</v>
      </c>
      <c r="AF49" s="45">
        <v>-13.96</v>
      </c>
    </row>
    <row r="50">
      <c r="C50" s="133" t="s">
        <v>182</v>
      </c>
      <c r="D50" s="122">
        <f t="shared" si="17"/>
        <v>9.62</v>
      </c>
      <c r="G50" s="98" t="s">
        <v>29</v>
      </c>
      <c r="H50" s="134">
        <v>0.497437843674554</v>
      </c>
      <c r="J50" s="45" t="s">
        <v>183</v>
      </c>
      <c r="K50" s="120">
        <f>PERCENTILE(H47:H51,0.25)</f>
        <v>0.2474460363</v>
      </c>
      <c r="P50" s="119">
        <v>1.0</v>
      </c>
      <c r="AA50" s="45">
        <v>112.0</v>
      </c>
      <c r="AB50" s="45">
        <v>130.76</v>
      </c>
      <c r="AE50" s="45">
        <v>61.0</v>
      </c>
      <c r="AF50" s="45">
        <v>-77.71</v>
      </c>
    </row>
    <row r="51">
      <c r="C51" s="133" t="s">
        <v>184</v>
      </c>
      <c r="D51" s="122">
        <f t="shared" si="17"/>
        <v>6.23</v>
      </c>
      <c r="G51" s="98" t="s">
        <v>25</v>
      </c>
      <c r="H51" s="134">
        <v>0.247446036291655</v>
      </c>
      <c r="J51" s="45" t="s">
        <v>185</v>
      </c>
      <c r="K51" s="120">
        <f>PERCENTILE(H47:H51,0.75)</f>
        <v>0.3764535912</v>
      </c>
      <c r="P51" s="119">
        <v>2.0</v>
      </c>
      <c r="AA51" s="52">
        <v>1545.0</v>
      </c>
      <c r="AB51" s="45">
        <v>101.16</v>
      </c>
      <c r="AE51" s="45">
        <v>59.79</v>
      </c>
      <c r="AF51" s="45">
        <v>-9.07</v>
      </c>
    </row>
    <row r="52">
      <c r="C52" s="133" t="s">
        <v>186</v>
      </c>
      <c r="D52" s="122">
        <f t="shared" si="17"/>
        <v>6.67</v>
      </c>
      <c r="P52" s="119">
        <v>0.0</v>
      </c>
      <c r="AA52" s="52">
        <v>1447.0</v>
      </c>
      <c r="AB52" s="45">
        <v>138.76</v>
      </c>
      <c r="AE52" s="45">
        <v>59.39</v>
      </c>
      <c r="AF52" s="45">
        <v>-33.86</v>
      </c>
    </row>
    <row r="53">
      <c r="C53" s="133" t="s">
        <v>171</v>
      </c>
      <c r="D53" s="122">
        <f t="shared" si="17"/>
        <v>8.96</v>
      </c>
      <c r="P53" s="119">
        <v>0.0</v>
      </c>
      <c r="AA53" s="52">
        <v>1426.0</v>
      </c>
      <c r="AB53" s="45">
        <v>68.02</v>
      </c>
      <c r="AE53" s="45">
        <v>58.59</v>
      </c>
      <c r="AF53" s="45">
        <v>-74.83</v>
      </c>
    </row>
    <row r="54">
      <c r="C54" s="133" t="s">
        <v>187</v>
      </c>
      <c r="D54" s="122">
        <f t="shared" si="17"/>
        <v>7.71</v>
      </c>
      <c r="P54" s="119">
        <v>2.0</v>
      </c>
      <c r="AA54" s="52">
        <v>1475.0</v>
      </c>
      <c r="AB54" s="45">
        <v>83.5</v>
      </c>
      <c r="AE54" s="45">
        <v>49.75</v>
      </c>
      <c r="AF54" s="45">
        <v>149.15</v>
      </c>
    </row>
    <row r="55">
      <c r="C55" s="133" t="s">
        <v>188</v>
      </c>
      <c r="D55" s="122">
        <f t="shared" si="17"/>
        <v>7.62</v>
      </c>
      <c r="P55" s="119">
        <v>0.0</v>
      </c>
      <c r="AA55" s="52">
        <v>1606.0</v>
      </c>
      <c r="AB55" s="45">
        <v>75.05</v>
      </c>
      <c r="AE55" s="45">
        <v>48.97</v>
      </c>
      <c r="AF55" s="45">
        <v>25.8</v>
      </c>
    </row>
    <row r="56">
      <c r="C56" s="133" t="s">
        <v>189</v>
      </c>
      <c r="D56" s="122">
        <f t="shared" si="17"/>
        <v>8.13</v>
      </c>
      <c r="P56" s="119">
        <v>0.0</v>
      </c>
      <c r="AA56" s="52">
        <v>1614.0</v>
      </c>
      <c r="AB56" s="45">
        <v>67.42</v>
      </c>
      <c r="AE56" s="45">
        <v>48.13</v>
      </c>
      <c r="AF56" s="45">
        <v>108.9</v>
      </c>
    </row>
    <row r="57">
      <c r="C57" s="133" t="s">
        <v>190</v>
      </c>
      <c r="D57" s="122">
        <f t="shared" si="17"/>
        <v>7.73</v>
      </c>
      <c r="P57" s="119">
        <v>2.0</v>
      </c>
      <c r="AA57" s="45">
        <v>814.0</v>
      </c>
      <c r="AB57" s="45">
        <v>60.31</v>
      </c>
      <c r="AE57" s="45">
        <v>47.34</v>
      </c>
      <c r="AF57" s="45">
        <v>135.05</v>
      </c>
    </row>
    <row r="58">
      <c r="C58" s="133" t="s">
        <v>191</v>
      </c>
      <c r="D58" s="122">
        <f t="shared" si="17"/>
        <v>7.8</v>
      </c>
      <c r="G58" s="135" t="s">
        <v>192</v>
      </c>
      <c r="H58" s="136"/>
      <c r="P58" s="119">
        <v>1.0</v>
      </c>
      <c r="AA58" s="45">
        <v>752.0</v>
      </c>
      <c r="AB58" s="45">
        <v>78.68</v>
      </c>
      <c r="AE58" s="45">
        <v>47.21</v>
      </c>
      <c r="AF58" s="45">
        <v>125.02</v>
      </c>
    </row>
    <row r="59">
      <c r="C59" s="133" t="s">
        <v>193</v>
      </c>
      <c r="D59" s="122">
        <f t="shared" si="17"/>
        <v>7.94</v>
      </c>
      <c r="G59" s="136"/>
      <c r="H59" s="137" t="s">
        <v>194</v>
      </c>
      <c r="P59" s="119">
        <v>0.0</v>
      </c>
      <c r="AA59" s="45">
        <v>952.0</v>
      </c>
      <c r="AB59" s="45">
        <v>73.76</v>
      </c>
      <c r="AE59" s="45">
        <v>45.51</v>
      </c>
      <c r="AF59" s="45">
        <v>1.46</v>
      </c>
    </row>
    <row r="60">
      <c r="C60" s="133" t="s">
        <v>195</v>
      </c>
      <c r="D60" s="122">
        <f t="shared" si="17"/>
        <v>8.21</v>
      </c>
      <c r="G60" s="136"/>
      <c r="H60" s="137" t="s">
        <v>196</v>
      </c>
      <c r="P60" s="119">
        <v>2.0</v>
      </c>
      <c r="AA60" s="52">
        <v>1526.0</v>
      </c>
      <c r="AB60" s="45">
        <v>53.3</v>
      </c>
      <c r="AE60" s="45">
        <v>44.74</v>
      </c>
      <c r="AF60" s="45">
        <v>91.29</v>
      </c>
    </row>
    <row r="61">
      <c r="C61" s="133" t="s">
        <v>197</v>
      </c>
      <c r="D61" s="122">
        <f t="shared" si="17"/>
        <v>8.04</v>
      </c>
      <c r="G61" s="136"/>
      <c r="H61" s="137" t="s">
        <v>198</v>
      </c>
      <c r="P61" s="119">
        <v>2.0</v>
      </c>
      <c r="AA61" s="52">
        <v>1448.0</v>
      </c>
      <c r="AB61" s="45">
        <v>39.69</v>
      </c>
      <c r="AE61" s="45">
        <v>44.45</v>
      </c>
      <c r="AF61" s="45">
        <v>-32.75</v>
      </c>
    </row>
    <row r="62">
      <c r="C62" s="133" t="s">
        <v>199</v>
      </c>
      <c r="D62" s="122">
        <f t="shared" si="17"/>
        <v>7.59</v>
      </c>
      <c r="G62" s="136"/>
      <c r="H62" s="137" t="s">
        <v>200</v>
      </c>
      <c r="P62" s="119">
        <v>1.0</v>
      </c>
      <c r="AA62" s="52">
        <v>1164.0</v>
      </c>
      <c r="AB62" s="45">
        <v>26.27</v>
      </c>
      <c r="AE62" s="45">
        <v>43.57</v>
      </c>
      <c r="AF62" s="45">
        <v>-43.4</v>
      </c>
    </row>
    <row r="63">
      <c r="C63" s="133" t="s">
        <v>201</v>
      </c>
      <c r="D63" s="122">
        <f t="shared" si="17"/>
        <v>2.6</v>
      </c>
      <c r="G63" s="136"/>
      <c r="H63" s="137" t="s">
        <v>202</v>
      </c>
      <c r="P63" s="119">
        <v>0.0</v>
      </c>
      <c r="AE63" s="45">
        <v>43.45</v>
      </c>
      <c r="AF63" s="45">
        <v>-44.18</v>
      </c>
    </row>
    <row r="64">
      <c r="C64" s="133" t="s">
        <v>203</v>
      </c>
      <c r="D64" s="122">
        <f t="shared" si="17"/>
        <v>2.54</v>
      </c>
      <c r="P64" s="119">
        <v>1.0</v>
      </c>
      <c r="AE64" s="45">
        <v>43.36</v>
      </c>
      <c r="AF64" s="45">
        <v>-27.6</v>
      </c>
    </row>
    <row r="65">
      <c r="C65" s="133" t="s">
        <v>204</v>
      </c>
      <c r="D65" s="122">
        <f t="shared" si="17"/>
        <v>4.3</v>
      </c>
      <c r="P65" s="119">
        <v>2.0</v>
      </c>
      <c r="AE65" s="45">
        <v>42.74</v>
      </c>
      <c r="AF65" s="45">
        <v>-59.18</v>
      </c>
    </row>
    <row r="66">
      <c r="C66" s="133" t="s">
        <v>205</v>
      </c>
      <c r="D66" s="122">
        <f t="shared" si="17"/>
        <v>3.91</v>
      </c>
      <c r="P66" s="119">
        <v>0.0</v>
      </c>
      <c r="AE66" s="45">
        <v>42.18</v>
      </c>
      <c r="AF66" s="45">
        <v>-37.16</v>
      </c>
    </row>
    <row r="67">
      <c r="C67" s="133" t="s">
        <v>206</v>
      </c>
      <c r="D67" s="122">
        <f t="shared" si="17"/>
        <v>11.47</v>
      </c>
      <c r="P67" s="119">
        <v>0.0</v>
      </c>
      <c r="AE67" s="45">
        <v>40.68</v>
      </c>
      <c r="AF67" s="45">
        <v>223.42</v>
      </c>
    </row>
    <row r="68">
      <c r="C68" s="133" t="s">
        <v>207</v>
      </c>
      <c r="D68" s="122">
        <f t="shared" si="17"/>
        <v>0</v>
      </c>
      <c r="P68" s="119">
        <v>1.0</v>
      </c>
      <c r="AE68" s="45">
        <v>39.22</v>
      </c>
      <c r="AF68" s="45">
        <v>-20.09</v>
      </c>
    </row>
    <row r="69">
      <c r="C69" s="133" t="s">
        <v>208</v>
      </c>
      <c r="D69" s="122">
        <f t="shared" si="17"/>
        <v>10.36</v>
      </c>
      <c r="P69" s="119">
        <v>2.0</v>
      </c>
      <c r="AE69" s="45">
        <v>38.29</v>
      </c>
      <c r="AF69" s="45">
        <v>-64.28</v>
      </c>
    </row>
    <row r="70">
      <c r="C70" s="133" t="s">
        <v>209</v>
      </c>
      <c r="D70" s="122">
        <f t="shared" si="17"/>
        <v>10.91</v>
      </c>
      <c r="P70" s="119">
        <v>1.0</v>
      </c>
      <c r="AE70" s="45">
        <v>37.04</v>
      </c>
      <c r="AF70" s="45">
        <v>-46.65</v>
      </c>
    </row>
    <row r="71">
      <c r="C71" s="133" t="s">
        <v>210</v>
      </c>
      <c r="D71" s="122">
        <f t="shared" si="17"/>
        <v>1.95</v>
      </c>
      <c r="F71" s="138"/>
      <c r="P71" s="119">
        <v>1.0</v>
      </c>
      <c r="AE71" s="45">
        <v>35.75</v>
      </c>
      <c r="AF71" s="45">
        <v>19.5</v>
      </c>
    </row>
    <row r="72">
      <c r="C72" s="133" t="s">
        <v>211</v>
      </c>
      <c r="D72" s="122">
        <f t="shared" si="17"/>
        <v>9.68</v>
      </c>
      <c r="P72" s="119">
        <v>0.0</v>
      </c>
      <c r="AE72" s="45">
        <v>34.32</v>
      </c>
      <c r="AF72" s="45">
        <v>-73.73</v>
      </c>
    </row>
    <row r="73">
      <c r="C73" s="133" t="s">
        <v>212</v>
      </c>
      <c r="D73" s="122">
        <f t="shared" si="17"/>
        <v>9.01</v>
      </c>
      <c r="P73" s="119">
        <v>1.0</v>
      </c>
      <c r="AE73" s="45">
        <v>34.22</v>
      </c>
      <c r="AF73" s="45">
        <v>-18.66</v>
      </c>
    </row>
    <row r="74">
      <c r="C74" s="133" t="s">
        <v>213</v>
      </c>
      <c r="D74" s="122">
        <f t="shared" si="17"/>
        <v>9.76</v>
      </c>
      <c r="P74" s="119">
        <v>0.0</v>
      </c>
      <c r="AE74" s="45">
        <v>33.52</v>
      </c>
      <c r="AF74" s="45">
        <v>-40.62</v>
      </c>
    </row>
    <row r="75">
      <c r="C75" s="133" t="s">
        <v>214</v>
      </c>
      <c r="D75" s="122">
        <f t="shared" si="17"/>
        <v>7.88</v>
      </c>
      <c r="P75" s="119">
        <v>1.0</v>
      </c>
      <c r="AE75" s="45">
        <v>33.35</v>
      </c>
      <c r="AF75" s="45">
        <v>-47.6</v>
      </c>
    </row>
    <row r="76">
      <c r="C76" s="133" t="s">
        <v>215</v>
      </c>
      <c r="D76" s="122">
        <f t="shared" si="17"/>
        <v>13.76</v>
      </c>
      <c r="P76" s="119">
        <v>0.0</v>
      </c>
      <c r="AE76" s="45">
        <v>32.76</v>
      </c>
      <c r="AF76" s="45">
        <v>-24.49</v>
      </c>
    </row>
    <row r="77">
      <c r="C77" s="133" t="s">
        <v>216</v>
      </c>
      <c r="D77" s="122">
        <f t="shared" si="17"/>
        <v>13.51</v>
      </c>
      <c r="P77" s="119">
        <v>0.0</v>
      </c>
      <c r="AE77" s="45">
        <v>31.4</v>
      </c>
      <c r="AF77" s="45">
        <v>-35.28</v>
      </c>
    </row>
    <row r="78">
      <c r="C78" s="133" t="s">
        <v>217</v>
      </c>
      <c r="D78" s="122">
        <f t="shared" si="17"/>
        <v>1.98</v>
      </c>
      <c r="P78" s="119">
        <v>1.0</v>
      </c>
      <c r="AE78" s="45">
        <v>30.17</v>
      </c>
      <c r="AF78" s="45">
        <v>-70.08</v>
      </c>
    </row>
    <row r="79">
      <c r="C79" s="133" t="s">
        <v>218</v>
      </c>
      <c r="D79" s="122">
        <f t="shared" si="17"/>
        <v>2.45</v>
      </c>
      <c r="P79" s="119">
        <v>2.0</v>
      </c>
      <c r="AE79" s="45">
        <v>29.4</v>
      </c>
      <c r="AF79" s="45">
        <v>-10.36</v>
      </c>
    </row>
    <row r="80">
      <c r="C80" s="133" t="s">
        <v>219</v>
      </c>
      <c r="D80" s="122">
        <f t="shared" si="17"/>
        <v>2.28</v>
      </c>
      <c r="P80" s="119">
        <v>1.0</v>
      </c>
      <c r="AE80" s="45">
        <v>28.21</v>
      </c>
      <c r="AF80" s="45">
        <v>-31.91</v>
      </c>
    </row>
    <row r="81">
      <c r="C81" s="133" t="s">
        <v>220</v>
      </c>
      <c r="D81" s="122">
        <f t="shared" si="17"/>
        <v>2.29</v>
      </c>
      <c r="P81" s="119">
        <v>2.0</v>
      </c>
      <c r="AE81" s="45">
        <v>26.36</v>
      </c>
      <c r="AF81" s="45">
        <v>-55.82</v>
      </c>
    </row>
    <row r="82">
      <c r="C82" s="133" t="s">
        <v>221</v>
      </c>
      <c r="D82" s="122">
        <f t="shared" si="17"/>
        <v>0.1</v>
      </c>
      <c r="P82" s="119">
        <v>1.0</v>
      </c>
      <c r="AE82" s="45">
        <v>25.78</v>
      </c>
      <c r="AF82" s="45">
        <v>9.54</v>
      </c>
    </row>
    <row r="83">
      <c r="C83" s="133" t="s">
        <v>222</v>
      </c>
      <c r="D83" s="122">
        <f t="shared" si="17"/>
        <v>2.55</v>
      </c>
      <c r="P83" s="119">
        <v>0.0</v>
      </c>
      <c r="AE83" s="45">
        <v>23.92</v>
      </c>
      <c r="AF83" s="45">
        <v>40.59</v>
      </c>
    </row>
    <row r="84">
      <c r="C84" s="133" t="s">
        <v>223</v>
      </c>
      <c r="D84" s="122">
        <f t="shared" si="17"/>
        <v>2.18</v>
      </c>
      <c r="P84" s="119">
        <v>1.0</v>
      </c>
      <c r="AE84" s="45">
        <v>22.79</v>
      </c>
      <c r="AF84" s="45">
        <v>-71.84</v>
      </c>
    </row>
    <row r="85">
      <c r="C85" s="133" t="s">
        <v>177</v>
      </c>
      <c r="D85" s="122">
        <f t="shared" si="17"/>
        <v>6.78</v>
      </c>
      <c r="P85" s="119">
        <v>0.0</v>
      </c>
      <c r="AE85" s="45">
        <v>21.0</v>
      </c>
      <c r="AF85" s="45">
        <v>-59.22</v>
      </c>
    </row>
    <row r="86">
      <c r="C86" s="133" t="s">
        <v>224</v>
      </c>
      <c r="D86" s="122">
        <f t="shared" si="17"/>
        <v>1.16</v>
      </c>
      <c r="P86" s="119">
        <v>0.0</v>
      </c>
      <c r="AE86" s="45">
        <v>20.94</v>
      </c>
      <c r="AF86" s="45">
        <v>-71.78</v>
      </c>
    </row>
    <row r="87">
      <c r="C87" s="133" t="s">
        <v>225</v>
      </c>
      <c r="D87" s="122">
        <f t="shared" si="17"/>
        <v>1.49</v>
      </c>
      <c r="P87" s="119">
        <v>1.0</v>
      </c>
      <c r="AE87" s="45">
        <v>20.55</v>
      </c>
      <c r="AF87" s="45">
        <v>-77.85</v>
      </c>
    </row>
    <row r="88">
      <c r="C88" s="133" t="s">
        <v>226</v>
      </c>
      <c r="D88" s="122">
        <f t="shared" si="17"/>
        <v>4.05</v>
      </c>
      <c r="P88" s="119">
        <v>2.0</v>
      </c>
      <c r="AE88" s="45">
        <v>17.74</v>
      </c>
      <c r="AF88" s="45">
        <v>13.18</v>
      </c>
    </row>
    <row r="89">
      <c r="C89" s="133" t="s">
        <v>227</v>
      </c>
      <c r="D89" s="122">
        <f t="shared" si="17"/>
        <v>7.19</v>
      </c>
      <c r="P89" s="119">
        <v>2.0</v>
      </c>
      <c r="AE89" s="45">
        <v>17.33</v>
      </c>
      <c r="AF89" s="45">
        <v>16.81</v>
      </c>
    </row>
    <row r="90">
      <c r="C90" s="133" t="s">
        <v>228</v>
      </c>
      <c r="D90" s="122">
        <f t="shared" si="17"/>
        <v>2.16</v>
      </c>
      <c r="P90" s="119">
        <v>1.0</v>
      </c>
      <c r="AE90" s="45">
        <v>16.85</v>
      </c>
      <c r="AF90" s="45">
        <v>-50.81</v>
      </c>
    </row>
    <row r="91">
      <c r="C91" s="133" t="s">
        <v>229</v>
      </c>
      <c r="D91" s="122">
        <f t="shared" si="17"/>
        <v>2.46</v>
      </c>
      <c r="P91" s="119">
        <v>1.0</v>
      </c>
      <c r="AE91" s="45">
        <v>16.11</v>
      </c>
      <c r="AF91" s="45">
        <v>-52.86</v>
      </c>
    </row>
    <row r="92">
      <c r="C92" s="133" t="s">
        <v>220</v>
      </c>
      <c r="D92" s="122">
        <f t="shared" si="17"/>
        <v>2.29</v>
      </c>
      <c r="P92" s="119">
        <v>2.0</v>
      </c>
      <c r="AE92" s="45">
        <v>16.08</v>
      </c>
      <c r="AF92" s="45">
        <v>80.01</v>
      </c>
    </row>
    <row r="93">
      <c r="C93" s="133" t="s">
        <v>230</v>
      </c>
      <c r="D93" s="122">
        <f t="shared" si="17"/>
        <v>7.75</v>
      </c>
      <c r="P93" s="119">
        <v>0.0</v>
      </c>
      <c r="AE93" s="45">
        <v>15.84</v>
      </c>
      <c r="AF93" s="45">
        <v>-77.3</v>
      </c>
    </row>
    <row r="94">
      <c r="C94" s="133" t="s">
        <v>231</v>
      </c>
      <c r="D94" s="122">
        <f t="shared" si="17"/>
        <v>8.36</v>
      </c>
      <c r="P94" s="119">
        <v>0.0</v>
      </c>
      <c r="AE94" s="45">
        <v>14.26</v>
      </c>
      <c r="AF94" s="45">
        <v>40.11</v>
      </c>
    </row>
    <row r="95">
      <c r="C95" s="133" t="s">
        <v>232</v>
      </c>
      <c r="D95" s="122">
        <f t="shared" si="17"/>
        <v>4.22</v>
      </c>
      <c r="P95" s="119">
        <v>1.0</v>
      </c>
      <c r="AE95" s="45">
        <v>14.03</v>
      </c>
      <c r="AF95" s="45">
        <v>-4.79</v>
      </c>
    </row>
    <row r="96">
      <c r="C96" s="133" t="s">
        <v>233</v>
      </c>
      <c r="D96" s="122">
        <f t="shared" si="17"/>
        <v>8</v>
      </c>
      <c r="P96" s="119">
        <v>2.0</v>
      </c>
      <c r="AE96" s="45">
        <v>12.81</v>
      </c>
      <c r="AF96" s="45">
        <v>18.57</v>
      </c>
    </row>
    <row r="97">
      <c r="C97" s="133" t="s">
        <v>234</v>
      </c>
      <c r="D97" s="122">
        <f t="shared" si="17"/>
        <v>8.33</v>
      </c>
      <c r="P97" s="119">
        <v>0.0</v>
      </c>
      <c r="AE97" s="45">
        <v>12.67</v>
      </c>
      <c r="AF97" s="45">
        <v>-30.26</v>
      </c>
    </row>
    <row r="98">
      <c r="C98" s="133" t="s">
        <v>235</v>
      </c>
      <c r="D98" s="122">
        <f t="shared" si="17"/>
        <v>7.89</v>
      </c>
      <c r="P98" s="119">
        <v>2.0</v>
      </c>
      <c r="AE98" s="45">
        <v>12.56</v>
      </c>
      <c r="AF98" s="45">
        <v>-41.83</v>
      </c>
    </row>
    <row r="99">
      <c r="C99" s="133" t="s">
        <v>236</v>
      </c>
      <c r="D99" s="122">
        <f t="shared" si="17"/>
        <v>4.83</v>
      </c>
      <c r="P99" s="119">
        <v>2.0</v>
      </c>
      <c r="AE99" s="45">
        <v>12.05</v>
      </c>
      <c r="AF99" s="45">
        <v>-26.54</v>
      </c>
    </row>
    <row r="100">
      <c r="C100" s="133" t="s">
        <v>188</v>
      </c>
      <c r="D100" s="122">
        <f t="shared" si="17"/>
        <v>7.62</v>
      </c>
      <c r="P100" s="119">
        <v>2.0</v>
      </c>
      <c r="AE100" s="45">
        <v>11.89</v>
      </c>
      <c r="AF100" s="45">
        <v>165.95</v>
      </c>
    </row>
    <row r="101">
      <c r="C101" s="133" t="s">
        <v>237</v>
      </c>
      <c r="D101" s="122">
        <f t="shared" si="17"/>
        <v>3.08</v>
      </c>
      <c r="P101" s="119">
        <v>2.0</v>
      </c>
      <c r="AE101" s="45">
        <v>11.24</v>
      </c>
      <c r="AF101" s="45">
        <v>-30.28</v>
      </c>
    </row>
    <row r="102">
      <c r="C102" s="133" t="s">
        <v>238</v>
      </c>
      <c r="D102" s="122">
        <f t="shared" si="17"/>
        <v>6.35</v>
      </c>
      <c r="P102" s="119">
        <v>2.0</v>
      </c>
      <c r="AE102" s="45">
        <v>10.65</v>
      </c>
      <c r="AF102" s="45">
        <v>-65.29</v>
      </c>
    </row>
    <row r="103">
      <c r="C103" s="133" t="s">
        <v>239</v>
      </c>
      <c r="D103" s="122">
        <f t="shared" si="17"/>
        <v>3.42</v>
      </c>
      <c r="P103" s="119">
        <v>1.0</v>
      </c>
      <c r="AE103" s="45">
        <v>10.35</v>
      </c>
      <c r="AF103" s="45">
        <v>70.73</v>
      </c>
    </row>
    <row r="104">
      <c r="C104" s="133" t="s">
        <v>240</v>
      </c>
      <c r="D104" s="122">
        <f t="shared" si="17"/>
        <v>5.68</v>
      </c>
      <c r="N104" s="139"/>
      <c r="P104" s="119">
        <v>0.0</v>
      </c>
      <c r="AE104" s="45">
        <v>10.0</v>
      </c>
      <c r="AF104" s="45">
        <v>220.63</v>
      </c>
    </row>
    <row r="105">
      <c r="C105" s="133" t="s">
        <v>241</v>
      </c>
      <c r="D105" s="122">
        <f t="shared" si="17"/>
        <v>6.46</v>
      </c>
      <c r="N105" s="23"/>
      <c r="P105" s="119">
        <v>1.0</v>
      </c>
      <c r="AE105" s="45">
        <v>9.99</v>
      </c>
      <c r="AF105" s="45">
        <v>-12.98</v>
      </c>
    </row>
    <row r="106">
      <c r="C106" s="133" t="s">
        <v>242</v>
      </c>
      <c r="D106" s="122">
        <f t="shared" si="17"/>
        <v>6.97</v>
      </c>
      <c r="N106" s="23"/>
      <c r="P106" s="119">
        <v>1.0</v>
      </c>
      <c r="AE106" s="45">
        <v>9.06</v>
      </c>
      <c r="AF106" s="45">
        <v>-12.6</v>
      </c>
    </row>
    <row r="107">
      <c r="C107" s="133" t="s">
        <v>238</v>
      </c>
      <c r="D107" s="122">
        <f t="shared" si="17"/>
        <v>6.35</v>
      </c>
      <c r="N107" s="23"/>
      <c r="P107" s="119">
        <v>2.0</v>
      </c>
      <c r="AE107" s="45">
        <v>8.33</v>
      </c>
      <c r="AF107" s="45">
        <v>13.05</v>
      </c>
    </row>
    <row r="108">
      <c r="C108" s="133" t="s">
        <v>243</v>
      </c>
      <c r="D108" s="122">
        <f t="shared" si="17"/>
        <v>6.55</v>
      </c>
      <c r="N108" s="23"/>
      <c r="P108" s="119">
        <v>1.0</v>
      </c>
      <c r="AE108" s="45">
        <v>6.24</v>
      </c>
      <c r="AF108" s="45">
        <v>-65.22</v>
      </c>
    </row>
    <row r="109">
      <c r="C109" s="133" t="s">
        <v>244</v>
      </c>
      <c r="D109" s="122">
        <f t="shared" si="17"/>
        <v>6.13</v>
      </c>
      <c r="N109" s="23"/>
      <c r="P109" s="119">
        <v>2.0</v>
      </c>
      <c r="AE109" s="45">
        <v>6.02</v>
      </c>
      <c r="AF109" s="45">
        <v>-78.32</v>
      </c>
    </row>
    <row r="110">
      <c r="C110" s="133" t="s">
        <v>245</v>
      </c>
      <c r="D110" s="122">
        <f t="shared" si="17"/>
        <v>3.44</v>
      </c>
      <c r="N110" s="23"/>
      <c r="P110" s="119">
        <v>1.0</v>
      </c>
      <c r="AE110" s="45">
        <v>5.63</v>
      </c>
      <c r="AF110" s="45">
        <v>-27.58</v>
      </c>
    </row>
    <row r="111">
      <c r="C111" s="133" t="s">
        <v>246</v>
      </c>
      <c r="D111" s="122">
        <f t="shared" si="17"/>
        <v>7.03</v>
      </c>
      <c r="N111" s="23"/>
      <c r="P111" s="119">
        <v>2.0</v>
      </c>
      <c r="AE111" s="45">
        <v>5.1</v>
      </c>
      <c r="AF111" s="45">
        <v>57.46</v>
      </c>
    </row>
    <row r="112">
      <c r="C112" s="133" t="s">
        <v>247</v>
      </c>
      <c r="D112" s="122">
        <f t="shared" si="17"/>
        <v>2.22</v>
      </c>
      <c r="P112" s="119">
        <v>1.0</v>
      </c>
      <c r="AE112" s="45">
        <v>4.34</v>
      </c>
      <c r="AF112" s="45">
        <v>-29.66</v>
      </c>
    </row>
    <row r="113">
      <c r="C113" s="133" t="s">
        <v>248</v>
      </c>
      <c r="D113" s="122">
        <f t="shared" si="17"/>
        <v>2.49</v>
      </c>
      <c r="P113" s="119">
        <v>0.0</v>
      </c>
      <c r="AE113" s="45">
        <v>3.56</v>
      </c>
      <c r="AF113" s="45">
        <v>-31.38</v>
      </c>
    </row>
    <row r="114">
      <c r="C114" s="133" t="s">
        <v>249</v>
      </c>
      <c r="D114" s="122">
        <f t="shared" si="17"/>
        <v>5.89</v>
      </c>
      <c r="P114" s="119">
        <v>1.0</v>
      </c>
      <c r="AE114" s="45">
        <v>3.15</v>
      </c>
      <c r="AF114" s="45">
        <v>21.65</v>
      </c>
    </row>
    <row r="115">
      <c r="C115" s="133" t="s">
        <v>250</v>
      </c>
      <c r="D115" s="122">
        <f t="shared" si="17"/>
        <v>4.85</v>
      </c>
      <c r="P115" s="119">
        <v>1.0</v>
      </c>
      <c r="AE115" s="45">
        <v>3.11</v>
      </c>
      <c r="AF115" s="45">
        <v>-34.68</v>
      </c>
    </row>
    <row r="116">
      <c r="C116" s="133" t="s">
        <v>251</v>
      </c>
      <c r="D116" s="122">
        <f t="shared" si="17"/>
        <v>2.86</v>
      </c>
      <c r="P116" s="119">
        <v>1.0</v>
      </c>
      <c r="AE116" s="45">
        <v>1.32</v>
      </c>
      <c r="AF116" s="45">
        <v>25.47</v>
      </c>
    </row>
    <row r="117">
      <c r="C117" s="133" t="s">
        <v>252</v>
      </c>
      <c r="D117" s="122">
        <f t="shared" si="17"/>
        <v>2.62</v>
      </c>
      <c r="P117" s="140"/>
      <c r="AE117" s="45">
        <v>0.88</v>
      </c>
      <c r="AF117" s="45">
        <v>-52.33</v>
      </c>
    </row>
    <row r="118">
      <c r="C118" s="133" t="s">
        <v>253</v>
      </c>
      <c r="D118" s="122">
        <f t="shared" si="17"/>
        <v>2.98</v>
      </c>
      <c r="P118" s="140"/>
      <c r="AE118" s="45">
        <v>0.4</v>
      </c>
      <c r="AF118" s="45">
        <v>-16.42</v>
      </c>
    </row>
    <row r="119">
      <c r="C119" s="133" t="s">
        <v>254</v>
      </c>
      <c r="D119" s="122">
        <f t="shared" si="17"/>
        <v>3</v>
      </c>
      <c r="P119" s="140"/>
      <c r="AE119" s="45">
        <v>0.22</v>
      </c>
      <c r="AF119" s="45">
        <v>22.39</v>
      </c>
    </row>
    <row r="120">
      <c r="C120" s="133" t="s">
        <v>255</v>
      </c>
      <c r="D120" s="122">
        <f t="shared" si="17"/>
        <v>2.85</v>
      </c>
      <c r="P120" s="140"/>
      <c r="AE120" s="45">
        <v>0.13</v>
      </c>
      <c r="AF120" s="45">
        <v>-16.88</v>
      </c>
    </row>
    <row r="121">
      <c r="C121" s="133" t="s">
        <v>254</v>
      </c>
      <c r="D121" s="122">
        <f t="shared" si="17"/>
        <v>3</v>
      </c>
      <c r="P121" s="140"/>
      <c r="AE121" s="45">
        <v>-0.43</v>
      </c>
      <c r="AF121" s="45">
        <v>48.74</v>
      </c>
    </row>
    <row r="122">
      <c r="C122" s="133" t="s">
        <v>256</v>
      </c>
      <c r="D122" s="122">
        <f t="shared" si="17"/>
        <v>2.93</v>
      </c>
      <c r="P122" s="140"/>
      <c r="AE122" s="45">
        <v>-0.45</v>
      </c>
      <c r="AF122" s="45">
        <v>4.32</v>
      </c>
    </row>
    <row r="123">
      <c r="C123" s="133" t="s">
        <v>254</v>
      </c>
      <c r="D123" s="122">
        <f t="shared" si="17"/>
        <v>3</v>
      </c>
      <c r="P123" s="140"/>
      <c r="AE123" s="45">
        <v>-1.63</v>
      </c>
      <c r="AF123" s="45">
        <v>-35.85</v>
      </c>
    </row>
    <row r="124">
      <c r="C124" s="133" t="s">
        <v>257</v>
      </c>
      <c r="D124" s="122">
        <f t="shared" si="17"/>
        <v>2.99</v>
      </c>
      <c r="P124" s="140"/>
      <c r="AE124" s="45">
        <v>-1.73</v>
      </c>
      <c r="AF124" s="45">
        <v>-38.06</v>
      </c>
    </row>
    <row r="125">
      <c r="C125" s="133"/>
      <c r="D125" s="122" t="str">
        <f t="shared" si="17"/>
        <v/>
      </c>
      <c r="P125" s="140"/>
      <c r="AE125" s="45">
        <v>-2.37</v>
      </c>
      <c r="AF125" s="45">
        <v>-50.44</v>
      </c>
    </row>
    <row r="126">
      <c r="C126" s="133"/>
      <c r="D126" s="122" t="str">
        <f t="shared" si="17"/>
        <v/>
      </c>
      <c r="P126" s="140"/>
      <c r="AE126" s="45">
        <v>-3.35</v>
      </c>
      <c r="AF126" s="45">
        <v>-36.07</v>
      </c>
    </row>
    <row r="127">
      <c r="C127" s="133"/>
      <c r="D127" s="122" t="str">
        <f t="shared" si="17"/>
        <v/>
      </c>
      <c r="P127" s="140"/>
      <c r="AE127" s="45">
        <v>-4.4</v>
      </c>
      <c r="AF127" s="45">
        <v>-53.6</v>
      </c>
    </row>
    <row r="128">
      <c r="C128" s="133"/>
      <c r="D128" s="122" t="str">
        <f t="shared" si="17"/>
        <v/>
      </c>
      <c r="P128" s="140"/>
      <c r="AE128" s="45">
        <v>-4.49</v>
      </c>
      <c r="AF128" s="45">
        <v>-9.17</v>
      </c>
    </row>
    <row r="129">
      <c r="C129" s="133"/>
      <c r="D129" s="122" t="str">
        <f t="shared" si="17"/>
        <v/>
      </c>
      <c r="P129" s="140"/>
      <c r="AE129" s="45">
        <v>-4.55</v>
      </c>
      <c r="AF129" s="45">
        <v>-72.49</v>
      </c>
    </row>
    <row r="130">
      <c r="C130" s="133"/>
      <c r="D130" s="122" t="str">
        <f t="shared" si="17"/>
        <v/>
      </c>
      <c r="P130" s="140"/>
      <c r="AE130" s="45">
        <v>-4.8</v>
      </c>
      <c r="AF130" s="45">
        <v>-63.2</v>
      </c>
    </row>
    <row r="131">
      <c r="C131" s="133"/>
      <c r="D131" s="122" t="str">
        <f t="shared" si="17"/>
        <v/>
      </c>
      <c r="P131" s="140"/>
      <c r="AE131" s="45">
        <v>-5.33</v>
      </c>
      <c r="AF131" s="45">
        <v>-64.97</v>
      </c>
    </row>
    <row r="132">
      <c r="C132" s="133"/>
      <c r="D132" s="122" t="str">
        <f t="shared" si="17"/>
        <v/>
      </c>
      <c r="P132" s="140"/>
      <c r="AE132" s="45">
        <v>-5.45</v>
      </c>
      <c r="AF132" s="45">
        <v>-37.11</v>
      </c>
    </row>
    <row r="133">
      <c r="C133" s="133"/>
      <c r="D133" s="122" t="str">
        <f t="shared" si="17"/>
        <v/>
      </c>
      <c r="P133" s="140"/>
      <c r="AE133" s="45">
        <v>-5.64</v>
      </c>
      <c r="AF133" s="45">
        <v>-77.37</v>
      </c>
    </row>
    <row r="134">
      <c r="C134" s="133"/>
      <c r="D134" s="122" t="str">
        <f t="shared" si="17"/>
        <v/>
      </c>
      <c r="P134" s="140"/>
      <c r="AE134" s="45">
        <v>-6.39</v>
      </c>
      <c r="AF134" s="45">
        <v>-37.53</v>
      </c>
    </row>
    <row r="135">
      <c r="C135" s="133"/>
      <c r="D135" s="122" t="str">
        <f t="shared" si="17"/>
        <v/>
      </c>
      <c r="P135" s="140"/>
      <c r="AE135" s="45">
        <v>-6.39</v>
      </c>
      <c r="AF135" s="45">
        <v>-42.67</v>
      </c>
    </row>
    <row r="136">
      <c r="C136" s="133"/>
      <c r="D136" s="122" t="str">
        <f t="shared" si="17"/>
        <v/>
      </c>
      <c r="P136" s="140"/>
      <c r="AE136" s="45">
        <v>-6.49</v>
      </c>
      <c r="AF136" s="45">
        <v>-77.65</v>
      </c>
    </row>
    <row r="137">
      <c r="C137" s="133"/>
      <c r="D137" s="122" t="str">
        <f t="shared" si="17"/>
        <v/>
      </c>
      <c r="P137" s="140"/>
      <c r="AE137" s="45">
        <v>-7.0</v>
      </c>
      <c r="AF137" s="45">
        <v>246.78</v>
      </c>
    </row>
    <row r="138">
      <c r="C138" s="133"/>
      <c r="D138" s="122" t="str">
        <f t="shared" si="17"/>
        <v/>
      </c>
      <c r="P138" s="140"/>
      <c r="AE138" s="45">
        <v>-7.1</v>
      </c>
      <c r="AF138" s="45">
        <v>-58.91</v>
      </c>
    </row>
    <row r="139">
      <c r="C139" s="133"/>
      <c r="D139" s="122" t="str">
        <f t="shared" si="17"/>
        <v/>
      </c>
      <c r="P139" s="140"/>
      <c r="AE139" s="45">
        <v>-7.87</v>
      </c>
      <c r="AF139" s="45">
        <v>14.6</v>
      </c>
    </row>
    <row r="140">
      <c r="C140" s="133"/>
      <c r="D140" s="122" t="str">
        <f t="shared" si="17"/>
        <v/>
      </c>
      <c r="H140" s="45">
        <v>49.0</v>
      </c>
      <c r="J140" s="45">
        <v>0.51</v>
      </c>
      <c r="K140" s="45">
        <v>46.0</v>
      </c>
      <c r="P140" s="140"/>
      <c r="AE140" s="45">
        <v>-8.38</v>
      </c>
      <c r="AF140" s="45">
        <v>47.86</v>
      </c>
    </row>
    <row r="141">
      <c r="C141" s="133"/>
      <c r="D141" s="122" t="str">
        <f t="shared" si="17"/>
        <v/>
      </c>
      <c r="H141" s="45">
        <v>43.0</v>
      </c>
      <c r="J141" s="45">
        <v>0.55</v>
      </c>
      <c r="K141" s="45">
        <v>43.0</v>
      </c>
      <c r="P141" s="140"/>
      <c r="AE141" s="45">
        <v>-8.52</v>
      </c>
      <c r="AF141" s="45">
        <v>-34.49</v>
      </c>
    </row>
    <row r="142">
      <c r="C142" s="133"/>
      <c r="D142" s="122" t="str">
        <f t="shared" si="17"/>
        <v/>
      </c>
      <c r="H142" s="45">
        <v>42.0</v>
      </c>
      <c r="J142" s="45">
        <v>0.46</v>
      </c>
      <c r="K142" s="45">
        <v>42.0</v>
      </c>
      <c r="P142" s="140"/>
      <c r="AE142" s="45">
        <v>-8.91</v>
      </c>
      <c r="AF142" s="45">
        <v>-31.97</v>
      </c>
    </row>
    <row r="143">
      <c r="C143" s="133"/>
      <c r="D143" s="122" t="str">
        <f t="shared" si="17"/>
        <v/>
      </c>
      <c r="H143" s="45">
        <v>45.0</v>
      </c>
      <c r="J143" s="45">
        <v>0.45</v>
      </c>
      <c r="K143" s="45">
        <v>49.0</v>
      </c>
      <c r="P143" s="140"/>
      <c r="AE143" s="45">
        <v>-9.25</v>
      </c>
      <c r="AF143" s="45">
        <v>-1.25</v>
      </c>
    </row>
    <row r="144">
      <c r="C144" s="133"/>
      <c r="D144" s="122" t="str">
        <f t="shared" si="17"/>
        <v/>
      </c>
      <c r="H144" s="45">
        <v>44.0</v>
      </c>
      <c r="J144" s="45">
        <v>0.5</v>
      </c>
      <c r="K144" s="45">
        <v>45.0</v>
      </c>
      <c r="P144" s="140"/>
      <c r="AE144" s="45">
        <v>-9.49</v>
      </c>
      <c r="AF144" s="45">
        <v>140.19</v>
      </c>
    </row>
    <row r="145">
      <c r="C145" s="133"/>
      <c r="D145" s="122" t="str">
        <f t="shared" si="17"/>
        <v/>
      </c>
      <c r="H145" s="45">
        <v>42.0</v>
      </c>
      <c r="J145" s="45">
        <v>0.51</v>
      </c>
      <c r="K145" s="45">
        <v>43.0</v>
      </c>
      <c r="P145" s="140"/>
      <c r="AE145" s="45">
        <v>-10.38</v>
      </c>
      <c r="AF145" s="45">
        <v>-70.08</v>
      </c>
    </row>
    <row r="146">
      <c r="C146" s="133"/>
      <c r="D146" s="122" t="str">
        <f t="shared" si="17"/>
        <v/>
      </c>
      <c r="H146" s="45">
        <v>46.0</v>
      </c>
      <c r="J146" s="45">
        <v>0.53</v>
      </c>
      <c r="K146" s="45">
        <v>44.0</v>
      </c>
      <c r="P146" s="140"/>
      <c r="AE146" s="45">
        <v>-11.11</v>
      </c>
      <c r="AF146" s="45">
        <v>-29.17</v>
      </c>
    </row>
    <row r="147">
      <c r="C147" s="133"/>
      <c r="D147" s="122" t="str">
        <f t="shared" si="17"/>
        <v/>
      </c>
      <c r="H147" s="45">
        <v>48.0</v>
      </c>
      <c r="J147" s="45">
        <v>0.45</v>
      </c>
      <c r="K147" s="45">
        <v>51.0</v>
      </c>
      <c r="P147" s="140"/>
      <c r="AE147" s="45">
        <v>-11.31</v>
      </c>
      <c r="AF147" s="45">
        <v>-1.59</v>
      </c>
    </row>
    <row r="148">
      <c r="C148" s="133"/>
      <c r="D148" s="122" t="str">
        <f t="shared" si="17"/>
        <v/>
      </c>
      <c r="H148" s="45">
        <v>47.0</v>
      </c>
      <c r="J148" s="45">
        <v>0.48</v>
      </c>
      <c r="K148" s="45">
        <v>42.0</v>
      </c>
      <c r="P148" s="140"/>
      <c r="AE148" s="45">
        <v>-11.41</v>
      </c>
      <c r="AF148" s="45">
        <v>-48.72</v>
      </c>
    </row>
    <row r="149">
      <c r="C149" s="133"/>
      <c r="D149" s="122" t="str">
        <f t="shared" si="17"/>
        <v/>
      </c>
      <c r="H149" s="45">
        <v>48.0</v>
      </c>
      <c r="J149" s="45">
        <v>0.53</v>
      </c>
      <c r="K149" s="45">
        <v>47.0</v>
      </c>
      <c r="P149" s="140"/>
      <c r="AE149" s="45">
        <v>-11.67</v>
      </c>
      <c r="AF149" s="45">
        <v>-27.82</v>
      </c>
    </row>
    <row r="150">
      <c r="C150" s="133"/>
      <c r="D150" s="122" t="str">
        <f t="shared" si="17"/>
        <v/>
      </c>
      <c r="H150" s="45">
        <v>47.0</v>
      </c>
      <c r="J150" s="45">
        <v>0.47</v>
      </c>
      <c r="K150" s="45">
        <v>45.0</v>
      </c>
      <c r="P150" s="140"/>
      <c r="AE150" s="45">
        <v>-11.86</v>
      </c>
      <c r="AF150" s="45">
        <v>-28.76</v>
      </c>
    </row>
    <row r="151">
      <c r="C151" s="133"/>
      <c r="D151" s="122" t="str">
        <f t="shared" si="17"/>
        <v/>
      </c>
      <c r="H151" s="45">
        <v>49.0</v>
      </c>
      <c r="J151" s="45">
        <v>0.52</v>
      </c>
      <c r="K151" s="45">
        <v>47.0</v>
      </c>
      <c r="P151" s="140"/>
      <c r="AE151" s="45">
        <v>-12.07</v>
      </c>
      <c r="AF151" s="45">
        <v>-67.17</v>
      </c>
    </row>
    <row r="152">
      <c r="C152" s="133"/>
      <c r="D152" s="122" t="str">
        <f t="shared" si="17"/>
        <v/>
      </c>
      <c r="H152" s="45">
        <v>42.0</v>
      </c>
      <c r="J152" s="45">
        <v>0.46</v>
      </c>
      <c r="K152" s="45">
        <v>46.0</v>
      </c>
      <c r="P152" s="140"/>
      <c r="AE152" s="45">
        <v>-12.12</v>
      </c>
      <c r="AF152" s="45">
        <v>-27.06</v>
      </c>
    </row>
    <row r="153">
      <c r="C153" s="133"/>
      <c r="D153" s="122" t="str">
        <f t="shared" si="17"/>
        <v/>
      </c>
      <c r="H153" s="45">
        <v>48.0</v>
      </c>
      <c r="J153" s="45">
        <v>0.46</v>
      </c>
      <c r="K153" s="45">
        <v>47.0</v>
      </c>
      <c r="P153" s="140"/>
      <c r="AE153" s="45">
        <v>-12.47</v>
      </c>
      <c r="AF153" s="45">
        <v>-27.93</v>
      </c>
    </row>
    <row r="154">
      <c r="C154" s="133"/>
      <c r="D154" s="122" t="str">
        <f t="shared" si="17"/>
        <v/>
      </c>
      <c r="H154" s="45">
        <v>48.0</v>
      </c>
      <c r="J154" s="45">
        <v>0.5</v>
      </c>
      <c r="K154" s="45">
        <v>48.0</v>
      </c>
      <c r="P154" s="140"/>
      <c r="AE154" s="45">
        <v>-12.47</v>
      </c>
      <c r="AF154" s="45">
        <v>-67.04</v>
      </c>
    </row>
    <row r="155">
      <c r="C155" s="133"/>
      <c r="D155" s="122" t="str">
        <f t="shared" si="17"/>
        <v/>
      </c>
      <c r="H155" s="45">
        <v>42.0</v>
      </c>
      <c r="J155" s="45">
        <v>0.5</v>
      </c>
      <c r="K155" s="45">
        <v>48.0</v>
      </c>
      <c r="P155" s="140"/>
      <c r="AE155" s="45">
        <v>-12.85</v>
      </c>
      <c r="AF155" s="45">
        <v>187.78</v>
      </c>
    </row>
    <row r="156">
      <c r="C156" s="133"/>
      <c r="D156" s="122" t="str">
        <f t="shared" si="17"/>
        <v/>
      </c>
      <c r="H156" s="45">
        <v>46.0</v>
      </c>
      <c r="J156" s="45">
        <v>0.52</v>
      </c>
      <c r="K156" s="45">
        <v>46.0</v>
      </c>
      <c r="P156" s="140"/>
      <c r="AE156" s="45">
        <v>-13.35</v>
      </c>
      <c r="AF156" s="45">
        <v>75.39</v>
      </c>
    </row>
    <row r="157">
      <c r="C157" s="133"/>
      <c r="D157" s="122" t="str">
        <f t="shared" si="17"/>
        <v/>
      </c>
      <c r="H157" s="45">
        <v>43.0</v>
      </c>
      <c r="J157" s="45">
        <v>0.51</v>
      </c>
      <c r="K157" s="45">
        <v>49.0</v>
      </c>
      <c r="P157" s="140"/>
      <c r="AE157" s="45">
        <v>-13.4</v>
      </c>
      <c r="AF157" s="45">
        <v>-29.88</v>
      </c>
    </row>
    <row r="158">
      <c r="C158" s="133"/>
      <c r="D158" s="122" t="str">
        <f t="shared" si="17"/>
        <v/>
      </c>
      <c r="H158" s="45">
        <v>46.0</v>
      </c>
      <c r="J158" s="45">
        <v>0.53</v>
      </c>
      <c r="K158" s="45">
        <v>45.0</v>
      </c>
      <c r="P158" s="140"/>
      <c r="AE158" s="45">
        <v>-13.47</v>
      </c>
      <c r="AF158" s="45">
        <v>-31.06</v>
      </c>
    </row>
    <row r="159">
      <c r="C159" s="133"/>
      <c r="D159" s="122" t="str">
        <f t="shared" si="17"/>
        <v/>
      </c>
      <c r="H159" s="45">
        <v>44.0</v>
      </c>
      <c r="J159" s="45">
        <v>0.45</v>
      </c>
      <c r="K159" s="45">
        <v>48.0</v>
      </c>
      <c r="P159" s="140"/>
      <c r="AE159" s="45">
        <v>-13.47</v>
      </c>
      <c r="AF159" s="45">
        <v>-66.25</v>
      </c>
    </row>
    <row r="160">
      <c r="C160" s="133"/>
      <c r="D160" s="122" t="str">
        <f t="shared" si="17"/>
        <v/>
      </c>
      <c r="H160" s="45">
        <v>47.0</v>
      </c>
      <c r="J160" s="45">
        <v>0.52</v>
      </c>
      <c r="K160" s="45">
        <v>47.0</v>
      </c>
      <c r="P160" s="140"/>
      <c r="AE160" s="45">
        <v>-13.49</v>
      </c>
      <c r="AF160" s="45">
        <v>-20.78</v>
      </c>
    </row>
    <row r="161">
      <c r="C161" s="133"/>
      <c r="D161" s="122" t="str">
        <f t="shared" si="17"/>
        <v/>
      </c>
      <c r="H161" s="45">
        <v>50.0</v>
      </c>
      <c r="J161" s="45">
        <v>0.5</v>
      </c>
      <c r="K161" s="45">
        <v>47.0</v>
      </c>
      <c r="P161" s="140"/>
      <c r="AE161" s="45">
        <v>-13.6</v>
      </c>
      <c r="AF161" s="45">
        <v>-53.46</v>
      </c>
    </row>
    <row r="162">
      <c r="C162" s="133"/>
      <c r="D162" s="122" t="str">
        <f t="shared" si="17"/>
        <v/>
      </c>
      <c r="H162" s="45">
        <v>47.0</v>
      </c>
      <c r="J162" s="45">
        <v>0.52</v>
      </c>
      <c r="K162" s="45">
        <v>45.0</v>
      </c>
      <c r="P162" s="140"/>
      <c r="AE162" s="45">
        <v>-13.93</v>
      </c>
      <c r="AF162" s="45">
        <v>-14.25</v>
      </c>
    </row>
    <row r="163">
      <c r="C163" s="133"/>
      <c r="D163" s="122" t="str">
        <f t="shared" si="17"/>
        <v/>
      </c>
      <c r="H163" s="45">
        <v>46.0</v>
      </c>
      <c r="J163" s="45">
        <v>0.49</v>
      </c>
      <c r="K163" s="45">
        <v>44.0</v>
      </c>
      <c r="P163" s="140"/>
      <c r="AE163" s="45">
        <v>-14.03</v>
      </c>
      <c r="AF163" s="45">
        <v>-33.64</v>
      </c>
    </row>
    <row r="164">
      <c r="C164" s="133"/>
      <c r="D164" s="122" t="str">
        <f t="shared" si="17"/>
        <v/>
      </c>
      <c r="H164" s="45">
        <v>47.0</v>
      </c>
      <c r="J164" s="45">
        <v>0.52</v>
      </c>
      <c r="K164" s="45">
        <v>49.0</v>
      </c>
      <c r="P164" s="140"/>
      <c r="AE164" s="45">
        <v>-14.39</v>
      </c>
      <c r="AF164" s="45">
        <v>-73.99</v>
      </c>
    </row>
    <row r="165">
      <c r="C165" s="133"/>
      <c r="D165" s="122" t="str">
        <f t="shared" si="17"/>
        <v/>
      </c>
      <c r="H165" s="45">
        <v>44.0</v>
      </c>
      <c r="J165" s="45">
        <v>0.49</v>
      </c>
      <c r="K165" s="45">
        <v>45.0</v>
      </c>
      <c r="P165" s="140"/>
      <c r="AE165" s="45">
        <v>-14.41</v>
      </c>
      <c r="AF165" s="45">
        <v>-32.81</v>
      </c>
    </row>
    <row r="166">
      <c r="C166" s="133"/>
      <c r="D166" s="122" t="str">
        <f t="shared" si="17"/>
        <v/>
      </c>
      <c r="H166" s="45">
        <v>45.0</v>
      </c>
      <c r="J166" s="45">
        <v>0.51</v>
      </c>
      <c r="K166" s="45">
        <v>40.0</v>
      </c>
      <c r="P166" s="140"/>
      <c r="AE166" s="45">
        <v>-14.49</v>
      </c>
      <c r="AF166" s="45">
        <v>-38.55</v>
      </c>
    </row>
    <row r="167">
      <c r="C167" s="133"/>
      <c r="D167" s="122" t="str">
        <f t="shared" si="17"/>
        <v/>
      </c>
      <c r="H167" s="45">
        <v>39.0</v>
      </c>
      <c r="J167" s="45">
        <v>0.49</v>
      </c>
      <c r="K167" s="45">
        <v>44.0</v>
      </c>
      <c r="P167" s="140"/>
      <c r="AE167" s="45">
        <v>-14.53</v>
      </c>
      <c r="AF167" s="45">
        <v>-31.62</v>
      </c>
    </row>
    <row r="168">
      <c r="C168" s="133"/>
      <c r="D168" s="122" t="str">
        <f t="shared" si="17"/>
        <v/>
      </c>
      <c r="H168" s="45">
        <v>44.0</v>
      </c>
      <c r="J168" s="45">
        <v>0.5</v>
      </c>
      <c r="K168" s="45">
        <v>46.0</v>
      </c>
      <c r="P168" s="140"/>
      <c r="AE168" s="45">
        <v>-14.56</v>
      </c>
      <c r="AF168" s="45">
        <v>-47.41</v>
      </c>
    </row>
    <row r="169">
      <c r="C169" s="133"/>
      <c r="D169" s="122" t="str">
        <f t="shared" si="17"/>
        <v/>
      </c>
      <c r="H169" s="45">
        <v>46.0</v>
      </c>
      <c r="J169" s="45">
        <v>0.5</v>
      </c>
      <c r="K169" s="45">
        <v>44.0</v>
      </c>
      <c r="P169" s="140"/>
      <c r="AE169" s="45">
        <v>-14.86</v>
      </c>
      <c r="AF169" s="45">
        <v>-28.24</v>
      </c>
    </row>
    <row r="170">
      <c r="C170" s="133"/>
      <c r="D170" s="122" t="str">
        <f t="shared" si="17"/>
        <v/>
      </c>
      <c r="H170" s="45">
        <v>48.0</v>
      </c>
      <c r="J170" s="45">
        <v>0.5</v>
      </c>
      <c r="K170" s="45">
        <v>41.0</v>
      </c>
      <c r="P170" s="140"/>
      <c r="AE170" s="45">
        <v>-15.69</v>
      </c>
      <c r="AF170" s="45">
        <v>-36.03</v>
      </c>
    </row>
    <row r="171">
      <c r="C171" s="133"/>
      <c r="D171" s="122" t="str">
        <f t="shared" si="17"/>
        <v/>
      </c>
      <c r="H171" s="45">
        <v>45.0</v>
      </c>
      <c r="J171" s="45">
        <v>0.44</v>
      </c>
      <c r="K171" s="45">
        <v>50.0</v>
      </c>
      <c r="P171" s="140"/>
      <c r="AE171" s="45">
        <v>-16.02</v>
      </c>
      <c r="AF171" s="45">
        <v>-28.25</v>
      </c>
    </row>
    <row r="172">
      <c r="C172" s="133"/>
      <c r="D172" s="122" t="str">
        <f t="shared" si="17"/>
        <v/>
      </c>
      <c r="H172" s="45">
        <v>51.0</v>
      </c>
      <c r="J172" s="45">
        <v>0.49</v>
      </c>
      <c r="K172" s="45">
        <v>45.0</v>
      </c>
      <c r="P172" s="140"/>
      <c r="AE172" s="45">
        <v>-16.22</v>
      </c>
      <c r="AF172" s="45">
        <v>-31.3</v>
      </c>
    </row>
    <row r="173">
      <c r="C173" s="133"/>
      <c r="D173" s="122" t="str">
        <f t="shared" si="17"/>
        <v/>
      </c>
      <c r="H173" s="45">
        <v>46.0</v>
      </c>
      <c r="J173" s="45">
        <v>0.49</v>
      </c>
      <c r="K173" s="45">
        <v>47.0</v>
      </c>
      <c r="P173" s="140"/>
      <c r="AE173" s="45">
        <v>-16.72</v>
      </c>
      <c r="AF173" s="45">
        <v>100.69</v>
      </c>
    </row>
    <row r="174">
      <c r="C174" s="133"/>
      <c r="D174" s="122" t="str">
        <f t="shared" si="17"/>
        <v/>
      </c>
      <c r="H174" s="45">
        <v>46.0</v>
      </c>
      <c r="J174" s="45">
        <v>0.51</v>
      </c>
      <c r="K174" s="45">
        <v>45.0</v>
      </c>
      <c r="P174" s="140"/>
      <c r="AE174" s="45">
        <v>-16.94</v>
      </c>
      <c r="AF174" s="45">
        <v>-79.41</v>
      </c>
    </row>
    <row r="175">
      <c r="C175" s="133"/>
      <c r="D175" s="122" t="str">
        <f t="shared" si="17"/>
        <v/>
      </c>
      <c r="H175" s="45">
        <v>45.0</v>
      </c>
      <c r="J175" s="45">
        <v>0.48</v>
      </c>
      <c r="K175" s="45">
        <v>52.0</v>
      </c>
      <c r="P175" s="140"/>
      <c r="AE175" s="45">
        <v>-17.03</v>
      </c>
      <c r="AF175" s="45">
        <v>-54.77</v>
      </c>
    </row>
    <row r="176">
      <c r="C176" s="133"/>
      <c r="D176" s="122" t="str">
        <f t="shared" si="17"/>
        <v/>
      </c>
      <c r="H176" s="45">
        <v>44.0</v>
      </c>
      <c r="J176" s="45">
        <v>0.53</v>
      </c>
      <c r="K176" s="45">
        <v>44.0</v>
      </c>
      <c r="P176" s="140"/>
      <c r="AE176" s="45">
        <v>-17.79</v>
      </c>
      <c r="AF176" s="45">
        <v>-38.31</v>
      </c>
    </row>
    <row r="177">
      <c r="C177" s="133"/>
      <c r="D177" s="122" t="str">
        <f t="shared" si="17"/>
        <v/>
      </c>
      <c r="H177" s="45">
        <v>44.0</v>
      </c>
      <c r="J177" s="45">
        <v>0.48</v>
      </c>
      <c r="K177" s="45">
        <v>49.0</v>
      </c>
      <c r="P177" s="140"/>
      <c r="AE177" s="45">
        <v>-18.03</v>
      </c>
      <c r="AF177" s="45">
        <v>-31.74</v>
      </c>
    </row>
    <row r="178">
      <c r="C178" s="133"/>
      <c r="D178" s="122" t="str">
        <f t="shared" si="17"/>
        <v/>
      </c>
      <c r="H178" s="45">
        <v>46.0</v>
      </c>
      <c r="J178" s="45">
        <v>0.46</v>
      </c>
      <c r="K178" s="45">
        <v>45.0</v>
      </c>
      <c r="P178" s="140"/>
      <c r="AE178" s="45">
        <v>-18.15</v>
      </c>
      <c r="AF178" s="45">
        <v>-73.36</v>
      </c>
    </row>
    <row r="179">
      <c r="C179" s="133"/>
      <c r="D179" s="122" t="str">
        <f t="shared" si="17"/>
        <v/>
      </c>
      <c r="H179" s="45">
        <v>45.0</v>
      </c>
      <c r="J179" s="45">
        <v>0.49</v>
      </c>
      <c r="K179" s="45">
        <v>57.0</v>
      </c>
      <c r="P179" s="140"/>
      <c r="AE179" s="45">
        <v>-18.52</v>
      </c>
      <c r="AF179" s="45">
        <v>-31.9</v>
      </c>
    </row>
    <row r="180">
      <c r="C180" s="133"/>
      <c r="D180" s="122" t="str">
        <f t="shared" si="17"/>
        <v/>
      </c>
      <c r="H180" s="45">
        <v>46.0</v>
      </c>
      <c r="J180" s="45">
        <v>0.51</v>
      </c>
      <c r="K180" s="45">
        <v>49.0</v>
      </c>
      <c r="P180" s="140"/>
      <c r="AE180" s="45">
        <v>-19.3</v>
      </c>
      <c r="AF180" s="45">
        <v>-69.23</v>
      </c>
    </row>
    <row r="181">
      <c r="C181" s="133"/>
      <c r="D181" s="122" t="str">
        <f t="shared" si="17"/>
        <v/>
      </c>
      <c r="H181" s="45">
        <v>47.0</v>
      </c>
      <c r="J181" s="45">
        <v>0.51</v>
      </c>
      <c r="K181" s="45">
        <v>44.0</v>
      </c>
      <c r="P181" s="140"/>
      <c r="AE181" s="45">
        <v>-19.51</v>
      </c>
      <c r="AF181" s="45">
        <v>33.3</v>
      </c>
    </row>
    <row r="182">
      <c r="C182" s="133"/>
      <c r="D182" s="122" t="str">
        <f t="shared" si="17"/>
        <v/>
      </c>
      <c r="H182" s="45">
        <v>49.0</v>
      </c>
      <c r="J182" s="45">
        <v>0.51</v>
      </c>
      <c r="K182" s="45">
        <v>51.0</v>
      </c>
      <c r="P182" s="140"/>
      <c r="AE182" s="45">
        <v>-19.51</v>
      </c>
      <c r="AF182" s="45">
        <v>-44.45</v>
      </c>
    </row>
    <row r="183">
      <c r="C183" s="133"/>
      <c r="D183" s="122" t="str">
        <f t="shared" si="17"/>
        <v/>
      </c>
      <c r="H183" s="45">
        <v>49.0</v>
      </c>
      <c r="J183" s="45">
        <v>0.45</v>
      </c>
      <c r="K183" s="45">
        <v>52.0</v>
      </c>
      <c r="P183" s="140"/>
      <c r="AE183" s="45">
        <v>-19.53</v>
      </c>
      <c r="AF183" s="45">
        <v>-50.26</v>
      </c>
    </row>
    <row r="184">
      <c r="C184" s="133"/>
      <c r="D184" s="122" t="str">
        <f t="shared" si="17"/>
        <v/>
      </c>
      <c r="H184" s="45">
        <v>39.0</v>
      </c>
      <c r="J184" s="45">
        <v>0.59</v>
      </c>
      <c r="K184" s="45">
        <v>43.0</v>
      </c>
      <c r="P184" s="140"/>
      <c r="AE184" s="45">
        <v>-20.26</v>
      </c>
      <c r="AF184" s="45">
        <v>-33.98</v>
      </c>
    </row>
    <row r="185">
      <c r="C185" s="133"/>
      <c r="D185" s="122" t="str">
        <f t="shared" si="17"/>
        <v/>
      </c>
      <c r="H185" s="45">
        <v>54.0</v>
      </c>
      <c r="J185" s="45">
        <v>0.54</v>
      </c>
      <c r="K185" s="45">
        <v>39.0</v>
      </c>
      <c r="P185" s="140"/>
      <c r="AE185" s="45">
        <v>-20.26</v>
      </c>
      <c r="AF185" s="45">
        <v>-33.8</v>
      </c>
    </row>
    <row r="186">
      <c r="C186" s="133"/>
      <c r="D186" s="122" t="str">
        <f t="shared" si="17"/>
        <v/>
      </c>
      <c r="H186" s="45">
        <v>43.0</v>
      </c>
      <c r="J186" s="45">
        <v>0.5</v>
      </c>
      <c r="K186" s="45">
        <v>46.0</v>
      </c>
      <c r="P186" s="140"/>
      <c r="AE186" s="45">
        <v>-20.74</v>
      </c>
      <c r="AF186" s="45">
        <v>-33.12</v>
      </c>
    </row>
    <row r="187">
      <c r="C187" s="133"/>
      <c r="D187" s="122" t="str">
        <f t="shared" si="17"/>
        <v/>
      </c>
      <c r="H187" s="45">
        <v>50.0</v>
      </c>
      <c r="J187" s="45">
        <v>0.44</v>
      </c>
      <c r="K187" s="45">
        <v>44.0</v>
      </c>
      <c r="P187" s="140"/>
      <c r="AE187" s="45">
        <v>-20.95</v>
      </c>
      <c r="AF187" s="45">
        <v>9.02</v>
      </c>
    </row>
    <row r="188">
      <c r="C188" s="133"/>
      <c r="D188" s="122" t="str">
        <f t="shared" si="17"/>
        <v/>
      </c>
      <c r="H188" s="45">
        <v>43.0</v>
      </c>
      <c r="J188" s="45">
        <v>0.54</v>
      </c>
      <c r="K188" s="45">
        <v>52.0</v>
      </c>
      <c r="P188" s="140"/>
      <c r="AE188" s="45">
        <v>-21.09</v>
      </c>
      <c r="AF188" s="45">
        <v>-36.21</v>
      </c>
    </row>
    <row r="189">
      <c r="C189" s="133"/>
      <c r="D189" s="122" t="str">
        <f t="shared" si="17"/>
        <v/>
      </c>
      <c r="H189" s="45">
        <v>51.0</v>
      </c>
      <c r="J189" s="45">
        <v>0.59</v>
      </c>
      <c r="K189" s="45">
        <v>48.0</v>
      </c>
      <c r="P189" s="140"/>
      <c r="AE189" s="45">
        <v>-21.24</v>
      </c>
      <c r="AF189" s="45">
        <v>118.97</v>
      </c>
    </row>
    <row r="190">
      <c r="C190" s="133"/>
      <c r="D190" s="122" t="str">
        <f t="shared" si="17"/>
        <v/>
      </c>
      <c r="H190" s="45">
        <v>45.0</v>
      </c>
      <c r="J190" s="45">
        <v>0.53</v>
      </c>
      <c r="K190" s="45">
        <v>43.0</v>
      </c>
      <c r="P190" s="140"/>
      <c r="AE190" s="45">
        <v>-21.76</v>
      </c>
      <c r="AF190" s="45">
        <v>-36.93</v>
      </c>
    </row>
    <row r="191">
      <c r="C191" s="133"/>
      <c r="D191" s="122" t="str">
        <f t="shared" si="17"/>
        <v/>
      </c>
      <c r="H191" s="45">
        <v>45.0</v>
      </c>
      <c r="J191" s="45">
        <v>0.49</v>
      </c>
      <c r="K191" s="45">
        <v>47.0</v>
      </c>
      <c r="P191" s="140"/>
      <c r="AE191" s="45">
        <v>-21.78</v>
      </c>
      <c r="AF191" s="45">
        <v>-34.85</v>
      </c>
    </row>
    <row r="192">
      <c r="C192" s="133"/>
      <c r="D192" s="122" t="str">
        <f t="shared" si="17"/>
        <v/>
      </c>
      <c r="H192" s="45">
        <v>54.0</v>
      </c>
      <c r="J192" s="45">
        <v>0.51</v>
      </c>
      <c r="K192" s="45">
        <v>40.0</v>
      </c>
      <c r="P192" s="140"/>
      <c r="AE192" s="45">
        <v>-22.46</v>
      </c>
      <c r="AF192" s="45">
        <v>-70.94</v>
      </c>
    </row>
    <row r="193">
      <c r="C193" s="133"/>
      <c r="D193" s="122" t="str">
        <f t="shared" si="17"/>
        <v/>
      </c>
      <c r="H193" s="45">
        <v>43.0</v>
      </c>
      <c r="J193" s="45">
        <v>0.55</v>
      </c>
      <c r="K193" s="45">
        <v>47.0</v>
      </c>
      <c r="P193" s="140"/>
      <c r="AE193" s="45">
        <v>-22.65</v>
      </c>
      <c r="AF193" s="45">
        <v>-59.76</v>
      </c>
    </row>
    <row r="194">
      <c r="C194" s="133"/>
      <c r="D194" s="122" t="str">
        <f t="shared" si="17"/>
        <v/>
      </c>
      <c r="H194" s="45">
        <v>48.0</v>
      </c>
      <c r="J194" s="45">
        <v>0.63</v>
      </c>
      <c r="K194" s="45">
        <v>45.0</v>
      </c>
      <c r="P194" s="140"/>
      <c r="AE194" s="45">
        <v>-22.93</v>
      </c>
      <c r="AF194" s="45">
        <v>-39.33</v>
      </c>
    </row>
    <row r="195">
      <c r="C195" s="133"/>
      <c r="D195" s="122" t="str">
        <f t="shared" si="17"/>
        <v/>
      </c>
      <c r="H195" s="45">
        <v>47.0</v>
      </c>
      <c r="J195" s="45">
        <v>0.49</v>
      </c>
      <c r="K195" s="45">
        <v>49.0</v>
      </c>
      <c r="P195" s="140"/>
      <c r="AE195" s="45">
        <v>-23.25</v>
      </c>
      <c r="AF195" s="45">
        <v>-19.86</v>
      </c>
    </row>
    <row r="196">
      <c r="C196" s="133"/>
      <c r="D196" s="122" t="str">
        <f t="shared" si="17"/>
        <v/>
      </c>
      <c r="H196" s="45">
        <v>48.0</v>
      </c>
      <c r="J196" s="45">
        <v>0.48</v>
      </c>
      <c r="K196" s="45">
        <v>45.0</v>
      </c>
      <c r="P196" s="140"/>
      <c r="AE196" s="45">
        <v>-23.75</v>
      </c>
      <c r="AF196" s="45">
        <v>-41.16</v>
      </c>
    </row>
    <row r="197">
      <c r="C197" s="133"/>
      <c r="D197" s="122" t="str">
        <f t="shared" si="17"/>
        <v/>
      </c>
      <c r="H197" s="45">
        <v>49.0</v>
      </c>
      <c r="J197" s="45">
        <v>0.52</v>
      </c>
      <c r="K197" s="45">
        <v>43.0</v>
      </c>
      <c r="P197" s="140"/>
      <c r="AE197" s="45">
        <v>-23.95</v>
      </c>
      <c r="AF197" s="45">
        <v>-37.06</v>
      </c>
    </row>
    <row r="198">
      <c r="C198" s="133"/>
      <c r="D198" s="122" t="str">
        <f t="shared" si="17"/>
        <v/>
      </c>
      <c r="H198" s="45">
        <v>50.0</v>
      </c>
      <c r="J198" s="45">
        <v>0.46</v>
      </c>
      <c r="K198" s="45">
        <v>47.0</v>
      </c>
      <c r="P198" s="140"/>
      <c r="AE198" s="45">
        <v>-24.19</v>
      </c>
      <c r="AF198" s="45">
        <v>-37.9</v>
      </c>
    </row>
    <row r="199">
      <c r="C199" s="133"/>
      <c r="D199" s="122" t="str">
        <f t="shared" si="17"/>
        <v/>
      </c>
      <c r="H199" s="45">
        <v>54.0</v>
      </c>
      <c r="J199" s="45">
        <v>0.62</v>
      </c>
      <c r="K199" s="45">
        <v>41.0</v>
      </c>
      <c r="P199" s="140"/>
      <c r="AE199" s="45">
        <v>-24.27</v>
      </c>
      <c r="AF199" s="45">
        <v>23.26</v>
      </c>
    </row>
    <row r="200">
      <c r="C200" s="133"/>
      <c r="D200" s="122" t="str">
        <f t="shared" si="17"/>
        <v/>
      </c>
      <c r="H200" s="45">
        <v>41.0</v>
      </c>
      <c r="J200" s="45">
        <v>0.59</v>
      </c>
      <c r="K200" s="45">
        <v>42.0</v>
      </c>
      <c r="P200" s="140"/>
      <c r="AE200" s="45">
        <v>-24.47</v>
      </c>
      <c r="AF200" s="45">
        <v>-37.85</v>
      </c>
    </row>
    <row r="201">
      <c r="C201" s="133"/>
      <c r="D201" s="122" t="str">
        <f t="shared" si="17"/>
        <v/>
      </c>
      <c r="H201" s="45">
        <v>45.0</v>
      </c>
      <c r="J201" s="45">
        <v>0.54</v>
      </c>
      <c r="K201" s="45">
        <v>40.0</v>
      </c>
      <c r="P201" s="140"/>
      <c r="AE201" s="45">
        <v>-24.58</v>
      </c>
      <c r="AF201" s="45">
        <v>-68.88</v>
      </c>
    </row>
    <row r="202">
      <c r="C202" s="133"/>
      <c r="D202" s="122" t="str">
        <f t="shared" si="17"/>
        <v/>
      </c>
      <c r="H202" s="45">
        <v>46.0</v>
      </c>
      <c r="J202" s="45">
        <v>0.49</v>
      </c>
      <c r="K202" s="45">
        <v>45.0</v>
      </c>
      <c r="P202" s="140"/>
      <c r="AE202" s="45">
        <v>-25.05</v>
      </c>
      <c r="AF202" s="45">
        <v>-33.69</v>
      </c>
    </row>
    <row r="203">
      <c r="C203" s="133"/>
      <c r="D203" s="122" t="str">
        <f t="shared" si="17"/>
        <v/>
      </c>
      <c r="H203" s="45">
        <v>48.0</v>
      </c>
      <c r="J203" s="45">
        <v>0.55</v>
      </c>
      <c r="K203" s="45">
        <v>47.0</v>
      </c>
      <c r="P203" s="140"/>
      <c r="AE203" s="45">
        <v>-25.2</v>
      </c>
      <c r="AF203" s="45">
        <v>-10.56</v>
      </c>
    </row>
    <row r="204">
      <c r="C204" s="133"/>
      <c r="D204" s="122" t="str">
        <f t="shared" si="17"/>
        <v/>
      </c>
      <c r="H204" s="45">
        <v>49.0</v>
      </c>
      <c r="J204" s="45">
        <v>0.46</v>
      </c>
      <c r="K204" s="45">
        <v>50.0</v>
      </c>
      <c r="P204" s="140"/>
      <c r="AE204" s="45">
        <v>-25.23</v>
      </c>
      <c r="AF204" s="45">
        <v>-46.63</v>
      </c>
    </row>
    <row r="205">
      <c r="C205" s="133"/>
      <c r="D205" s="122" t="str">
        <f t="shared" si="17"/>
        <v/>
      </c>
      <c r="H205" s="45">
        <v>45.0</v>
      </c>
      <c r="J205" s="45">
        <v>0.5</v>
      </c>
      <c r="K205" s="45">
        <v>41.0</v>
      </c>
      <c r="P205" s="140"/>
      <c r="AE205" s="45">
        <v>-25.61</v>
      </c>
      <c r="AF205" s="45">
        <v>17.61</v>
      </c>
    </row>
    <row r="206">
      <c r="C206" s="133"/>
      <c r="D206" s="122" t="str">
        <f t="shared" si="17"/>
        <v/>
      </c>
      <c r="H206" s="45">
        <v>40.0</v>
      </c>
      <c r="J206" s="45">
        <v>0.54</v>
      </c>
      <c r="K206" s="45">
        <v>38.0</v>
      </c>
      <c r="P206" s="140"/>
      <c r="AE206" s="45">
        <v>-25.64</v>
      </c>
      <c r="AF206" s="45">
        <v>-45.07</v>
      </c>
    </row>
    <row r="207">
      <c r="C207" s="133"/>
      <c r="D207" s="122" t="str">
        <f t="shared" si="17"/>
        <v/>
      </c>
      <c r="H207" s="45">
        <v>46.0</v>
      </c>
      <c r="J207" s="45">
        <v>0.47</v>
      </c>
      <c r="K207" s="45">
        <v>38.0</v>
      </c>
      <c r="P207" s="140"/>
      <c r="AE207" s="45">
        <v>-25.92</v>
      </c>
      <c r="AF207" s="45">
        <v>64.32</v>
      </c>
    </row>
    <row r="208">
      <c r="C208" s="133"/>
      <c r="D208" s="122" t="str">
        <f t="shared" si="17"/>
        <v/>
      </c>
      <c r="H208" s="45">
        <v>40.0</v>
      </c>
      <c r="J208" s="45">
        <v>0.44</v>
      </c>
      <c r="K208" s="45">
        <v>45.0</v>
      </c>
      <c r="P208" s="140"/>
      <c r="AE208" s="45">
        <v>-26.16</v>
      </c>
      <c r="AF208" s="45">
        <v>-6.72</v>
      </c>
    </row>
    <row r="209">
      <c r="C209" s="133"/>
      <c r="D209" s="122" t="str">
        <f t="shared" si="17"/>
        <v/>
      </c>
      <c r="H209" s="45">
        <v>41.0</v>
      </c>
      <c r="J209" s="45">
        <v>0.44</v>
      </c>
      <c r="K209" s="45">
        <v>41.0</v>
      </c>
      <c r="P209" s="140"/>
      <c r="AE209" s="45">
        <v>-26.2</v>
      </c>
      <c r="AF209" s="45">
        <v>-38.56</v>
      </c>
    </row>
    <row r="210">
      <c r="C210" s="133"/>
      <c r="D210" s="122" t="str">
        <f t="shared" si="17"/>
        <v/>
      </c>
      <c r="H210" s="45">
        <v>43.0</v>
      </c>
      <c r="J210" s="45">
        <v>0.48</v>
      </c>
      <c r="K210" s="45">
        <v>49.0</v>
      </c>
      <c r="P210" s="140"/>
      <c r="AE210" s="45">
        <v>-26.52</v>
      </c>
      <c r="AF210" s="45">
        <v>-70.17</v>
      </c>
    </row>
    <row r="211">
      <c r="C211" s="133"/>
      <c r="D211" s="122" t="str">
        <f t="shared" si="17"/>
        <v/>
      </c>
      <c r="H211" s="45">
        <v>41.0</v>
      </c>
      <c r="J211" s="45">
        <v>0.57</v>
      </c>
      <c r="K211" s="45">
        <v>39.0</v>
      </c>
      <c r="P211" s="140"/>
      <c r="AE211" s="45">
        <v>-26.58</v>
      </c>
      <c r="AF211" s="45">
        <v>-35.45</v>
      </c>
    </row>
    <row r="212">
      <c r="C212" s="133"/>
      <c r="D212" s="122" t="str">
        <f t="shared" si="17"/>
        <v/>
      </c>
      <c r="H212" s="45">
        <v>45.0</v>
      </c>
      <c r="J212" s="45">
        <v>0.54</v>
      </c>
      <c r="K212" s="45">
        <v>46.0</v>
      </c>
      <c r="P212" s="140"/>
      <c r="AE212" s="45">
        <v>-26.69</v>
      </c>
      <c r="AF212" s="45">
        <v>-38.39</v>
      </c>
    </row>
    <row r="213">
      <c r="C213" s="133"/>
      <c r="D213" s="122" t="str">
        <f t="shared" si="17"/>
        <v/>
      </c>
      <c r="H213" s="45">
        <v>43.0</v>
      </c>
      <c r="J213" s="45">
        <v>0.56</v>
      </c>
      <c r="K213" s="45">
        <v>44.0</v>
      </c>
      <c r="P213" s="141"/>
      <c r="AE213" s="45">
        <v>-26.72</v>
      </c>
      <c r="AF213" s="45">
        <v>-51.72</v>
      </c>
    </row>
    <row r="214">
      <c r="C214" s="133"/>
      <c r="D214" s="122" t="str">
        <f t="shared" si="17"/>
        <v/>
      </c>
      <c r="H214" s="45">
        <v>47.0</v>
      </c>
      <c r="J214" s="45">
        <v>0.52</v>
      </c>
      <c r="K214" s="45">
        <v>51.0</v>
      </c>
      <c r="P214" s="141"/>
      <c r="AE214" s="45">
        <v>-27.56</v>
      </c>
      <c r="AF214" s="45">
        <v>-27.09</v>
      </c>
    </row>
    <row r="215">
      <c r="C215" s="133"/>
      <c r="D215" s="122" t="str">
        <f t="shared" si="17"/>
        <v/>
      </c>
      <c r="H215" s="45">
        <v>44.0</v>
      </c>
      <c r="J215" s="45">
        <v>0.49</v>
      </c>
      <c r="K215" s="45">
        <v>50.0</v>
      </c>
      <c r="P215" s="141"/>
      <c r="AE215" s="45">
        <v>-27.62</v>
      </c>
      <c r="AF215" s="45">
        <v>-42.02</v>
      </c>
    </row>
    <row r="216">
      <c r="C216" s="133"/>
      <c r="D216" s="122" t="str">
        <f t="shared" si="17"/>
        <v/>
      </c>
      <c r="H216" s="45">
        <v>44.0</v>
      </c>
      <c r="J216" s="45">
        <v>0.56</v>
      </c>
      <c r="K216" s="45">
        <v>45.0</v>
      </c>
      <c r="P216" s="141"/>
      <c r="AE216" s="45">
        <v>-27.92</v>
      </c>
      <c r="AF216" s="45">
        <v>2.15</v>
      </c>
    </row>
    <row r="217">
      <c r="C217" s="133"/>
      <c r="D217" s="122" t="str">
        <f t="shared" si="17"/>
        <v/>
      </c>
      <c r="H217" s="45">
        <v>42.0</v>
      </c>
      <c r="J217" s="45">
        <v>0.51</v>
      </c>
      <c r="K217" s="45">
        <v>46.0</v>
      </c>
      <c r="P217" s="141"/>
      <c r="AE217" s="45">
        <v>-27.95</v>
      </c>
      <c r="AF217" s="45">
        <v>-31.54</v>
      </c>
    </row>
    <row r="218">
      <c r="C218" s="133"/>
      <c r="D218" s="122" t="str">
        <f t="shared" si="17"/>
        <v/>
      </c>
      <c r="H218" s="45">
        <v>49.0</v>
      </c>
      <c r="J218" s="45">
        <v>0.51</v>
      </c>
      <c r="K218" s="45">
        <v>46.0</v>
      </c>
      <c r="P218" s="141"/>
      <c r="AE218" s="45">
        <v>-28.16</v>
      </c>
      <c r="AF218" s="45">
        <v>-40.49</v>
      </c>
    </row>
    <row r="219">
      <c r="C219" s="133"/>
      <c r="D219" s="122" t="str">
        <f t="shared" si="17"/>
        <v/>
      </c>
      <c r="H219" s="45">
        <v>47.0</v>
      </c>
      <c r="J219" s="45">
        <v>0.52</v>
      </c>
      <c r="K219" s="45">
        <v>41.0</v>
      </c>
      <c r="P219" s="141"/>
      <c r="AE219" s="45">
        <v>-28.34</v>
      </c>
      <c r="AF219" s="45">
        <v>-88.95</v>
      </c>
    </row>
    <row r="220">
      <c r="C220" s="133"/>
      <c r="D220" s="122" t="str">
        <f t="shared" si="17"/>
        <v/>
      </c>
      <c r="H220" s="45">
        <v>45.0</v>
      </c>
      <c r="J220" s="45">
        <v>0.53</v>
      </c>
      <c r="K220" s="45">
        <v>42.0</v>
      </c>
      <c r="P220" s="141"/>
      <c r="AE220" s="45">
        <v>-28.4</v>
      </c>
      <c r="AF220" s="45">
        <v>18.22</v>
      </c>
    </row>
    <row r="221">
      <c r="C221" s="133"/>
      <c r="D221" s="122" t="str">
        <f t="shared" si="17"/>
        <v/>
      </c>
      <c r="H221" s="45">
        <v>42.0</v>
      </c>
      <c r="J221" s="45">
        <v>0.52</v>
      </c>
      <c r="K221" s="45">
        <v>42.0</v>
      </c>
      <c r="P221" s="141"/>
      <c r="AE221" s="45">
        <v>-28.71</v>
      </c>
      <c r="AF221" s="45">
        <v>-52.2</v>
      </c>
    </row>
    <row r="222">
      <c r="C222" s="133"/>
      <c r="H222" s="45">
        <v>39.0</v>
      </c>
      <c r="J222" s="45">
        <v>0.49</v>
      </c>
      <c r="K222" s="45">
        <v>39.0</v>
      </c>
      <c r="P222" s="141"/>
      <c r="AE222" s="45">
        <v>-28.81</v>
      </c>
      <c r="AF222" s="45">
        <v>-37.85</v>
      </c>
    </row>
    <row r="223">
      <c r="C223" s="133"/>
      <c r="H223" s="45">
        <v>43.0</v>
      </c>
      <c r="J223" s="45">
        <v>0.5</v>
      </c>
      <c r="K223" s="45">
        <v>50.0</v>
      </c>
      <c r="P223" s="141"/>
      <c r="AE223" s="45">
        <v>-28.99</v>
      </c>
      <c r="AF223" s="45">
        <v>53.7</v>
      </c>
    </row>
    <row r="224">
      <c r="C224" s="133"/>
      <c r="H224" s="45">
        <v>49.0</v>
      </c>
      <c r="J224" s="45">
        <v>0.47</v>
      </c>
      <c r="K224" s="45">
        <v>48.0</v>
      </c>
      <c r="P224" s="141"/>
      <c r="AE224" s="45">
        <v>-29.99</v>
      </c>
      <c r="AF224" s="45">
        <v>-81.61</v>
      </c>
    </row>
    <row r="225">
      <c r="C225" s="133"/>
      <c r="H225" s="45">
        <v>41.0</v>
      </c>
      <c r="J225" s="45">
        <v>0.52</v>
      </c>
      <c r="K225" s="45">
        <v>40.0</v>
      </c>
      <c r="P225" s="141"/>
      <c r="AE225" s="45">
        <v>-30.24</v>
      </c>
      <c r="AF225" s="45">
        <v>-27.85</v>
      </c>
    </row>
    <row r="226">
      <c r="C226" s="133"/>
      <c r="H226" s="45">
        <v>43.0</v>
      </c>
      <c r="J226" s="45">
        <v>0.48</v>
      </c>
      <c r="K226" s="45">
        <v>43.0</v>
      </c>
      <c r="P226" s="141"/>
      <c r="AE226" s="45">
        <v>-30.39</v>
      </c>
      <c r="AF226" s="45">
        <v>-40.27</v>
      </c>
    </row>
    <row r="227">
      <c r="C227" s="133"/>
      <c r="H227" s="45">
        <v>44.0</v>
      </c>
      <c r="J227" s="45">
        <v>0.47</v>
      </c>
      <c r="K227" s="45">
        <v>47.0</v>
      </c>
      <c r="P227" s="141"/>
      <c r="AE227" s="45">
        <v>-30.43</v>
      </c>
      <c r="AF227" s="45">
        <v>-66.2</v>
      </c>
    </row>
    <row r="228">
      <c r="C228" s="133"/>
      <c r="H228" s="45">
        <v>45.0</v>
      </c>
      <c r="J228" s="45">
        <v>0.54</v>
      </c>
      <c r="K228" s="45">
        <v>41.0</v>
      </c>
      <c r="P228" s="141"/>
      <c r="AE228" s="45">
        <v>-30.64</v>
      </c>
      <c r="AF228" s="45">
        <v>-40.41</v>
      </c>
    </row>
    <row r="229">
      <c r="C229" s="133"/>
      <c r="H229" s="45">
        <v>44.0</v>
      </c>
      <c r="J229" s="45">
        <v>0.51</v>
      </c>
      <c r="K229" s="45">
        <v>42.0</v>
      </c>
      <c r="P229" s="141"/>
      <c r="AE229" s="45">
        <v>-30.82</v>
      </c>
      <c r="AF229" s="45">
        <v>-62.68</v>
      </c>
    </row>
    <row r="230">
      <c r="C230" s="133"/>
      <c r="H230" s="45">
        <v>44.0</v>
      </c>
      <c r="J230" s="45">
        <v>0.48</v>
      </c>
      <c r="K230" s="45">
        <v>41.0</v>
      </c>
      <c r="P230" s="141"/>
      <c r="AE230" s="45">
        <v>-31.31</v>
      </c>
      <c r="AF230" s="45">
        <v>-68.54</v>
      </c>
    </row>
    <row r="231">
      <c r="C231" s="133"/>
      <c r="H231" s="45">
        <v>43.0</v>
      </c>
      <c r="J231" s="45">
        <v>0.52</v>
      </c>
      <c r="K231" s="45">
        <v>43.0</v>
      </c>
      <c r="P231" s="141"/>
      <c r="AE231" s="45">
        <v>-31.46</v>
      </c>
      <c r="AF231" s="45">
        <v>-58.69</v>
      </c>
    </row>
    <row r="232">
      <c r="C232" s="133"/>
      <c r="H232" s="45">
        <v>44.0</v>
      </c>
      <c r="J232" s="45">
        <v>0.53</v>
      </c>
      <c r="K232" s="45">
        <v>41.0</v>
      </c>
      <c r="P232" s="141"/>
      <c r="AE232" s="45">
        <v>-31.87</v>
      </c>
      <c r="AF232" s="45">
        <v>-40.22</v>
      </c>
    </row>
    <row r="233">
      <c r="C233" s="133"/>
      <c r="H233" s="45">
        <v>44.0</v>
      </c>
      <c r="J233" s="45">
        <v>0.52</v>
      </c>
      <c r="K233" s="45">
        <v>39.0</v>
      </c>
      <c r="P233" s="141"/>
      <c r="AE233" s="45">
        <v>-32.0</v>
      </c>
      <c r="AF233" s="45">
        <v>-29.14</v>
      </c>
    </row>
    <row r="234">
      <c r="C234" s="133"/>
      <c r="H234" s="45">
        <v>45.0</v>
      </c>
      <c r="J234" s="45">
        <v>0.5</v>
      </c>
      <c r="K234" s="45">
        <v>45.0</v>
      </c>
      <c r="P234" s="141"/>
      <c r="AE234" s="45">
        <v>-32.12</v>
      </c>
      <c r="AF234" s="45">
        <v>96.73</v>
      </c>
    </row>
    <row r="235">
      <c r="C235" s="133"/>
      <c r="H235" s="45">
        <v>43.0</v>
      </c>
      <c r="J235" s="45">
        <v>0.53</v>
      </c>
      <c r="K235" s="45">
        <v>40.0</v>
      </c>
      <c r="P235" s="141"/>
      <c r="AE235" s="45">
        <v>-32.22</v>
      </c>
      <c r="AF235" s="45">
        <v>-42.92</v>
      </c>
    </row>
    <row r="236">
      <c r="C236" s="133"/>
      <c r="H236" s="45">
        <v>41.0</v>
      </c>
      <c r="J236" s="45">
        <v>0.56</v>
      </c>
      <c r="K236" s="45">
        <v>43.0</v>
      </c>
      <c r="P236" s="141"/>
      <c r="AE236" s="45">
        <v>-32.24</v>
      </c>
      <c r="AF236" s="45">
        <v>-48.67</v>
      </c>
    </row>
    <row r="237">
      <c r="C237" s="133"/>
      <c r="H237" s="45">
        <v>46.0</v>
      </c>
      <c r="J237" s="45">
        <v>0.51</v>
      </c>
      <c r="K237" s="45">
        <v>45.0</v>
      </c>
      <c r="P237" s="141"/>
      <c r="AE237" s="45">
        <v>-32.36</v>
      </c>
      <c r="AF237" s="45">
        <v>-28.84</v>
      </c>
    </row>
    <row r="238">
      <c r="C238" s="133"/>
      <c r="H238" s="45">
        <v>46.0</v>
      </c>
      <c r="J238" s="45">
        <v>0.53</v>
      </c>
      <c r="K238" s="45">
        <v>46.0</v>
      </c>
      <c r="P238" s="141"/>
      <c r="AE238" s="45">
        <v>-33.07</v>
      </c>
      <c r="AF238" s="45">
        <v>-44.62</v>
      </c>
    </row>
    <row r="239">
      <c r="C239" s="133"/>
      <c r="H239" s="45">
        <v>51.0</v>
      </c>
      <c r="J239" s="45">
        <v>0.53</v>
      </c>
      <c r="K239" s="45">
        <v>41.0</v>
      </c>
      <c r="P239" s="141"/>
      <c r="AE239" s="45">
        <v>-33.1</v>
      </c>
      <c r="AF239" s="45">
        <v>-57.46</v>
      </c>
    </row>
    <row r="240">
      <c r="C240" s="133"/>
      <c r="H240" s="45">
        <v>49.0</v>
      </c>
      <c r="J240" s="45">
        <v>0.57</v>
      </c>
      <c r="K240" s="45">
        <v>37.0</v>
      </c>
      <c r="P240" s="141"/>
      <c r="AE240" s="45">
        <v>-33.32</v>
      </c>
      <c r="AF240" s="45">
        <v>-15.2</v>
      </c>
    </row>
    <row r="241">
      <c r="C241" s="133"/>
      <c r="H241" s="45">
        <v>40.0</v>
      </c>
      <c r="J241" s="45">
        <v>0.52</v>
      </c>
      <c r="K241" s="45">
        <v>46.0</v>
      </c>
      <c r="P241" s="141"/>
      <c r="AE241" s="45">
        <v>-33.48</v>
      </c>
      <c r="AF241" s="45">
        <v>21.71</v>
      </c>
    </row>
    <row r="242">
      <c r="C242" s="133"/>
      <c r="H242" s="45">
        <v>49.0</v>
      </c>
      <c r="J242" s="45">
        <v>0.48</v>
      </c>
      <c r="K242" s="45">
        <v>47.0</v>
      </c>
      <c r="P242" s="141"/>
      <c r="AE242" s="45">
        <v>-33.84</v>
      </c>
      <c r="AF242" s="45">
        <v>-39.37</v>
      </c>
    </row>
    <row r="243">
      <c r="C243" s="133"/>
      <c r="H243" s="45">
        <v>44.0</v>
      </c>
      <c r="J243" s="45">
        <v>0.51</v>
      </c>
      <c r="K243" s="45">
        <v>41.0</v>
      </c>
      <c r="P243" s="141"/>
      <c r="AE243" s="45">
        <v>-33.87</v>
      </c>
      <c r="AF243" s="45">
        <v>-46.12</v>
      </c>
    </row>
    <row r="244">
      <c r="C244" s="133"/>
      <c r="H244" s="45">
        <v>45.0</v>
      </c>
      <c r="J244" s="45">
        <v>0.52</v>
      </c>
      <c r="K244" s="45">
        <v>45.0</v>
      </c>
      <c r="P244" s="141"/>
      <c r="AE244" s="45">
        <v>-33.99</v>
      </c>
      <c r="AF244" s="45">
        <v>-41.49</v>
      </c>
    </row>
    <row r="245">
      <c r="C245" s="133"/>
      <c r="H245" s="45">
        <v>46.0</v>
      </c>
      <c r="J245" s="45">
        <v>0.48</v>
      </c>
      <c r="K245" s="45">
        <v>45.0</v>
      </c>
      <c r="P245" s="141"/>
      <c r="AE245" s="45">
        <v>-34.04</v>
      </c>
      <c r="AF245" s="45">
        <v>-27.54</v>
      </c>
    </row>
    <row r="246">
      <c r="C246" s="133"/>
      <c r="H246" s="45">
        <v>44.0</v>
      </c>
      <c r="J246" s="45">
        <v>0.46</v>
      </c>
      <c r="K246" s="45">
        <v>47.0</v>
      </c>
      <c r="P246" s="141"/>
      <c r="AE246" s="45">
        <v>-34.08</v>
      </c>
      <c r="AF246" s="45">
        <v>-49.63</v>
      </c>
    </row>
    <row r="247">
      <c r="C247" s="133"/>
      <c r="H247" s="45">
        <v>50.0</v>
      </c>
      <c r="J247" s="45">
        <v>0.53</v>
      </c>
      <c r="K247" s="45">
        <v>46.0</v>
      </c>
      <c r="P247" s="141"/>
      <c r="AE247" s="45">
        <v>-34.11</v>
      </c>
      <c r="AF247" s="45">
        <v>-41.77</v>
      </c>
    </row>
    <row r="248">
      <c r="C248" s="133"/>
      <c r="H248" s="45">
        <v>44.0</v>
      </c>
      <c r="J248" s="45">
        <v>0.55</v>
      </c>
      <c r="K248" s="45">
        <v>42.0</v>
      </c>
      <c r="P248" s="141"/>
      <c r="AE248" s="45">
        <v>-34.13</v>
      </c>
      <c r="AF248" s="45">
        <v>-57.55</v>
      </c>
    </row>
    <row r="249">
      <c r="C249" s="133"/>
      <c r="H249" s="45">
        <v>37.0</v>
      </c>
      <c r="J249" s="45">
        <v>0.47</v>
      </c>
      <c r="K249" s="45">
        <v>47.0</v>
      </c>
      <c r="P249" s="141"/>
      <c r="AE249" s="45">
        <v>-34.24</v>
      </c>
      <c r="AF249" s="45">
        <v>-25.42</v>
      </c>
    </row>
    <row r="250">
      <c r="C250" s="133"/>
      <c r="H250" s="45">
        <v>46.0</v>
      </c>
      <c r="J250" s="45">
        <v>0.54</v>
      </c>
      <c r="K250" s="45">
        <v>46.0</v>
      </c>
      <c r="P250" s="141"/>
      <c r="AE250" s="45">
        <v>-34.36</v>
      </c>
      <c r="AF250" s="45">
        <v>-46.07</v>
      </c>
    </row>
    <row r="251">
      <c r="C251" s="133"/>
      <c r="H251" s="45">
        <v>46.0</v>
      </c>
      <c r="J251" s="45">
        <v>0.52</v>
      </c>
      <c r="K251" s="45">
        <v>48.0</v>
      </c>
      <c r="P251" s="141"/>
      <c r="AE251" s="45">
        <v>-34.44</v>
      </c>
      <c r="AF251" s="45">
        <v>-25.77</v>
      </c>
    </row>
    <row r="252">
      <c r="C252" s="133"/>
      <c r="H252" s="45">
        <v>45.0</v>
      </c>
      <c r="J252" s="45">
        <v>0.5</v>
      </c>
      <c r="K252" s="45">
        <v>38.0</v>
      </c>
      <c r="P252" s="141"/>
      <c r="AE252" s="45">
        <v>-34.56</v>
      </c>
      <c r="AF252" s="45">
        <v>-74.29</v>
      </c>
    </row>
    <row r="253">
      <c r="C253" s="133"/>
      <c r="H253" s="45">
        <v>38.0</v>
      </c>
      <c r="J253" s="45">
        <v>0.47</v>
      </c>
      <c r="K253" s="45">
        <v>53.0</v>
      </c>
      <c r="P253" s="141"/>
      <c r="AE253" s="45">
        <v>-34.76</v>
      </c>
      <c r="AF253" s="45">
        <v>-49.51</v>
      </c>
    </row>
    <row r="254">
      <c r="C254" s="133"/>
      <c r="H254" s="45">
        <v>44.0</v>
      </c>
      <c r="J254" s="45">
        <v>0.47</v>
      </c>
      <c r="K254" s="45">
        <v>42.0</v>
      </c>
      <c r="P254" s="141"/>
      <c r="AE254" s="45">
        <v>-34.78</v>
      </c>
      <c r="AF254" s="45">
        <v>-45.46</v>
      </c>
    </row>
    <row r="255">
      <c r="C255" s="133"/>
      <c r="H255" s="45">
        <v>47.0</v>
      </c>
      <c r="J255" s="45">
        <v>0.55</v>
      </c>
      <c r="K255" s="45">
        <v>49.0</v>
      </c>
      <c r="P255" s="141"/>
      <c r="AE255" s="45">
        <v>-34.92</v>
      </c>
      <c r="AF255" s="45">
        <v>-30.33</v>
      </c>
    </row>
    <row r="256">
      <c r="C256" s="133"/>
      <c r="H256" s="45">
        <v>45.0</v>
      </c>
      <c r="J256" s="45">
        <v>0.53</v>
      </c>
      <c r="K256" s="45">
        <v>42.0</v>
      </c>
      <c r="P256" s="141"/>
      <c r="AE256" s="45">
        <v>-35.41</v>
      </c>
      <c r="AF256" s="45">
        <v>-47.91</v>
      </c>
    </row>
    <row r="257">
      <c r="C257" s="133"/>
      <c r="H257" s="45">
        <v>38.0</v>
      </c>
      <c r="J257" s="45">
        <v>0.46</v>
      </c>
      <c r="K257" s="45">
        <v>45.0</v>
      </c>
      <c r="P257" s="141"/>
      <c r="AE257" s="45">
        <v>-35.68</v>
      </c>
      <c r="AF257" s="45">
        <v>-46.96</v>
      </c>
    </row>
    <row r="258">
      <c r="C258" s="133"/>
      <c r="H258" s="45">
        <v>44.0</v>
      </c>
      <c r="J258" s="45">
        <v>0.48</v>
      </c>
      <c r="K258" s="45">
        <v>44.0</v>
      </c>
      <c r="P258" s="141"/>
      <c r="AE258" s="45">
        <v>-36.1</v>
      </c>
      <c r="AF258" s="45">
        <v>-46.53</v>
      </c>
    </row>
    <row r="259">
      <c r="C259" s="133"/>
      <c r="H259" s="45">
        <v>41.0</v>
      </c>
      <c r="J259" s="45">
        <v>0.51</v>
      </c>
      <c r="K259" s="45">
        <v>45.0</v>
      </c>
      <c r="P259" s="141"/>
      <c r="AE259" s="45">
        <v>-36.43</v>
      </c>
      <c r="AF259" s="45">
        <v>-16.83</v>
      </c>
    </row>
    <row r="260">
      <c r="C260" s="133"/>
      <c r="H260" s="45">
        <v>44.0</v>
      </c>
      <c r="J260" s="45">
        <v>0.54</v>
      </c>
      <c r="K260" s="45">
        <v>42.0</v>
      </c>
      <c r="P260" s="141"/>
      <c r="AE260" s="45">
        <v>-37.34</v>
      </c>
      <c r="AF260" s="45">
        <v>-12.62</v>
      </c>
    </row>
    <row r="261">
      <c r="C261" s="133"/>
      <c r="H261" s="45">
        <v>45.0</v>
      </c>
      <c r="J261" s="45">
        <v>0.54</v>
      </c>
      <c r="K261" s="45">
        <v>49.0</v>
      </c>
      <c r="P261" s="141"/>
      <c r="AE261" s="45">
        <v>-37.37</v>
      </c>
      <c r="AF261" s="45">
        <v>-51.2</v>
      </c>
    </row>
    <row r="262">
      <c r="C262" s="133"/>
      <c r="H262" s="45">
        <v>44.0</v>
      </c>
      <c r="J262" s="45">
        <v>0.57</v>
      </c>
      <c r="K262" s="45">
        <v>44.0</v>
      </c>
      <c r="P262" s="141"/>
      <c r="AE262" s="45">
        <v>-37.86</v>
      </c>
      <c r="AF262" s="45">
        <v>-46.51</v>
      </c>
    </row>
    <row r="263">
      <c r="C263" s="133"/>
      <c r="H263" s="45">
        <v>53.0</v>
      </c>
      <c r="J263" s="45">
        <v>0.57</v>
      </c>
      <c r="K263" s="45">
        <v>50.0</v>
      </c>
      <c r="P263" s="141"/>
      <c r="AE263" s="45">
        <v>-38.13</v>
      </c>
      <c r="AF263" s="45">
        <v>-54.95</v>
      </c>
    </row>
    <row r="264">
      <c r="C264" s="133"/>
      <c r="H264" s="45">
        <v>45.0</v>
      </c>
      <c r="J264" s="45">
        <v>0.5</v>
      </c>
      <c r="K264" s="45">
        <v>39.0</v>
      </c>
      <c r="P264" s="141"/>
      <c r="AE264" s="45">
        <v>-38.56</v>
      </c>
      <c r="AF264" s="45">
        <v>25.89</v>
      </c>
    </row>
    <row r="265">
      <c r="C265" s="133"/>
      <c r="H265" s="45">
        <v>38.0</v>
      </c>
      <c r="J265" s="45">
        <v>0.45</v>
      </c>
      <c r="K265" s="45">
        <v>46.0</v>
      </c>
      <c r="P265" s="141"/>
      <c r="AE265" s="45">
        <v>-38.76</v>
      </c>
      <c r="AF265" s="45">
        <v>-31.88</v>
      </c>
    </row>
    <row r="266">
      <c r="C266" s="133"/>
      <c r="H266" s="45">
        <v>48.0</v>
      </c>
      <c r="J266" s="45">
        <v>0.52</v>
      </c>
      <c r="K266" s="45">
        <v>44.0</v>
      </c>
      <c r="P266" s="141"/>
      <c r="AE266" s="45">
        <v>-39.24</v>
      </c>
      <c r="AF266" s="45">
        <v>-42.85</v>
      </c>
    </row>
    <row r="267">
      <c r="C267" s="133"/>
      <c r="H267" s="45">
        <v>47.0</v>
      </c>
      <c r="J267" s="45">
        <v>0.55</v>
      </c>
      <c r="K267" s="45">
        <v>49.0</v>
      </c>
      <c r="P267" s="141"/>
      <c r="AE267" s="45">
        <v>-39.42</v>
      </c>
      <c r="AF267" s="45">
        <v>-37.05</v>
      </c>
    </row>
    <row r="268">
      <c r="C268" s="133"/>
      <c r="H268" s="45">
        <v>49.0</v>
      </c>
      <c r="J268" s="45">
        <v>0.53</v>
      </c>
      <c r="K268" s="45">
        <v>37.0</v>
      </c>
      <c r="P268" s="141"/>
      <c r="AE268" s="45">
        <v>-39.75</v>
      </c>
      <c r="AF268" s="45">
        <v>-49.85</v>
      </c>
    </row>
    <row r="269">
      <c r="C269" s="133"/>
      <c r="H269" s="45">
        <v>41.0</v>
      </c>
      <c r="J269" s="45">
        <v>0.51</v>
      </c>
      <c r="K269" s="45">
        <v>45.0</v>
      </c>
      <c r="P269" s="141"/>
      <c r="AE269" s="45">
        <v>-39.8</v>
      </c>
      <c r="AF269" s="45">
        <v>-28.85</v>
      </c>
    </row>
    <row r="270">
      <c r="C270" s="133"/>
      <c r="H270" s="45">
        <v>50.0</v>
      </c>
      <c r="J270" s="45">
        <v>0.52</v>
      </c>
      <c r="K270" s="45">
        <v>46.0</v>
      </c>
      <c r="P270" s="141"/>
      <c r="AE270" s="45">
        <v>-40.01</v>
      </c>
      <c r="AF270" s="45">
        <v>-32.23</v>
      </c>
    </row>
    <row r="271">
      <c r="C271" s="133"/>
      <c r="H271" s="45">
        <v>52.0</v>
      </c>
      <c r="J271" s="45">
        <v>0.53</v>
      </c>
      <c r="K271" s="45">
        <v>43.0</v>
      </c>
      <c r="P271" s="141"/>
      <c r="AE271" s="45">
        <v>-41.59</v>
      </c>
      <c r="AF271" s="45">
        <v>-35.17</v>
      </c>
    </row>
    <row r="272">
      <c r="C272" s="133"/>
      <c r="H272" s="45">
        <v>45.0</v>
      </c>
      <c r="J272" s="45">
        <v>0.54</v>
      </c>
      <c r="K272" s="45">
        <v>40.0</v>
      </c>
      <c r="P272" s="141"/>
      <c r="AE272" s="45">
        <v>-41.89</v>
      </c>
      <c r="AF272" s="45">
        <v>-85.39</v>
      </c>
    </row>
    <row r="273">
      <c r="C273" s="133"/>
      <c r="H273" s="45">
        <v>37.0</v>
      </c>
      <c r="J273" s="45">
        <v>0.49</v>
      </c>
      <c r="K273" s="45">
        <v>39.0</v>
      </c>
      <c r="P273" s="141"/>
      <c r="AE273" s="45">
        <v>-42.74</v>
      </c>
      <c r="AF273" s="45">
        <v>-52.11</v>
      </c>
    </row>
    <row r="274">
      <c r="C274" s="133"/>
      <c r="H274" s="45">
        <v>43.0</v>
      </c>
      <c r="J274" s="45">
        <v>0.49</v>
      </c>
      <c r="K274" s="45">
        <v>43.0</v>
      </c>
      <c r="P274" s="141"/>
      <c r="AE274" s="45">
        <v>-42.9</v>
      </c>
      <c r="AF274" s="45">
        <v>116.14</v>
      </c>
    </row>
    <row r="275">
      <c r="C275" s="133"/>
      <c r="H275" s="45">
        <v>38.0</v>
      </c>
      <c r="J275" s="45">
        <v>0.48</v>
      </c>
      <c r="K275" s="45">
        <v>42.0</v>
      </c>
      <c r="P275" s="141"/>
      <c r="AE275" s="45">
        <v>-43.06</v>
      </c>
      <c r="AF275" s="45">
        <v>-31.93</v>
      </c>
    </row>
    <row r="276">
      <c r="C276" s="133"/>
      <c r="H276" s="45">
        <v>42.0</v>
      </c>
      <c r="J276" s="45">
        <v>0.49</v>
      </c>
      <c r="K276" s="45">
        <v>46.0</v>
      </c>
      <c r="P276" s="141"/>
      <c r="AE276" s="45">
        <v>-43.26</v>
      </c>
      <c r="AF276" s="45">
        <v>-80.51</v>
      </c>
    </row>
    <row r="277">
      <c r="C277" s="133"/>
      <c r="H277" s="45">
        <v>42.0</v>
      </c>
      <c r="J277" s="45">
        <v>0.54</v>
      </c>
      <c r="K277" s="45">
        <v>45.0</v>
      </c>
      <c r="P277" s="141"/>
      <c r="AE277" s="45">
        <v>-43.35</v>
      </c>
      <c r="AF277" s="45">
        <v>-38.38</v>
      </c>
    </row>
    <row r="278">
      <c r="C278" s="133"/>
      <c r="H278" s="45">
        <v>43.0</v>
      </c>
      <c r="J278" s="45">
        <v>0.51</v>
      </c>
      <c r="K278" s="45">
        <v>42.0</v>
      </c>
      <c r="P278" s="141"/>
      <c r="AE278" s="45">
        <v>-43.44</v>
      </c>
      <c r="AF278" s="45">
        <v>-15.49</v>
      </c>
    </row>
    <row r="279">
      <c r="C279" s="133"/>
      <c r="H279" s="45">
        <v>44.0</v>
      </c>
      <c r="J279" s="45">
        <v>0.53</v>
      </c>
      <c r="K279" s="45">
        <v>46.0</v>
      </c>
      <c r="P279" s="141"/>
      <c r="AE279" s="45">
        <v>-43.81</v>
      </c>
      <c r="AF279" s="45">
        <v>-9.14</v>
      </c>
    </row>
    <row r="280">
      <c r="C280" s="133"/>
      <c r="H280" s="45">
        <v>43.0</v>
      </c>
      <c r="J280" s="45">
        <v>0.5</v>
      </c>
      <c r="K280" s="45">
        <v>41.0</v>
      </c>
      <c r="P280" s="141"/>
      <c r="AE280" s="45">
        <v>-44.65</v>
      </c>
      <c r="AF280" s="45">
        <v>-53.36</v>
      </c>
    </row>
    <row r="281">
      <c r="C281" s="133"/>
      <c r="H281" s="45">
        <v>40.0</v>
      </c>
      <c r="J281" s="45">
        <v>0.51</v>
      </c>
      <c r="K281" s="45">
        <v>42.0</v>
      </c>
      <c r="P281" s="141"/>
      <c r="AE281" s="45">
        <v>-45.04</v>
      </c>
      <c r="AF281" s="45">
        <v>-22.49</v>
      </c>
    </row>
    <row r="282">
      <c r="C282" s="133"/>
      <c r="H282" s="45">
        <v>40.0</v>
      </c>
      <c r="J282" s="45">
        <v>0.5</v>
      </c>
      <c r="K282" s="45">
        <v>48.0</v>
      </c>
      <c r="P282" s="141"/>
      <c r="AE282" s="45">
        <v>-45.14</v>
      </c>
      <c r="AF282" s="45">
        <v>-54.23</v>
      </c>
    </row>
    <row r="283">
      <c r="C283" s="133"/>
      <c r="H283" s="45">
        <v>46.0</v>
      </c>
      <c r="J283" s="45">
        <v>0.51</v>
      </c>
      <c r="K283" s="45">
        <v>48.0</v>
      </c>
      <c r="P283" s="141"/>
      <c r="AE283" s="45">
        <v>-45.32</v>
      </c>
      <c r="AF283" s="45">
        <v>-80.61</v>
      </c>
    </row>
    <row r="284">
      <c r="C284" s="133"/>
      <c r="H284" s="45">
        <v>48.0</v>
      </c>
      <c r="J284" s="45">
        <v>0.48</v>
      </c>
      <c r="K284" s="45">
        <v>46.0</v>
      </c>
      <c r="P284" s="141"/>
      <c r="AE284" s="45">
        <v>-45.46</v>
      </c>
      <c r="AF284" s="45">
        <v>-41.73</v>
      </c>
    </row>
    <row r="285">
      <c r="C285" s="133"/>
      <c r="H285" s="45">
        <v>48.0</v>
      </c>
      <c r="J285" s="45">
        <v>0.52</v>
      </c>
      <c r="K285" s="45">
        <v>44.0</v>
      </c>
      <c r="P285" s="141"/>
      <c r="AE285" s="45">
        <v>-45.5</v>
      </c>
      <c r="AF285" s="45">
        <v>-63.04</v>
      </c>
    </row>
    <row r="286">
      <c r="C286" s="133"/>
      <c r="H286" s="45">
        <v>41.0</v>
      </c>
      <c r="J286" s="45">
        <v>0.54</v>
      </c>
      <c r="K286" s="45">
        <v>46.0</v>
      </c>
      <c r="P286" s="141"/>
      <c r="AE286" s="45">
        <v>-45.76</v>
      </c>
      <c r="AF286" s="45">
        <v>-58.04</v>
      </c>
    </row>
    <row r="287">
      <c r="C287" s="133"/>
      <c r="H287" s="45">
        <v>45.0</v>
      </c>
      <c r="J287" s="45">
        <v>0.47</v>
      </c>
      <c r="K287" s="45">
        <v>41.0</v>
      </c>
      <c r="P287" s="141"/>
      <c r="AE287" s="45">
        <v>-46.0</v>
      </c>
      <c r="AF287" s="45">
        <v>-53.56</v>
      </c>
    </row>
    <row r="288">
      <c r="C288" s="133"/>
      <c r="H288" s="45">
        <v>47.0</v>
      </c>
      <c r="J288" s="45">
        <v>0.54</v>
      </c>
      <c r="K288" s="45">
        <v>45.0</v>
      </c>
      <c r="P288" s="141"/>
      <c r="AE288" s="45">
        <v>-46.3</v>
      </c>
      <c r="AF288" s="45">
        <v>8.8</v>
      </c>
    </row>
    <row r="289">
      <c r="C289" s="133"/>
      <c r="H289" s="45">
        <v>42.0</v>
      </c>
      <c r="J289" s="45">
        <v>0.52</v>
      </c>
      <c r="K289" s="45">
        <v>42.0</v>
      </c>
      <c r="P289" s="141"/>
      <c r="AE289" s="45">
        <v>-46.43</v>
      </c>
      <c r="AF289" s="45">
        <v>-50.29</v>
      </c>
    </row>
    <row r="290">
      <c r="C290" s="133"/>
      <c r="H290" s="45">
        <v>48.0</v>
      </c>
      <c r="J290" s="45">
        <v>0.5</v>
      </c>
      <c r="K290" s="45">
        <v>44.0</v>
      </c>
      <c r="P290" s="141"/>
      <c r="AE290" s="45">
        <v>-46.45</v>
      </c>
      <c r="AF290" s="45">
        <v>-79.5</v>
      </c>
    </row>
    <row r="291">
      <c r="C291" s="133"/>
      <c r="H291" s="45">
        <v>42.0</v>
      </c>
      <c r="J291" s="45">
        <v>0.47</v>
      </c>
      <c r="K291" s="45">
        <v>44.0</v>
      </c>
      <c r="P291" s="141"/>
      <c r="AE291" s="45">
        <v>-46.49</v>
      </c>
      <c r="AF291" s="45">
        <v>-59.45</v>
      </c>
    </row>
    <row r="292">
      <c r="C292" s="133"/>
      <c r="H292" s="45">
        <v>45.0</v>
      </c>
      <c r="J292" s="45">
        <v>0.49</v>
      </c>
      <c r="K292" s="45">
        <v>43.0</v>
      </c>
      <c r="P292" s="141"/>
      <c r="AE292" s="45">
        <v>-46.6</v>
      </c>
      <c r="AF292" s="45">
        <v>-93.96</v>
      </c>
    </row>
    <row r="293">
      <c r="C293" s="133"/>
      <c r="H293" s="45">
        <v>46.0</v>
      </c>
      <c r="J293" s="45">
        <v>0.49</v>
      </c>
      <c r="K293" s="45">
        <v>41.0</v>
      </c>
      <c r="P293" s="141"/>
      <c r="AE293" s="45">
        <v>-47.32</v>
      </c>
      <c r="AF293" s="45">
        <v>132.4</v>
      </c>
    </row>
    <row r="294">
      <c r="C294" s="133"/>
      <c r="H294" s="45">
        <v>47.0</v>
      </c>
      <c r="J294" s="45">
        <v>0.54</v>
      </c>
      <c r="K294" s="45">
        <v>40.0</v>
      </c>
      <c r="P294" s="141"/>
      <c r="AE294" s="45">
        <v>-47.49</v>
      </c>
      <c r="AF294" s="45">
        <v>-57.05</v>
      </c>
    </row>
    <row r="295">
      <c r="C295" s="133"/>
      <c r="H295" s="45">
        <v>46.0</v>
      </c>
      <c r="J295" s="45">
        <v>0.52</v>
      </c>
      <c r="K295" s="45">
        <v>46.0</v>
      </c>
      <c r="P295" s="141"/>
      <c r="AE295" s="45">
        <v>-47.55</v>
      </c>
      <c r="AF295" s="45">
        <v>-87.72</v>
      </c>
    </row>
    <row r="296">
      <c r="C296" s="133"/>
      <c r="H296" s="45">
        <v>47.0</v>
      </c>
      <c r="J296" s="45">
        <v>0.56</v>
      </c>
      <c r="K296" s="45">
        <v>45.0</v>
      </c>
      <c r="P296" s="141"/>
      <c r="AE296" s="45">
        <v>-47.75</v>
      </c>
      <c r="AF296" s="45">
        <v>-59.17</v>
      </c>
    </row>
    <row r="297">
      <c r="C297" s="133"/>
      <c r="H297" s="45">
        <v>49.0</v>
      </c>
      <c r="J297" s="45">
        <v>0.48</v>
      </c>
      <c r="K297" s="45">
        <v>46.0</v>
      </c>
      <c r="P297" s="141"/>
      <c r="AE297" s="45">
        <v>-47.98</v>
      </c>
      <c r="AF297" s="45">
        <v>-82.36</v>
      </c>
    </row>
    <row r="298">
      <c r="C298" s="133"/>
      <c r="H298" s="45">
        <v>45.0</v>
      </c>
      <c r="J298" s="45">
        <v>0.5</v>
      </c>
      <c r="K298" s="45">
        <v>46.0</v>
      </c>
      <c r="P298" s="141"/>
      <c r="AE298" s="45">
        <v>-48.06</v>
      </c>
      <c r="AF298" s="45">
        <v>-58.04</v>
      </c>
    </row>
    <row r="299">
      <c r="C299" s="133"/>
      <c r="H299" s="45">
        <v>47.0</v>
      </c>
      <c r="J299" s="45">
        <v>0.5</v>
      </c>
      <c r="K299" s="45">
        <v>44.0</v>
      </c>
      <c r="P299" s="141"/>
      <c r="AE299" s="45">
        <v>-48.14</v>
      </c>
      <c r="AF299" s="45">
        <v>67.08</v>
      </c>
    </row>
    <row r="300">
      <c r="C300" s="133"/>
      <c r="H300" s="45">
        <v>42.0</v>
      </c>
      <c r="J300" s="45">
        <v>0.5</v>
      </c>
      <c r="K300" s="45">
        <v>43.0</v>
      </c>
      <c r="P300" s="141"/>
      <c r="AE300" s="45">
        <v>-48.2</v>
      </c>
      <c r="AF300" s="45">
        <v>-18.42</v>
      </c>
    </row>
    <row r="301">
      <c r="C301" s="133"/>
      <c r="H301" s="45">
        <v>45.0</v>
      </c>
      <c r="J301" s="45">
        <v>0.48</v>
      </c>
      <c r="K301" s="45">
        <v>42.0</v>
      </c>
      <c r="P301" s="141"/>
      <c r="AE301" s="45">
        <v>-48.25</v>
      </c>
      <c r="AF301" s="45">
        <v>-35.34</v>
      </c>
    </row>
    <row r="302">
      <c r="C302" s="133"/>
      <c r="H302" s="45">
        <v>42.0</v>
      </c>
      <c r="J302" s="45">
        <v>0.48</v>
      </c>
      <c r="K302" s="45">
        <v>42.0</v>
      </c>
      <c r="P302" s="141"/>
      <c r="AE302" s="45">
        <v>-48.5</v>
      </c>
      <c r="AF302" s="45">
        <v>-19.81</v>
      </c>
    </row>
    <row r="303">
      <c r="C303" s="133"/>
      <c r="H303" s="45">
        <v>42.0</v>
      </c>
      <c r="J303" s="45">
        <v>0.53</v>
      </c>
      <c r="K303" s="45">
        <v>45.0</v>
      </c>
      <c r="P303" s="141"/>
      <c r="AE303" s="45">
        <v>-48.57</v>
      </c>
      <c r="AF303" s="45">
        <v>-64.2</v>
      </c>
    </row>
    <row r="304">
      <c r="C304" s="133"/>
      <c r="H304" s="45">
        <v>40.0</v>
      </c>
      <c r="J304" s="45">
        <v>0.51</v>
      </c>
      <c r="K304" s="45">
        <v>43.0</v>
      </c>
      <c r="P304" s="141"/>
      <c r="AE304" s="45">
        <v>-49.19</v>
      </c>
      <c r="AF304" s="45">
        <v>-50.36</v>
      </c>
    </row>
    <row r="305">
      <c r="C305" s="133"/>
      <c r="H305" s="45">
        <v>48.0</v>
      </c>
      <c r="J305" s="45">
        <v>0.49</v>
      </c>
      <c r="K305" s="45">
        <v>51.0</v>
      </c>
      <c r="P305" s="141"/>
      <c r="AE305" s="45">
        <v>-49.85</v>
      </c>
      <c r="AF305" s="45">
        <v>-58.58</v>
      </c>
    </row>
    <row r="306">
      <c r="C306" s="133"/>
      <c r="H306" s="45">
        <v>45.0</v>
      </c>
      <c r="J306" s="45">
        <v>0.51</v>
      </c>
      <c r="K306" s="45">
        <v>41.0</v>
      </c>
      <c r="P306" s="141"/>
      <c r="AE306" s="45">
        <v>-50.19</v>
      </c>
      <c r="AF306" s="45">
        <v>-69.6</v>
      </c>
    </row>
    <row r="307">
      <c r="C307" s="133"/>
      <c r="H307" s="45">
        <v>37.0</v>
      </c>
      <c r="J307" s="45">
        <v>0.5</v>
      </c>
      <c r="K307" s="45">
        <v>50.0</v>
      </c>
      <c r="P307" s="141"/>
      <c r="AE307" s="45">
        <v>-50.39</v>
      </c>
      <c r="AF307" s="45">
        <v>-35.21</v>
      </c>
    </row>
    <row r="308">
      <c r="C308" s="133"/>
      <c r="H308" s="45">
        <v>47.0</v>
      </c>
      <c r="J308" s="45">
        <v>0.51</v>
      </c>
      <c r="K308" s="45">
        <v>41.0</v>
      </c>
      <c r="P308" s="141"/>
      <c r="AE308" s="45">
        <v>-50.46</v>
      </c>
      <c r="AF308" s="45">
        <v>-45.24</v>
      </c>
    </row>
    <row r="309">
      <c r="C309" s="133"/>
      <c r="H309" s="45">
        <v>46.0</v>
      </c>
      <c r="J309" s="45">
        <v>0.52</v>
      </c>
      <c r="K309" s="45">
        <v>44.0</v>
      </c>
      <c r="P309" s="141"/>
      <c r="AE309" s="45">
        <v>-50.5</v>
      </c>
      <c r="AF309" s="45">
        <v>-30.0</v>
      </c>
    </row>
    <row r="310">
      <c r="C310" s="133"/>
      <c r="H310" s="45">
        <v>41.0</v>
      </c>
      <c r="J310" s="45">
        <v>0.46</v>
      </c>
      <c r="K310" s="45">
        <v>46.0</v>
      </c>
      <c r="P310" s="141"/>
      <c r="AE310" s="45">
        <v>-50.71</v>
      </c>
      <c r="AF310" s="45">
        <v>-32.85</v>
      </c>
    </row>
    <row r="311">
      <c r="C311" s="133"/>
      <c r="H311" s="45">
        <v>46.0</v>
      </c>
      <c r="J311" s="45">
        <v>0.46</v>
      </c>
      <c r="K311" s="45">
        <v>41.0</v>
      </c>
      <c r="P311" s="141"/>
      <c r="AE311" s="45">
        <v>-51.41</v>
      </c>
      <c r="AF311" s="45">
        <v>-72.97</v>
      </c>
    </row>
    <row r="312">
      <c r="C312" s="133"/>
      <c r="H312" s="45">
        <v>49.0</v>
      </c>
      <c r="J312" s="45">
        <v>0.48</v>
      </c>
      <c r="K312" s="45">
        <v>39.0</v>
      </c>
      <c r="P312" s="141"/>
      <c r="AE312" s="45">
        <v>-52.32</v>
      </c>
      <c r="AF312" s="45">
        <v>-66.69</v>
      </c>
    </row>
    <row r="313">
      <c r="C313" s="133"/>
      <c r="H313" s="45">
        <v>46.0</v>
      </c>
      <c r="J313" s="45">
        <v>0.43</v>
      </c>
      <c r="K313" s="45">
        <v>49.0</v>
      </c>
      <c r="P313" s="141"/>
      <c r="AE313" s="45">
        <v>-52.67</v>
      </c>
      <c r="AF313" s="45">
        <v>-78.32</v>
      </c>
    </row>
    <row r="314">
      <c r="C314" s="133"/>
      <c r="H314" s="45">
        <v>45.0</v>
      </c>
      <c r="J314" s="45">
        <v>0.52</v>
      </c>
      <c r="K314" s="45">
        <v>48.0</v>
      </c>
      <c r="P314" s="141"/>
      <c r="AE314" s="45">
        <v>-52.98</v>
      </c>
      <c r="AF314" s="45">
        <v>-45.63</v>
      </c>
    </row>
    <row r="315">
      <c r="C315" s="133"/>
      <c r="H315" s="45">
        <v>43.0</v>
      </c>
      <c r="J315" s="45">
        <v>0.42</v>
      </c>
      <c r="K315" s="45">
        <v>43.0</v>
      </c>
      <c r="P315" s="141"/>
      <c r="AE315" s="45">
        <v>-52.99</v>
      </c>
      <c r="AF315" s="45">
        <v>-44.34</v>
      </c>
    </row>
    <row r="316">
      <c r="C316" s="133"/>
      <c r="H316" s="45">
        <v>43.0</v>
      </c>
      <c r="J316" s="45">
        <v>0.48</v>
      </c>
      <c r="K316" s="45">
        <v>40.0</v>
      </c>
      <c r="P316" s="141"/>
      <c r="AE316" s="45">
        <v>-53.75</v>
      </c>
      <c r="AF316" s="45">
        <v>-62.38</v>
      </c>
    </row>
    <row r="317">
      <c r="C317" s="133"/>
      <c r="H317" s="45">
        <v>47.0</v>
      </c>
      <c r="J317" s="45">
        <v>0.47</v>
      </c>
      <c r="K317" s="45">
        <v>43.0</v>
      </c>
      <c r="P317" s="141"/>
      <c r="AE317" s="45">
        <v>-54.0</v>
      </c>
      <c r="AF317" s="45">
        <v>-31.7</v>
      </c>
    </row>
    <row r="318">
      <c r="C318" s="133"/>
      <c r="H318" s="45">
        <v>45.0</v>
      </c>
      <c r="J318" s="45">
        <v>0.48</v>
      </c>
      <c r="K318" s="45">
        <v>41.0</v>
      </c>
      <c r="P318" s="141"/>
      <c r="AE318" s="45">
        <v>-54.4</v>
      </c>
      <c r="AF318" s="45">
        <v>4.76</v>
      </c>
    </row>
    <row r="319">
      <c r="C319" s="133"/>
      <c r="H319" s="45">
        <v>50.0</v>
      </c>
      <c r="J319" s="45">
        <v>0.48</v>
      </c>
      <c r="K319" s="45">
        <v>44.0</v>
      </c>
      <c r="P319" s="141"/>
      <c r="AE319" s="45">
        <v>-54.58</v>
      </c>
      <c r="AF319" s="45">
        <v>-73.6</v>
      </c>
    </row>
    <row r="320">
      <c r="C320" s="133"/>
      <c r="H320" s="45">
        <v>43.0</v>
      </c>
      <c r="J320" s="45">
        <v>0.52</v>
      </c>
      <c r="K320" s="45">
        <v>45.0</v>
      </c>
      <c r="P320" s="141"/>
      <c r="AE320" s="45">
        <v>-54.61</v>
      </c>
      <c r="AF320" s="45">
        <v>-44.06</v>
      </c>
    </row>
    <row r="321">
      <c r="C321" s="133"/>
      <c r="H321" s="45">
        <v>48.0</v>
      </c>
      <c r="J321" s="45">
        <v>0.5</v>
      </c>
      <c r="K321" s="45">
        <v>42.0</v>
      </c>
      <c r="P321" s="141"/>
      <c r="AE321" s="45">
        <v>-54.9</v>
      </c>
      <c r="AF321" s="45">
        <v>-51.12</v>
      </c>
    </row>
    <row r="322">
      <c r="C322" s="133"/>
      <c r="H322" s="45">
        <v>46.0</v>
      </c>
      <c r="J322" s="45">
        <v>0.47</v>
      </c>
      <c r="K322" s="45">
        <v>47.0</v>
      </c>
      <c r="P322" s="141"/>
      <c r="AE322" s="45">
        <v>-55.28</v>
      </c>
      <c r="AF322" s="45">
        <v>-40.79</v>
      </c>
    </row>
    <row r="323">
      <c r="C323" s="133"/>
      <c r="H323" s="45">
        <v>43.0</v>
      </c>
      <c r="J323" s="45">
        <v>0.44</v>
      </c>
      <c r="K323" s="45">
        <v>47.0</v>
      </c>
      <c r="P323" s="141"/>
      <c r="AE323" s="45">
        <v>-55.64</v>
      </c>
      <c r="AF323" s="45">
        <v>-88.06</v>
      </c>
    </row>
    <row r="324">
      <c r="C324" s="133"/>
      <c r="H324" s="45">
        <v>45.0</v>
      </c>
      <c r="J324" s="45">
        <v>0.54</v>
      </c>
      <c r="K324" s="45">
        <v>42.0</v>
      </c>
      <c r="P324" s="141"/>
      <c r="AE324" s="45">
        <v>-56.41</v>
      </c>
      <c r="AF324" s="45">
        <v>-57.86</v>
      </c>
    </row>
    <row r="325">
      <c r="C325" s="133"/>
      <c r="H325" s="45">
        <v>45.0</v>
      </c>
      <c r="J325" s="45">
        <v>0.51</v>
      </c>
      <c r="K325" s="45">
        <v>41.0</v>
      </c>
      <c r="P325" s="141"/>
      <c r="AE325" s="45">
        <v>-56.58</v>
      </c>
      <c r="AF325" s="45">
        <v>-22.65</v>
      </c>
    </row>
    <row r="326">
      <c r="C326" s="133"/>
      <c r="H326" s="45">
        <v>45.0</v>
      </c>
      <c r="J326" s="45">
        <v>0.51</v>
      </c>
      <c r="K326" s="45">
        <v>41.0</v>
      </c>
      <c r="P326" s="141"/>
      <c r="AE326" s="45">
        <v>-56.69</v>
      </c>
      <c r="AF326" s="45">
        <v>-61.53</v>
      </c>
    </row>
    <row r="327">
      <c r="C327" s="133"/>
      <c r="H327" s="45">
        <v>43.0</v>
      </c>
      <c r="J327" s="45">
        <v>0.51</v>
      </c>
      <c r="K327" s="45">
        <v>45.0</v>
      </c>
      <c r="P327" s="141"/>
      <c r="AE327" s="45">
        <v>-57.05</v>
      </c>
      <c r="AF327" s="45">
        <v>9.91</v>
      </c>
    </row>
    <row r="328">
      <c r="C328" s="133"/>
      <c r="H328" s="45">
        <v>43.0</v>
      </c>
      <c r="J328" s="45">
        <v>0.51</v>
      </c>
      <c r="K328" s="45">
        <v>41.0</v>
      </c>
      <c r="P328" s="141"/>
      <c r="AE328" s="45">
        <v>-57.29</v>
      </c>
      <c r="AF328" s="45">
        <v>106.16</v>
      </c>
    </row>
    <row r="329">
      <c r="C329" s="133"/>
      <c r="H329" s="45">
        <v>45.0</v>
      </c>
      <c r="J329" s="45">
        <v>0.51</v>
      </c>
      <c r="K329" s="45">
        <v>46.0</v>
      </c>
      <c r="P329" s="141"/>
      <c r="AE329" s="45">
        <v>-57.43</v>
      </c>
      <c r="AF329" s="45">
        <v>-77.85</v>
      </c>
    </row>
    <row r="330">
      <c r="C330" s="133"/>
      <c r="H330" s="45">
        <v>48.0</v>
      </c>
      <c r="J330" s="45">
        <v>0.48</v>
      </c>
      <c r="K330" s="45">
        <v>44.0</v>
      </c>
      <c r="P330" s="141"/>
      <c r="AE330" s="45">
        <v>-57.74</v>
      </c>
      <c r="AF330" s="45">
        <v>-78.06</v>
      </c>
    </row>
    <row r="331">
      <c r="C331" s="133"/>
      <c r="H331" s="45">
        <v>45.0</v>
      </c>
      <c r="J331" s="45">
        <v>0.45</v>
      </c>
      <c r="K331" s="45">
        <v>47.0</v>
      </c>
      <c r="P331" s="141"/>
      <c r="AE331" s="45">
        <v>-57.8</v>
      </c>
      <c r="AF331" s="45">
        <v>-77.11</v>
      </c>
    </row>
    <row r="332">
      <c r="C332" s="133"/>
      <c r="H332" s="45">
        <v>44.0</v>
      </c>
      <c r="J332" s="45">
        <v>0.51</v>
      </c>
      <c r="K332" s="45">
        <v>42.0</v>
      </c>
      <c r="P332" s="141"/>
      <c r="AE332" s="45">
        <v>-58.03</v>
      </c>
      <c r="AF332" s="45">
        <v>-49.83</v>
      </c>
    </row>
    <row r="333">
      <c r="C333" s="133"/>
      <c r="H333" s="45">
        <v>44.0</v>
      </c>
      <c r="J333" s="45">
        <v>0.48</v>
      </c>
      <c r="K333" s="45">
        <v>47.0</v>
      </c>
      <c r="P333" s="141"/>
      <c r="AE333" s="45">
        <v>-58.25</v>
      </c>
      <c r="AF333" s="45">
        <v>-69.57</v>
      </c>
    </row>
    <row r="334">
      <c r="C334" s="133"/>
      <c r="H334" s="45">
        <v>49.0</v>
      </c>
      <c r="J334" s="45">
        <v>0.52</v>
      </c>
      <c r="K334" s="45">
        <v>42.0</v>
      </c>
      <c r="P334" s="141"/>
      <c r="AE334" s="45">
        <v>-58.45</v>
      </c>
      <c r="AF334" s="45">
        <v>-74.4</v>
      </c>
    </row>
    <row r="335">
      <c r="C335" s="133"/>
      <c r="H335" s="45">
        <v>46.0</v>
      </c>
      <c r="J335" s="45">
        <v>0.42</v>
      </c>
      <c r="K335" s="45">
        <v>47.0</v>
      </c>
      <c r="P335" s="141"/>
      <c r="AE335" s="45">
        <v>-58.7</v>
      </c>
      <c r="AF335" s="45">
        <v>-73.87</v>
      </c>
    </row>
    <row r="336">
      <c r="C336" s="133"/>
      <c r="H336" s="45">
        <v>47.0</v>
      </c>
      <c r="J336" s="45">
        <v>0.5</v>
      </c>
      <c r="K336" s="45">
        <v>39.0</v>
      </c>
      <c r="P336" s="141"/>
      <c r="AE336" s="45">
        <v>-59.1</v>
      </c>
      <c r="AF336" s="45">
        <v>-70.61</v>
      </c>
    </row>
    <row r="337">
      <c r="C337" s="133"/>
      <c r="H337" s="45">
        <v>44.0</v>
      </c>
      <c r="J337" s="45">
        <v>0.48</v>
      </c>
      <c r="K337" s="45">
        <v>46.0</v>
      </c>
      <c r="P337" s="141"/>
      <c r="AE337" s="45">
        <v>-60.56</v>
      </c>
      <c r="AF337" s="45">
        <v>-95.17</v>
      </c>
    </row>
    <row r="338">
      <c r="C338" s="133"/>
      <c r="H338" s="45">
        <v>44.0</v>
      </c>
      <c r="J338" s="45">
        <v>0.47</v>
      </c>
      <c r="K338" s="45">
        <v>43.0</v>
      </c>
      <c r="P338" s="141"/>
      <c r="AE338" s="45">
        <v>-60.78</v>
      </c>
      <c r="AF338" s="45">
        <v>-50.92</v>
      </c>
    </row>
    <row r="339">
      <c r="C339" s="133"/>
      <c r="H339" s="45">
        <v>47.0</v>
      </c>
      <c r="J339" s="45">
        <v>0.56</v>
      </c>
      <c r="K339" s="45">
        <v>46.0</v>
      </c>
      <c r="P339" s="141"/>
      <c r="AE339" s="45">
        <v>-61.12</v>
      </c>
      <c r="AF339" s="45">
        <v>-72.89</v>
      </c>
    </row>
    <row r="340">
      <c r="C340" s="133"/>
      <c r="H340" s="45">
        <v>47.0</v>
      </c>
      <c r="J340" s="45">
        <v>0.5</v>
      </c>
      <c r="K340" s="45">
        <v>41.0</v>
      </c>
      <c r="P340" s="141"/>
      <c r="AE340" s="45">
        <v>-61.16</v>
      </c>
      <c r="AF340" s="45">
        <v>-26.6</v>
      </c>
    </row>
    <row r="341">
      <c r="C341" s="133"/>
      <c r="H341" s="45">
        <v>43.0</v>
      </c>
      <c r="J341" s="45">
        <v>0.47</v>
      </c>
      <c r="K341" s="45">
        <v>45.0</v>
      </c>
      <c r="P341" s="141"/>
      <c r="AE341" s="45">
        <v>-61.68</v>
      </c>
      <c r="AF341" s="45">
        <v>-48.24</v>
      </c>
    </row>
    <row r="342">
      <c r="C342" s="133"/>
      <c r="H342" s="45">
        <v>40.0</v>
      </c>
      <c r="J342" s="45">
        <v>0.51</v>
      </c>
      <c r="K342" s="45">
        <v>45.0</v>
      </c>
      <c r="P342" s="141"/>
      <c r="AE342" s="45">
        <v>-61.7</v>
      </c>
      <c r="AF342" s="45">
        <v>-76.37</v>
      </c>
    </row>
    <row r="343">
      <c r="C343" s="133"/>
      <c r="H343" s="45">
        <v>40.0</v>
      </c>
      <c r="J343" s="45">
        <v>0.5</v>
      </c>
      <c r="K343" s="45">
        <v>48.0</v>
      </c>
      <c r="P343" s="141"/>
      <c r="AE343" s="45">
        <v>-64.73</v>
      </c>
      <c r="AF343" s="45">
        <v>-36.44</v>
      </c>
    </row>
    <row r="344">
      <c r="C344" s="133"/>
      <c r="H344" s="45">
        <v>50.0</v>
      </c>
      <c r="J344" s="45">
        <v>0.52</v>
      </c>
      <c r="K344" s="45">
        <v>44.0</v>
      </c>
      <c r="P344" s="141"/>
      <c r="AE344" s="45">
        <v>-64.95</v>
      </c>
      <c r="AF344" s="45">
        <v>-90.67</v>
      </c>
    </row>
    <row r="345">
      <c r="C345" s="133"/>
      <c r="H345" s="45">
        <v>42.0</v>
      </c>
      <c r="J345" s="45">
        <v>0.42</v>
      </c>
      <c r="K345" s="45">
        <v>44.0</v>
      </c>
      <c r="P345" s="141"/>
      <c r="AE345" s="45">
        <v>-65.45</v>
      </c>
      <c r="AF345" s="45">
        <v>-56.42</v>
      </c>
    </row>
    <row r="346">
      <c r="C346" s="133"/>
      <c r="H346" s="45">
        <v>48.0</v>
      </c>
      <c r="J346" s="45">
        <v>0.42</v>
      </c>
      <c r="K346" s="45">
        <v>45.0</v>
      </c>
      <c r="P346" s="141"/>
      <c r="AE346" s="45">
        <v>-66.19</v>
      </c>
      <c r="AF346" s="45">
        <v>-61.17</v>
      </c>
    </row>
    <row r="347">
      <c r="C347" s="133"/>
      <c r="H347" s="45">
        <v>48.0</v>
      </c>
      <c r="J347" s="45">
        <v>0.5</v>
      </c>
      <c r="K347" s="45">
        <v>43.0</v>
      </c>
      <c r="P347" s="141"/>
      <c r="AE347" s="45">
        <v>-66.74</v>
      </c>
      <c r="AF347" s="45">
        <v>11.35</v>
      </c>
    </row>
    <row r="348">
      <c r="C348" s="133"/>
      <c r="H348" s="45">
        <v>45.0</v>
      </c>
      <c r="J348" s="45">
        <v>0.39</v>
      </c>
      <c r="K348" s="45">
        <v>46.0</v>
      </c>
      <c r="P348" s="141"/>
      <c r="AE348" s="45">
        <v>-67.75</v>
      </c>
      <c r="AF348" s="45">
        <v>-29.75</v>
      </c>
    </row>
    <row r="349">
      <c r="C349" s="133"/>
      <c r="H349" s="45">
        <v>44.0</v>
      </c>
      <c r="J349" s="45">
        <v>0.44</v>
      </c>
      <c r="K349" s="45">
        <v>45.0</v>
      </c>
      <c r="P349" s="141"/>
      <c r="AE349" s="45">
        <v>-67.96</v>
      </c>
      <c r="AF349" s="45">
        <v>-29.69</v>
      </c>
    </row>
    <row r="350">
      <c r="C350" s="133"/>
      <c r="H350" s="45">
        <v>45.0</v>
      </c>
      <c r="J350" s="45">
        <v>0.43</v>
      </c>
      <c r="K350" s="45">
        <v>45.0</v>
      </c>
      <c r="P350" s="141"/>
      <c r="AE350" s="45">
        <v>-68.07</v>
      </c>
      <c r="AF350" s="45">
        <v>-96.63</v>
      </c>
    </row>
    <row r="351">
      <c r="C351" s="133"/>
      <c r="H351" s="45">
        <v>44.0</v>
      </c>
      <c r="J351" s="45">
        <v>0.47</v>
      </c>
      <c r="K351" s="45">
        <v>43.0</v>
      </c>
      <c r="P351" s="141"/>
      <c r="AE351" s="45">
        <v>-69.13</v>
      </c>
      <c r="AF351" s="45">
        <v>-82.96</v>
      </c>
    </row>
    <row r="352">
      <c r="C352" s="133"/>
      <c r="H352" s="45">
        <v>47.0</v>
      </c>
      <c r="J352" s="45">
        <v>0.46</v>
      </c>
      <c r="K352" s="45">
        <v>41.0</v>
      </c>
      <c r="P352" s="141"/>
      <c r="AE352" s="45">
        <v>-69.18</v>
      </c>
      <c r="AF352" s="45">
        <v>-82.71</v>
      </c>
    </row>
    <row r="353">
      <c r="C353" s="133"/>
      <c r="H353" s="45">
        <v>44.0</v>
      </c>
      <c r="J353" s="45">
        <v>0.41</v>
      </c>
      <c r="K353" s="45">
        <v>46.0</v>
      </c>
      <c r="P353" s="141"/>
      <c r="AE353" s="45">
        <v>-70.56</v>
      </c>
      <c r="AF353" s="45">
        <v>-62.62</v>
      </c>
    </row>
    <row r="354">
      <c r="C354" s="133"/>
      <c r="H354" s="45">
        <v>44.0</v>
      </c>
      <c r="J354" s="45">
        <v>0.47</v>
      </c>
      <c r="K354" s="45">
        <v>44.0</v>
      </c>
      <c r="P354" s="141"/>
      <c r="AE354" s="45">
        <v>-71.22</v>
      </c>
      <c r="AF354" s="45">
        <v>-48.5</v>
      </c>
    </row>
    <row r="355">
      <c r="C355" s="133"/>
      <c r="H355" s="45">
        <v>46.0</v>
      </c>
      <c r="J355" s="45">
        <v>0.43</v>
      </c>
      <c r="K355" s="45">
        <v>46.0</v>
      </c>
      <c r="P355" s="141"/>
      <c r="AE355" s="45">
        <v>-71.66</v>
      </c>
      <c r="AF355" s="45">
        <v>-34.2</v>
      </c>
    </row>
    <row r="356">
      <c r="C356" s="133"/>
      <c r="H356" s="45">
        <v>46.0</v>
      </c>
      <c r="J356" s="45">
        <v>0.42</v>
      </c>
      <c r="K356" s="45">
        <v>41.0</v>
      </c>
      <c r="P356" s="141"/>
      <c r="AE356" s="45">
        <v>-72.25</v>
      </c>
      <c r="AF356" s="45">
        <v>-73.98</v>
      </c>
    </row>
    <row r="357">
      <c r="C357" s="133"/>
      <c r="H357" s="45">
        <v>43.0</v>
      </c>
      <c r="J357" s="45">
        <v>0.44</v>
      </c>
      <c r="K357" s="45">
        <v>47.0</v>
      </c>
      <c r="P357" s="141"/>
      <c r="AE357" s="45">
        <v>-72.81</v>
      </c>
      <c r="AF357" s="45">
        <v>-51.19</v>
      </c>
    </row>
    <row r="358">
      <c r="C358" s="133"/>
      <c r="H358" s="45">
        <v>41.0</v>
      </c>
      <c r="J358" s="45">
        <v>0.53</v>
      </c>
      <c r="K358" s="45">
        <v>46.0</v>
      </c>
      <c r="P358" s="141"/>
      <c r="AE358" s="45">
        <v>-73.11</v>
      </c>
      <c r="AF358" s="45">
        <v>-61.21</v>
      </c>
    </row>
    <row r="359">
      <c r="C359" s="133"/>
      <c r="H359" s="45">
        <v>48.0</v>
      </c>
      <c r="J359" s="45">
        <v>0.41</v>
      </c>
      <c r="K359" s="45">
        <v>46.0</v>
      </c>
      <c r="P359" s="141"/>
      <c r="AE359" s="45">
        <v>-73.74</v>
      </c>
      <c r="AF359" s="45">
        <v>-75.29</v>
      </c>
    </row>
    <row r="360">
      <c r="C360" s="133"/>
      <c r="H360" s="45">
        <v>43.0</v>
      </c>
      <c r="J360" s="45">
        <v>0.47</v>
      </c>
      <c r="K360" s="45">
        <v>45.0</v>
      </c>
      <c r="P360" s="141"/>
      <c r="AE360" s="45">
        <v>-76.59</v>
      </c>
      <c r="AF360" s="45">
        <v>-69.34</v>
      </c>
    </row>
    <row r="361">
      <c r="C361" s="133"/>
      <c r="H361" s="45">
        <v>45.0</v>
      </c>
      <c r="J361" s="45">
        <v>0.41</v>
      </c>
      <c r="K361" s="45">
        <v>43.0</v>
      </c>
      <c r="P361" s="141"/>
      <c r="AE361" s="45">
        <v>-77.16</v>
      </c>
      <c r="AF361" s="45">
        <v>-48.89</v>
      </c>
    </row>
    <row r="362">
      <c r="C362" s="133"/>
      <c r="H362" s="45">
        <v>46.0</v>
      </c>
      <c r="J362" s="45">
        <v>0.43</v>
      </c>
      <c r="K362" s="45">
        <v>46.0</v>
      </c>
      <c r="P362" s="141"/>
      <c r="AE362" s="45">
        <v>-77.51</v>
      </c>
      <c r="AF362" s="45">
        <v>-33.52</v>
      </c>
    </row>
    <row r="363">
      <c r="C363" s="133"/>
      <c r="H363" s="45">
        <v>49.0</v>
      </c>
      <c r="J363" s="45">
        <v>0.48</v>
      </c>
      <c r="K363" s="45">
        <v>40.0</v>
      </c>
      <c r="P363" s="141"/>
      <c r="AE363" s="45">
        <v>-77.6</v>
      </c>
      <c r="AF363" s="45">
        <v>-45.33</v>
      </c>
    </row>
    <row r="364">
      <c r="C364" s="133"/>
      <c r="H364" s="45">
        <v>47.0</v>
      </c>
      <c r="J364" s="45">
        <v>0.49</v>
      </c>
      <c r="K364" s="45">
        <v>42.0</v>
      </c>
      <c r="P364" s="141"/>
      <c r="AE364" s="45">
        <v>-78.26</v>
      </c>
      <c r="AF364" s="45">
        <v>-93.6</v>
      </c>
    </row>
    <row r="365">
      <c r="C365" s="133"/>
      <c r="H365" s="45">
        <v>43.0</v>
      </c>
      <c r="J365" s="45">
        <v>0.48</v>
      </c>
      <c r="K365" s="45">
        <v>45.0</v>
      </c>
      <c r="P365" s="141"/>
      <c r="AE365" s="45">
        <v>-78.67</v>
      </c>
      <c r="AF365" s="45">
        <v>-48.63</v>
      </c>
    </row>
    <row r="366">
      <c r="C366" s="133"/>
      <c r="H366" s="45">
        <v>44.0</v>
      </c>
      <c r="J366" s="45">
        <v>0.46</v>
      </c>
      <c r="K366" s="45">
        <v>42.0</v>
      </c>
      <c r="P366" s="141"/>
      <c r="AE366" s="45">
        <v>-78.73</v>
      </c>
      <c r="AF366" s="45">
        <v>-74.2</v>
      </c>
    </row>
    <row r="367">
      <c r="C367" s="133"/>
      <c r="H367" s="45">
        <v>43.0</v>
      </c>
      <c r="J367" s="45">
        <v>0.46</v>
      </c>
      <c r="K367" s="45">
        <v>41.0</v>
      </c>
      <c r="P367" s="141"/>
      <c r="AE367" s="45">
        <v>-80.15</v>
      </c>
      <c r="AF367" s="45">
        <v>-83.62</v>
      </c>
    </row>
    <row r="368">
      <c r="C368" s="133"/>
      <c r="H368" s="45">
        <v>47.0</v>
      </c>
      <c r="J368" s="45">
        <v>0.46</v>
      </c>
      <c r="K368" s="45">
        <v>41.0</v>
      </c>
      <c r="P368" s="141"/>
      <c r="AE368" s="45">
        <v>-81.78</v>
      </c>
      <c r="AF368" s="45">
        <v>-41.35</v>
      </c>
    </row>
    <row r="369">
      <c r="C369" s="133"/>
      <c r="H369" s="45">
        <v>45.0</v>
      </c>
      <c r="J369" s="45">
        <v>0.46</v>
      </c>
      <c r="K369" s="45">
        <v>43.0</v>
      </c>
      <c r="P369" s="141"/>
      <c r="AE369" s="45">
        <v>-81.82</v>
      </c>
      <c r="AF369" s="45">
        <v>-66.67</v>
      </c>
    </row>
    <row r="370">
      <c r="C370" s="133"/>
      <c r="H370" s="45">
        <v>45.0</v>
      </c>
      <c r="J370" s="45">
        <v>0.45</v>
      </c>
      <c r="K370" s="45">
        <v>45.0</v>
      </c>
      <c r="P370" s="141"/>
      <c r="AE370" s="45">
        <v>-83.2</v>
      </c>
      <c r="AF370" s="45">
        <v>-70.52</v>
      </c>
    </row>
    <row r="371">
      <c r="C371" s="133"/>
      <c r="H371" s="45">
        <v>48.0</v>
      </c>
      <c r="J371" s="45">
        <v>0.5</v>
      </c>
      <c r="K371" s="45">
        <v>47.0</v>
      </c>
      <c r="P371" s="141"/>
      <c r="AE371" s="45">
        <v>-85.76</v>
      </c>
      <c r="AF371" s="45">
        <v>-30.34</v>
      </c>
    </row>
    <row r="372">
      <c r="C372" s="133"/>
      <c r="H372" s="45">
        <v>45.0</v>
      </c>
      <c r="J372" s="45">
        <v>0.5</v>
      </c>
      <c r="K372" s="45">
        <v>39.0</v>
      </c>
      <c r="P372" s="141"/>
      <c r="AE372" s="45">
        <v>-86.13</v>
      </c>
      <c r="AF372" s="45">
        <v>-86.46</v>
      </c>
    </row>
    <row r="373">
      <c r="C373" s="133"/>
      <c r="H373" s="45">
        <v>50.0</v>
      </c>
      <c r="J373" s="45">
        <v>0.45</v>
      </c>
      <c r="K373" s="45">
        <v>42.0</v>
      </c>
      <c r="P373" s="141"/>
      <c r="AE373" s="45">
        <v>-89.52</v>
      </c>
      <c r="AF373" s="45">
        <v>-64.9</v>
      </c>
    </row>
    <row r="374">
      <c r="C374" s="133"/>
      <c r="H374" s="45">
        <v>45.0</v>
      </c>
      <c r="J374" s="45">
        <v>0.45</v>
      </c>
      <c r="K374" s="45">
        <v>41.0</v>
      </c>
      <c r="P374" s="141"/>
      <c r="AE374" s="45">
        <v>-89.64</v>
      </c>
      <c r="AF374" s="45">
        <v>-85.44</v>
      </c>
    </row>
    <row r="375">
      <c r="C375" s="133"/>
      <c r="H375" s="45">
        <v>44.0</v>
      </c>
      <c r="J375" s="45">
        <v>0.42</v>
      </c>
      <c r="K375" s="45">
        <v>39.0</v>
      </c>
      <c r="P375" s="141"/>
      <c r="AE375" s="45">
        <v>-91.46</v>
      </c>
      <c r="AF375" s="45">
        <v>-88.67</v>
      </c>
    </row>
    <row r="376">
      <c r="C376" s="133"/>
      <c r="H376" s="45">
        <v>43.0</v>
      </c>
      <c r="J376" s="45">
        <v>0.45</v>
      </c>
      <c r="K376" s="45">
        <v>42.0</v>
      </c>
      <c r="P376" s="141"/>
      <c r="AE376" s="45">
        <v>-92.32</v>
      </c>
      <c r="AF376" s="45">
        <v>-88.03</v>
      </c>
    </row>
    <row r="377">
      <c r="C377" s="133"/>
      <c r="H377" s="45">
        <v>44.0</v>
      </c>
      <c r="J377" s="45">
        <v>0.44</v>
      </c>
      <c r="K377" s="45">
        <v>40.0</v>
      </c>
      <c r="P377" s="141"/>
      <c r="AE377" s="45">
        <v>-93.64</v>
      </c>
      <c r="AF377" s="45">
        <v>-77.77</v>
      </c>
    </row>
    <row r="378">
      <c r="C378" s="133"/>
      <c r="H378" s="45">
        <v>43.0</v>
      </c>
      <c r="J378" s="45">
        <v>0.48</v>
      </c>
      <c r="K378" s="45">
        <v>43.0</v>
      </c>
      <c r="P378" s="141"/>
    </row>
    <row r="379">
      <c r="C379" s="133"/>
      <c r="H379" s="45">
        <v>47.0</v>
      </c>
      <c r="J379" s="45">
        <v>0.48</v>
      </c>
      <c r="K379" s="45">
        <v>42.0</v>
      </c>
      <c r="P379" s="141"/>
    </row>
    <row r="380">
      <c r="C380" s="133"/>
      <c r="H380" s="45">
        <v>45.0</v>
      </c>
      <c r="J380" s="45">
        <v>0.53</v>
      </c>
      <c r="K380" s="45">
        <v>40.0</v>
      </c>
      <c r="P380" s="141"/>
    </row>
    <row r="381">
      <c r="C381" s="133"/>
      <c r="H381" s="45">
        <v>45.0</v>
      </c>
      <c r="J381" s="45">
        <v>0.44</v>
      </c>
      <c r="K381" s="45">
        <v>44.0</v>
      </c>
      <c r="P381" s="141"/>
    </row>
    <row r="382">
      <c r="C382" s="133"/>
      <c r="H382" s="45">
        <v>52.0</v>
      </c>
      <c r="J382" s="45">
        <v>0.49</v>
      </c>
      <c r="K382" s="45">
        <v>45.0</v>
      </c>
      <c r="P382" s="141"/>
    </row>
    <row r="383">
      <c r="C383" s="133"/>
      <c r="H383" s="45">
        <v>46.0</v>
      </c>
      <c r="J383" s="45">
        <v>0.49</v>
      </c>
      <c r="K383" s="45">
        <v>46.0</v>
      </c>
      <c r="P383" s="141"/>
    </row>
    <row r="384">
      <c r="C384" s="133"/>
      <c r="H384" s="45">
        <v>42.0</v>
      </c>
      <c r="J384" s="45">
        <v>0.48</v>
      </c>
      <c r="K384" s="45">
        <v>44.0</v>
      </c>
      <c r="P384" s="141"/>
    </row>
    <row r="385">
      <c r="C385" s="133"/>
      <c r="H385" s="45">
        <v>48.0</v>
      </c>
      <c r="J385" s="45">
        <v>0.44</v>
      </c>
      <c r="K385" s="45">
        <v>46.0</v>
      </c>
      <c r="P385" s="141"/>
    </row>
    <row r="386">
      <c r="C386" s="133"/>
      <c r="H386" s="45">
        <v>44.0</v>
      </c>
      <c r="J386" s="45">
        <v>0.47</v>
      </c>
      <c r="K386" s="45">
        <v>48.0</v>
      </c>
      <c r="P386" s="141"/>
    </row>
    <row r="387">
      <c r="C387" s="133"/>
      <c r="H387" s="45">
        <v>43.0</v>
      </c>
      <c r="J387" s="45">
        <v>0.44</v>
      </c>
      <c r="K387" s="45">
        <v>42.0</v>
      </c>
      <c r="P387" s="141"/>
    </row>
    <row r="388">
      <c r="C388" s="133"/>
      <c r="H388" s="45">
        <v>46.0</v>
      </c>
      <c r="J388" s="45">
        <v>0.5</v>
      </c>
      <c r="K388" s="45">
        <v>43.0</v>
      </c>
      <c r="P388" s="141"/>
    </row>
    <row r="389">
      <c r="C389" s="133"/>
      <c r="H389" s="45">
        <v>47.0</v>
      </c>
      <c r="J389" s="45">
        <v>0.47</v>
      </c>
      <c r="K389" s="45">
        <v>47.0</v>
      </c>
      <c r="P389" s="141"/>
    </row>
    <row r="390">
      <c r="C390" s="133"/>
      <c r="H390" s="45">
        <v>49.0</v>
      </c>
      <c r="J390" s="45">
        <v>0.44</v>
      </c>
      <c r="K390" s="45">
        <v>47.0</v>
      </c>
      <c r="P390" s="141"/>
    </row>
    <row r="391">
      <c r="C391" s="133"/>
      <c r="H391" s="45">
        <v>44.0</v>
      </c>
      <c r="J391" s="45">
        <v>0.43</v>
      </c>
      <c r="K391" s="45">
        <v>46.0</v>
      </c>
      <c r="P391" s="141"/>
    </row>
    <row r="392">
      <c r="C392" s="133"/>
      <c r="H392" s="45">
        <v>46.0</v>
      </c>
      <c r="J392" s="45">
        <v>0.44</v>
      </c>
      <c r="K392" s="45">
        <v>45.0</v>
      </c>
      <c r="P392" s="141"/>
    </row>
    <row r="393">
      <c r="C393" s="133"/>
      <c r="H393" s="45">
        <v>45.0</v>
      </c>
      <c r="J393" s="45">
        <v>0.47</v>
      </c>
      <c r="K393" s="45">
        <v>46.0</v>
      </c>
      <c r="P393" s="141"/>
    </row>
    <row r="394">
      <c r="C394" s="133"/>
      <c r="H394" s="45">
        <v>49.0</v>
      </c>
      <c r="J394" s="45">
        <v>0.49</v>
      </c>
      <c r="K394" s="45">
        <v>49.0</v>
      </c>
      <c r="P394" s="141"/>
    </row>
    <row r="395">
      <c r="C395" s="133"/>
      <c r="H395" s="45">
        <v>49.0</v>
      </c>
      <c r="J395" s="45">
        <v>0.49</v>
      </c>
      <c r="K395" s="45">
        <v>42.0</v>
      </c>
      <c r="P395" s="141"/>
    </row>
    <row r="396">
      <c r="C396" s="133"/>
      <c r="H396" s="45">
        <v>50.0</v>
      </c>
      <c r="J396" s="45">
        <v>0.51</v>
      </c>
      <c r="K396" s="45">
        <v>44.0</v>
      </c>
      <c r="P396" s="141"/>
    </row>
    <row r="397">
      <c r="C397" s="133"/>
      <c r="H397" s="45">
        <v>43.0</v>
      </c>
      <c r="J397" s="45">
        <v>0.44</v>
      </c>
      <c r="K397" s="45">
        <v>51.0</v>
      </c>
      <c r="P397" s="141"/>
    </row>
    <row r="398">
      <c r="C398" s="133"/>
      <c r="H398" s="45">
        <v>46.0</v>
      </c>
      <c r="J398" s="45">
        <v>0.45</v>
      </c>
      <c r="K398" s="45">
        <v>51.0</v>
      </c>
      <c r="P398" s="141"/>
    </row>
    <row r="399">
      <c r="C399" s="133"/>
      <c r="H399" s="45">
        <v>49.0</v>
      </c>
      <c r="J399" s="45">
        <v>0.47</v>
      </c>
      <c r="K399" s="45">
        <v>45.0</v>
      </c>
      <c r="P399" s="141"/>
    </row>
    <row r="400">
      <c r="C400" s="133"/>
      <c r="H400" s="45">
        <v>47.0</v>
      </c>
      <c r="J400" s="45">
        <v>0.51</v>
      </c>
      <c r="K400" s="45">
        <v>50.0</v>
      </c>
      <c r="P400" s="141"/>
    </row>
    <row r="401">
      <c r="C401" s="133"/>
      <c r="H401" s="45">
        <v>45.0</v>
      </c>
      <c r="J401" s="45">
        <v>0.47</v>
      </c>
      <c r="K401" s="45">
        <v>47.0</v>
      </c>
      <c r="P401" s="141"/>
    </row>
    <row r="402">
      <c r="C402" s="133"/>
      <c r="H402" s="45">
        <v>52.0</v>
      </c>
      <c r="J402" s="45">
        <v>0.49</v>
      </c>
      <c r="K402" s="45">
        <v>50.0</v>
      </c>
      <c r="P402" s="141"/>
    </row>
    <row r="403">
      <c r="C403" s="133"/>
      <c r="H403" s="45">
        <v>47.0</v>
      </c>
      <c r="J403" s="45">
        <v>0.48</v>
      </c>
      <c r="K403" s="45">
        <v>44.0</v>
      </c>
      <c r="P403" s="141"/>
    </row>
    <row r="404">
      <c r="C404" s="133"/>
      <c r="H404" s="45">
        <v>44.0</v>
      </c>
      <c r="J404" s="45">
        <v>0.45</v>
      </c>
      <c r="K404" s="45">
        <v>38.0</v>
      </c>
      <c r="P404" s="141"/>
    </row>
    <row r="405">
      <c r="C405" s="133"/>
      <c r="H405" s="45">
        <v>49.0</v>
      </c>
      <c r="J405" s="45">
        <v>0.48</v>
      </c>
      <c r="K405" s="45">
        <v>49.0</v>
      </c>
      <c r="P405" s="141"/>
    </row>
    <row r="406">
      <c r="C406" s="133"/>
      <c r="H406" s="45">
        <v>47.0</v>
      </c>
      <c r="J406" s="45">
        <v>0.47</v>
      </c>
      <c r="K406" s="45">
        <v>53.0</v>
      </c>
      <c r="P406" s="141"/>
    </row>
    <row r="407">
      <c r="C407" s="133"/>
      <c r="H407" s="45">
        <v>47.0</v>
      </c>
      <c r="J407" s="45">
        <v>0.46</v>
      </c>
      <c r="K407" s="45">
        <v>45.0</v>
      </c>
      <c r="P407" s="141"/>
    </row>
    <row r="408">
      <c r="C408" s="133"/>
      <c r="H408" s="45">
        <v>48.0</v>
      </c>
      <c r="J408" s="45">
        <v>0.5</v>
      </c>
      <c r="K408" s="45">
        <v>38.0</v>
      </c>
      <c r="P408" s="141"/>
    </row>
    <row r="409">
      <c r="C409" s="133"/>
      <c r="H409" s="45">
        <v>46.0</v>
      </c>
      <c r="J409" s="45">
        <v>0.49</v>
      </c>
      <c r="K409" s="45">
        <v>49.0</v>
      </c>
      <c r="P409" s="141"/>
    </row>
    <row r="410">
      <c r="C410" s="133"/>
      <c r="H410" s="45">
        <v>49.0</v>
      </c>
      <c r="J410" s="45">
        <v>0.47</v>
      </c>
      <c r="K410" s="45">
        <v>47.0</v>
      </c>
      <c r="P410" s="141"/>
    </row>
    <row r="411">
      <c r="C411" s="133"/>
      <c r="H411" s="45">
        <v>51.0</v>
      </c>
      <c r="J411" s="45">
        <v>0.49</v>
      </c>
      <c r="K411" s="45">
        <v>46.0</v>
      </c>
      <c r="P411" s="141"/>
    </row>
    <row r="412">
      <c r="C412" s="133"/>
      <c r="H412" s="45">
        <v>47.0</v>
      </c>
      <c r="J412" s="45">
        <v>0.47</v>
      </c>
      <c r="K412" s="45">
        <v>40.0</v>
      </c>
      <c r="P412" s="141"/>
    </row>
    <row r="413">
      <c r="C413" s="133"/>
      <c r="H413" s="45">
        <v>46.0</v>
      </c>
      <c r="J413" s="45">
        <v>0.45</v>
      </c>
      <c r="K413" s="45">
        <v>48.0</v>
      </c>
      <c r="P413" s="141"/>
    </row>
    <row r="414">
      <c r="C414" s="133"/>
      <c r="H414" s="45">
        <v>51.0</v>
      </c>
      <c r="J414" s="45">
        <v>0.47</v>
      </c>
      <c r="K414" s="45">
        <v>48.0</v>
      </c>
      <c r="P414" s="141"/>
    </row>
    <row r="415">
      <c r="C415" s="133"/>
      <c r="H415" s="45">
        <v>49.0</v>
      </c>
      <c r="J415" s="45">
        <v>0.45</v>
      </c>
      <c r="K415" s="45">
        <v>45.0</v>
      </c>
      <c r="P415" s="141"/>
    </row>
    <row r="416">
      <c r="C416" s="133"/>
      <c r="H416" s="45">
        <v>49.0</v>
      </c>
      <c r="J416" s="45">
        <v>0.47</v>
      </c>
      <c r="K416" s="45">
        <v>40.0</v>
      </c>
      <c r="P416" s="141"/>
    </row>
    <row r="417">
      <c r="C417" s="133"/>
      <c r="H417" s="45">
        <v>44.0</v>
      </c>
      <c r="J417" s="45">
        <v>0.46</v>
      </c>
      <c r="K417" s="45">
        <v>42.0</v>
      </c>
      <c r="P417" s="141"/>
    </row>
    <row r="418">
      <c r="C418" s="133"/>
      <c r="H418" s="45">
        <v>42.0</v>
      </c>
      <c r="J418" s="45">
        <v>0.47</v>
      </c>
      <c r="K418" s="45">
        <v>37.0</v>
      </c>
      <c r="P418" s="141"/>
    </row>
    <row r="419">
      <c r="C419" s="133"/>
      <c r="H419" s="45">
        <v>41.0</v>
      </c>
      <c r="J419" s="45">
        <v>0.47</v>
      </c>
      <c r="K419" s="45">
        <v>37.0</v>
      </c>
      <c r="P419" s="141"/>
    </row>
    <row r="420">
      <c r="C420" s="133"/>
      <c r="H420" s="45">
        <v>40.0</v>
      </c>
      <c r="J420" s="45">
        <v>0.51</v>
      </c>
      <c r="K420" s="45">
        <v>42.0</v>
      </c>
      <c r="P420" s="141"/>
    </row>
    <row r="421">
      <c r="C421" s="133"/>
      <c r="H421" s="45">
        <v>40.0</v>
      </c>
      <c r="J421" s="45">
        <v>0.46</v>
      </c>
      <c r="K421" s="45">
        <v>37.0</v>
      </c>
      <c r="P421" s="141"/>
    </row>
    <row r="422">
      <c r="C422" s="133"/>
      <c r="H422" s="45">
        <v>41.0</v>
      </c>
      <c r="J422" s="45">
        <v>0.48</v>
      </c>
      <c r="K422" s="45">
        <v>41.0</v>
      </c>
      <c r="P422" s="141"/>
    </row>
    <row r="423">
      <c r="C423" s="133"/>
      <c r="H423" s="45">
        <v>42.0</v>
      </c>
      <c r="J423" s="45">
        <v>0.47</v>
      </c>
      <c r="K423" s="45">
        <v>36.0</v>
      </c>
      <c r="P423" s="141"/>
    </row>
    <row r="424">
      <c r="C424" s="133"/>
      <c r="H424" s="45">
        <v>37.0</v>
      </c>
      <c r="J424" s="45">
        <v>0.46</v>
      </c>
      <c r="K424" s="45">
        <v>39.0</v>
      </c>
      <c r="P424" s="141"/>
    </row>
    <row r="425">
      <c r="C425" s="133"/>
      <c r="H425" s="45">
        <v>41.0</v>
      </c>
      <c r="J425" s="45">
        <v>0.47</v>
      </c>
      <c r="K425" s="45">
        <v>44.0</v>
      </c>
      <c r="P425" s="141"/>
    </row>
    <row r="426">
      <c r="C426" s="133"/>
      <c r="H426" s="45">
        <v>49.0</v>
      </c>
      <c r="J426" s="45">
        <v>0.46</v>
      </c>
      <c r="K426" s="45">
        <v>41.0</v>
      </c>
      <c r="P426" s="141"/>
    </row>
    <row r="427">
      <c r="C427" s="133"/>
      <c r="H427" s="45">
        <v>43.0</v>
      </c>
      <c r="J427" s="45">
        <v>0.48</v>
      </c>
      <c r="K427" s="45">
        <v>42.0</v>
      </c>
      <c r="P427" s="141"/>
    </row>
    <row r="428">
      <c r="C428" s="133"/>
      <c r="H428" s="45">
        <v>46.0</v>
      </c>
      <c r="J428" s="45">
        <v>0.45</v>
      </c>
      <c r="K428" s="45">
        <v>47.0</v>
      </c>
      <c r="P428" s="141"/>
    </row>
    <row r="429">
      <c r="C429" s="133"/>
      <c r="H429" s="45">
        <v>45.0</v>
      </c>
      <c r="J429" s="45">
        <v>0.48</v>
      </c>
      <c r="K429" s="45">
        <v>41.0</v>
      </c>
      <c r="P429" s="141"/>
    </row>
    <row r="430">
      <c r="C430" s="133"/>
      <c r="H430" s="45">
        <v>48.0</v>
      </c>
      <c r="J430" s="45">
        <v>0.47</v>
      </c>
      <c r="K430" s="45">
        <v>41.0</v>
      </c>
      <c r="P430" s="141"/>
    </row>
    <row r="431">
      <c r="C431" s="133"/>
      <c r="H431" s="45">
        <v>44.0</v>
      </c>
      <c r="J431" s="45">
        <v>0.47</v>
      </c>
      <c r="K431" s="45">
        <v>38.0</v>
      </c>
      <c r="P431" s="141"/>
    </row>
    <row r="432">
      <c r="C432" s="133"/>
      <c r="H432" s="45">
        <v>42.0</v>
      </c>
      <c r="J432" s="45">
        <v>0.46</v>
      </c>
      <c r="K432" s="45">
        <v>39.0</v>
      </c>
      <c r="P432" s="141"/>
    </row>
    <row r="433">
      <c r="C433" s="133"/>
      <c r="H433" s="45">
        <v>44.0</v>
      </c>
      <c r="J433" s="45">
        <v>0.48</v>
      </c>
      <c r="K433" s="45">
        <v>43.0</v>
      </c>
      <c r="P433" s="141"/>
    </row>
    <row r="434">
      <c r="C434" s="133"/>
      <c r="H434" s="45">
        <v>41.0</v>
      </c>
      <c r="J434" s="45">
        <v>0.48</v>
      </c>
      <c r="K434" s="45">
        <v>44.0</v>
      </c>
      <c r="P434" s="141"/>
    </row>
    <row r="435">
      <c r="C435" s="133"/>
      <c r="H435" s="45">
        <v>43.0</v>
      </c>
      <c r="J435" s="45">
        <v>0.45</v>
      </c>
      <c r="K435" s="45">
        <v>39.0</v>
      </c>
      <c r="P435" s="141"/>
    </row>
    <row r="436">
      <c r="C436" s="133"/>
      <c r="H436" s="45">
        <v>41.0</v>
      </c>
      <c r="J436" s="45">
        <v>0.45</v>
      </c>
      <c r="K436" s="45">
        <v>40.0</v>
      </c>
      <c r="P436" s="141"/>
    </row>
    <row r="437">
      <c r="C437" s="133"/>
      <c r="H437" s="45">
        <v>41.0</v>
      </c>
      <c r="J437" s="45">
        <v>0.44</v>
      </c>
      <c r="K437" s="45">
        <v>44.0</v>
      </c>
      <c r="P437" s="141"/>
    </row>
    <row r="438">
      <c r="C438" s="133"/>
      <c r="H438" s="45">
        <v>48.0</v>
      </c>
      <c r="J438" s="45">
        <v>0.46</v>
      </c>
      <c r="K438" s="45">
        <v>45.0</v>
      </c>
      <c r="P438" s="141"/>
    </row>
    <row r="439">
      <c r="C439" s="133"/>
      <c r="H439" s="45">
        <v>52.0</v>
      </c>
      <c r="J439" s="45">
        <v>0.5</v>
      </c>
      <c r="K439" s="45">
        <v>45.0</v>
      </c>
      <c r="P439" s="141"/>
    </row>
    <row r="440">
      <c r="C440" s="133"/>
      <c r="H440" s="45">
        <v>47.0</v>
      </c>
      <c r="J440" s="45">
        <v>0.46</v>
      </c>
      <c r="K440" s="45">
        <v>47.0</v>
      </c>
      <c r="P440" s="141"/>
    </row>
    <row r="441">
      <c r="C441" s="133"/>
      <c r="H441" s="45">
        <v>40.0</v>
      </c>
      <c r="J441" s="45">
        <v>0.46</v>
      </c>
      <c r="K441" s="45">
        <v>42.0</v>
      </c>
      <c r="P441" s="141"/>
    </row>
    <row r="442">
      <c r="C442" s="133"/>
      <c r="H442" s="45">
        <v>43.0</v>
      </c>
      <c r="J442" s="45">
        <v>0.47</v>
      </c>
      <c r="K442" s="45">
        <v>42.0</v>
      </c>
      <c r="P442" s="141"/>
    </row>
    <row r="443">
      <c r="C443" s="133"/>
      <c r="H443" s="45">
        <v>38.0</v>
      </c>
      <c r="J443" s="45">
        <v>0.48</v>
      </c>
      <c r="K443" s="45">
        <v>40.0</v>
      </c>
      <c r="P443" s="141"/>
    </row>
    <row r="444">
      <c r="C444" s="133"/>
      <c r="H444" s="45">
        <v>42.0</v>
      </c>
      <c r="J444" s="45">
        <v>0.46</v>
      </c>
      <c r="K444" s="45">
        <v>37.0</v>
      </c>
      <c r="P444" s="141"/>
    </row>
    <row r="445">
      <c r="C445" s="133"/>
      <c r="H445" s="45">
        <v>44.0</v>
      </c>
      <c r="J445" s="45">
        <v>0.5</v>
      </c>
      <c r="K445" s="45">
        <v>44.0</v>
      </c>
      <c r="P445" s="141"/>
    </row>
    <row r="446">
      <c r="C446" s="133"/>
      <c r="H446" s="45">
        <v>44.0</v>
      </c>
      <c r="J446" s="45">
        <v>0.48</v>
      </c>
      <c r="K446" s="45">
        <v>44.0</v>
      </c>
      <c r="P446" s="141"/>
    </row>
    <row r="447">
      <c r="C447" s="133"/>
      <c r="H447" s="45">
        <v>43.0</v>
      </c>
      <c r="J447" s="45">
        <v>0.46</v>
      </c>
      <c r="K447" s="45">
        <v>37.0</v>
      </c>
      <c r="P447" s="141"/>
    </row>
    <row r="448">
      <c r="C448" s="133"/>
      <c r="H448" s="45">
        <v>42.0</v>
      </c>
      <c r="J448" s="45">
        <v>0.47</v>
      </c>
      <c r="K448" s="45">
        <v>39.0</v>
      </c>
      <c r="P448" s="141"/>
    </row>
    <row r="449">
      <c r="C449" s="133"/>
      <c r="H449" s="45">
        <v>41.0</v>
      </c>
      <c r="J449" s="45">
        <v>0.48</v>
      </c>
      <c r="K449" s="45">
        <v>44.0</v>
      </c>
      <c r="P449" s="141"/>
    </row>
    <row r="450">
      <c r="C450" s="133"/>
      <c r="H450" s="45">
        <v>51.0</v>
      </c>
      <c r="J450" s="45">
        <v>0.5</v>
      </c>
      <c r="K450" s="45">
        <v>46.0</v>
      </c>
      <c r="P450" s="141"/>
    </row>
    <row r="451">
      <c r="C451" s="133"/>
      <c r="H451" s="45">
        <v>51.0</v>
      </c>
      <c r="J451" s="45">
        <v>0.49</v>
      </c>
      <c r="K451" s="45">
        <v>44.0</v>
      </c>
      <c r="P451" s="141"/>
    </row>
    <row r="452">
      <c r="C452" s="133"/>
      <c r="H452" s="45">
        <v>49.0</v>
      </c>
      <c r="J452" s="45">
        <v>0.47</v>
      </c>
      <c r="K452" s="45">
        <v>46.0</v>
      </c>
      <c r="P452" s="141"/>
    </row>
    <row r="453">
      <c r="C453" s="133"/>
      <c r="H453" s="45">
        <v>44.0</v>
      </c>
      <c r="J453" s="45">
        <v>0.53</v>
      </c>
      <c r="K453" s="45">
        <v>40.0</v>
      </c>
      <c r="P453" s="141"/>
    </row>
    <row r="454">
      <c r="C454" s="133"/>
      <c r="H454" s="45">
        <v>46.0</v>
      </c>
      <c r="J454" s="45">
        <v>0.53</v>
      </c>
      <c r="K454" s="45">
        <v>52.0</v>
      </c>
      <c r="P454" s="141"/>
    </row>
    <row r="455">
      <c r="C455" s="133"/>
      <c r="H455" s="45">
        <v>45.0</v>
      </c>
      <c r="J455" s="45">
        <v>0.54</v>
      </c>
      <c r="K455" s="45">
        <v>40.0</v>
      </c>
      <c r="P455" s="141"/>
    </row>
    <row r="456">
      <c r="C456" s="133"/>
      <c r="H456" s="45">
        <v>46.0</v>
      </c>
      <c r="J456" s="45">
        <v>0.52</v>
      </c>
      <c r="K456" s="45">
        <v>41.0</v>
      </c>
      <c r="P456" s="141"/>
    </row>
    <row r="457">
      <c r="C457" s="133"/>
      <c r="H457" s="45">
        <v>44.0</v>
      </c>
      <c r="J457" s="45">
        <v>0.5</v>
      </c>
      <c r="K457" s="45">
        <v>41.0</v>
      </c>
      <c r="P457" s="141"/>
    </row>
    <row r="458">
      <c r="C458" s="133"/>
      <c r="H458" s="45">
        <v>46.0</v>
      </c>
      <c r="J458" s="45">
        <v>0.52</v>
      </c>
      <c r="K458" s="45">
        <v>37.0</v>
      </c>
      <c r="P458" s="141"/>
    </row>
    <row r="459">
      <c r="C459" s="133"/>
      <c r="H459" s="45">
        <v>45.0</v>
      </c>
      <c r="J459" s="45">
        <v>0.52</v>
      </c>
      <c r="K459" s="45">
        <v>41.0</v>
      </c>
      <c r="P459" s="141"/>
    </row>
    <row r="460">
      <c r="C460" s="133"/>
      <c r="H460" s="45">
        <v>44.0</v>
      </c>
      <c r="J460" s="45">
        <v>0.59</v>
      </c>
      <c r="K460" s="45">
        <v>40.0</v>
      </c>
      <c r="P460" s="141"/>
    </row>
    <row r="461">
      <c r="C461" s="133"/>
      <c r="H461" s="45">
        <v>53.0</v>
      </c>
      <c r="J461" s="45">
        <v>0.53</v>
      </c>
      <c r="K461" s="45">
        <v>45.0</v>
      </c>
      <c r="P461" s="141"/>
    </row>
    <row r="462">
      <c r="C462" s="133"/>
      <c r="H462" s="45">
        <v>48.0</v>
      </c>
      <c r="J462" s="45">
        <v>0.32</v>
      </c>
      <c r="K462" s="45">
        <v>48.0</v>
      </c>
      <c r="P462" s="141"/>
    </row>
    <row r="463">
      <c r="C463" s="133"/>
      <c r="H463" s="45">
        <v>39.0</v>
      </c>
      <c r="J463" s="45">
        <v>0.43</v>
      </c>
      <c r="K463" s="45">
        <v>41.0</v>
      </c>
      <c r="P463" s="141"/>
    </row>
    <row r="464">
      <c r="C464" s="133"/>
      <c r="H464" s="45">
        <v>56.0</v>
      </c>
      <c r="J464" s="45">
        <v>0.5</v>
      </c>
      <c r="K464" s="45">
        <v>41.0</v>
      </c>
      <c r="P464" s="141"/>
    </row>
    <row r="465">
      <c r="C465" s="133"/>
      <c r="H465" s="45">
        <v>38.0</v>
      </c>
      <c r="J465" s="45">
        <v>0.45</v>
      </c>
      <c r="K465" s="45">
        <v>39.0</v>
      </c>
      <c r="P465" s="141"/>
    </row>
    <row r="466">
      <c r="C466" s="133"/>
      <c r="H466" s="45">
        <v>44.0</v>
      </c>
      <c r="J466" s="45">
        <v>0.53</v>
      </c>
      <c r="K466" s="45">
        <v>41.0</v>
      </c>
      <c r="P466" s="141"/>
    </row>
    <row r="467">
      <c r="C467" s="133"/>
      <c r="H467" s="45">
        <v>46.0</v>
      </c>
      <c r="J467" s="45">
        <v>0.57</v>
      </c>
      <c r="K467" s="45">
        <v>39.0</v>
      </c>
      <c r="P467" s="141"/>
    </row>
    <row r="468">
      <c r="C468" s="133"/>
      <c r="H468" s="45">
        <v>42.0</v>
      </c>
      <c r="J468" s="45">
        <v>0.58</v>
      </c>
      <c r="K468" s="45">
        <v>43.0</v>
      </c>
      <c r="P468" s="141"/>
    </row>
    <row r="469">
      <c r="C469" s="133"/>
      <c r="H469" s="45">
        <v>43.0</v>
      </c>
      <c r="J469" s="45">
        <v>0.49</v>
      </c>
      <c r="K469" s="45">
        <v>41.0</v>
      </c>
      <c r="P469" s="141"/>
    </row>
    <row r="470">
      <c r="C470" s="133"/>
      <c r="H470" s="45">
        <v>47.0</v>
      </c>
      <c r="J470" s="45">
        <v>0.58</v>
      </c>
      <c r="K470" s="45">
        <v>38.0</v>
      </c>
      <c r="P470" s="141"/>
    </row>
    <row r="471">
      <c r="C471" s="133"/>
      <c r="H471" s="45">
        <v>51.0</v>
      </c>
      <c r="J471" s="45">
        <v>0.54</v>
      </c>
      <c r="K471" s="45">
        <v>41.0</v>
      </c>
      <c r="P471" s="141"/>
    </row>
    <row r="472">
      <c r="C472" s="133"/>
      <c r="H472" s="45">
        <v>46.0</v>
      </c>
      <c r="J472" s="45">
        <v>0.48</v>
      </c>
      <c r="K472" s="45">
        <v>47.0</v>
      </c>
      <c r="P472" s="141"/>
    </row>
    <row r="473">
      <c r="C473" s="133"/>
      <c r="H473" s="45">
        <v>40.0</v>
      </c>
      <c r="J473" s="45">
        <v>0.5</v>
      </c>
      <c r="K473" s="45">
        <v>40.0</v>
      </c>
      <c r="P473" s="141"/>
    </row>
    <row r="474">
      <c r="C474" s="133"/>
      <c r="H474" s="45">
        <v>49.0</v>
      </c>
      <c r="J474" s="45">
        <v>0.48</v>
      </c>
      <c r="K474" s="45">
        <v>52.0</v>
      </c>
      <c r="P474" s="141"/>
    </row>
    <row r="475">
      <c r="C475" s="133"/>
      <c r="H475" s="45">
        <v>49.0</v>
      </c>
      <c r="J475" s="45">
        <v>0.51</v>
      </c>
      <c r="K475" s="45">
        <v>42.0</v>
      </c>
      <c r="P475" s="141"/>
    </row>
    <row r="476">
      <c r="C476" s="133"/>
      <c r="H476" s="45">
        <v>41.0</v>
      </c>
      <c r="J476" s="45">
        <v>0.58</v>
      </c>
      <c r="K476" s="45">
        <v>42.0</v>
      </c>
      <c r="P476" s="141"/>
    </row>
    <row r="477">
      <c r="C477" s="133"/>
      <c r="H477" s="45">
        <v>43.0</v>
      </c>
      <c r="J477" s="45">
        <v>0.57</v>
      </c>
      <c r="K477" s="45">
        <v>39.0</v>
      </c>
      <c r="P477" s="141"/>
    </row>
    <row r="478">
      <c r="C478" s="133"/>
      <c r="H478" s="45">
        <v>45.0</v>
      </c>
      <c r="J478" s="45">
        <v>0.54</v>
      </c>
      <c r="K478" s="45">
        <v>39.0</v>
      </c>
      <c r="P478" s="141"/>
    </row>
    <row r="479">
      <c r="C479" s="133"/>
      <c r="H479" s="45">
        <v>44.0</v>
      </c>
      <c r="J479" s="45">
        <v>0.48</v>
      </c>
      <c r="K479" s="45">
        <v>37.0</v>
      </c>
      <c r="P479" s="141"/>
    </row>
    <row r="480">
      <c r="C480" s="133"/>
      <c r="H480" s="45">
        <v>44.0</v>
      </c>
      <c r="J480" s="45">
        <v>0.47</v>
      </c>
      <c r="K480" s="45">
        <v>40.0</v>
      </c>
      <c r="P480" s="141"/>
    </row>
    <row r="481">
      <c r="C481" s="133"/>
      <c r="H481" s="45">
        <v>45.0</v>
      </c>
      <c r="J481" s="45">
        <v>0.54</v>
      </c>
      <c r="K481" s="45">
        <v>40.0</v>
      </c>
      <c r="P481" s="141"/>
    </row>
    <row r="482">
      <c r="C482" s="133"/>
      <c r="H482" s="45">
        <v>47.0</v>
      </c>
      <c r="J482" s="45">
        <v>0.53</v>
      </c>
      <c r="K482" s="45">
        <v>42.0</v>
      </c>
      <c r="P482" s="141"/>
    </row>
    <row r="483">
      <c r="C483" s="133"/>
      <c r="H483" s="45">
        <v>42.0</v>
      </c>
      <c r="J483" s="45">
        <v>0.56</v>
      </c>
      <c r="K483" s="45">
        <v>50.0</v>
      </c>
      <c r="P483" s="141"/>
    </row>
    <row r="484">
      <c r="C484" s="133"/>
      <c r="H484" s="45">
        <v>47.0</v>
      </c>
      <c r="J484" s="45">
        <v>0.57</v>
      </c>
      <c r="K484" s="45">
        <v>49.0</v>
      </c>
      <c r="P484" s="141"/>
    </row>
    <row r="485">
      <c r="C485" s="133"/>
      <c r="H485" s="45">
        <v>41.0</v>
      </c>
      <c r="J485" s="45">
        <v>0.54</v>
      </c>
      <c r="K485" s="45">
        <v>46.0</v>
      </c>
      <c r="P485" s="141"/>
    </row>
    <row r="486">
      <c r="C486" s="133"/>
      <c r="H486" s="45">
        <v>44.0</v>
      </c>
      <c r="J486" s="45">
        <v>0.48</v>
      </c>
      <c r="K486" s="45">
        <v>48.0</v>
      </c>
      <c r="P486" s="141"/>
    </row>
    <row r="487">
      <c r="C487" s="133"/>
      <c r="H487" s="45">
        <v>45.0</v>
      </c>
      <c r="J487" s="45">
        <v>0.44</v>
      </c>
      <c r="K487" s="45">
        <v>53.0</v>
      </c>
      <c r="P487" s="141"/>
    </row>
    <row r="488">
      <c r="C488" s="133"/>
      <c r="H488" s="45">
        <v>47.0</v>
      </c>
      <c r="J488" s="45">
        <v>0.48</v>
      </c>
      <c r="K488" s="45">
        <v>45.0</v>
      </c>
      <c r="P488" s="141"/>
    </row>
    <row r="489">
      <c r="C489" s="133"/>
      <c r="H489" s="45">
        <v>46.0</v>
      </c>
      <c r="J489" s="45">
        <v>0.49</v>
      </c>
      <c r="K489" s="45">
        <v>43.0</v>
      </c>
      <c r="P489" s="141"/>
    </row>
    <row r="490">
      <c r="C490" s="133"/>
      <c r="H490" s="45">
        <v>52.0</v>
      </c>
      <c r="J490" s="45">
        <v>0.61</v>
      </c>
      <c r="K490" s="45">
        <v>43.0</v>
      </c>
      <c r="P490" s="141"/>
    </row>
    <row r="491">
      <c r="C491" s="133"/>
      <c r="H491" s="45">
        <v>41.0</v>
      </c>
      <c r="J491" s="45">
        <v>0.55</v>
      </c>
      <c r="K491" s="45">
        <v>45.0</v>
      </c>
      <c r="P491" s="141"/>
    </row>
    <row r="492">
      <c r="C492" s="133"/>
      <c r="H492" s="45">
        <v>44.0</v>
      </c>
      <c r="J492" s="45">
        <v>0.54</v>
      </c>
      <c r="K492" s="45">
        <v>35.0</v>
      </c>
      <c r="P492" s="141"/>
    </row>
    <row r="493">
      <c r="C493" s="133"/>
      <c r="H493" s="45">
        <v>49.0</v>
      </c>
      <c r="J493" s="45">
        <v>0.48</v>
      </c>
      <c r="K493" s="45">
        <v>46.0</v>
      </c>
      <c r="P493" s="141"/>
    </row>
    <row r="494">
      <c r="C494" s="133"/>
      <c r="H494" s="45">
        <v>43.0</v>
      </c>
      <c r="J494" s="45">
        <v>0.49</v>
      </c>
      <c r="K494" s="45">
        <v>41.0</v>
      </c>
      <c r="P494" s="141"/>
    </row>
    <row r="495">
      <c r="C495" s="133"/>
      <c r="H495" s="45">
        <v>46.0</v>
      </c>
      <c r="J495" s="45">
        <v>0.6</v>
      </c>
      <c r="K495" s="45">
        <v>44.0</v>
      </c>
      <c r="P495" s="141"/>
    </row>
    <row r="496">
      <c r="C496" s="133"/>
      <c r="H496" s="45">
        <v>50.0</v>
      </c>
      <c r="J496" s="45">
        <v>0.56</v>
      </c>
      <c r="K496" s="45">
        <v>43.0</v>
      </c>
      <c r="P496" s="141"/>
    </row>
    <row r="497">
      <c r="C497" s="133"/>
      <c r="H497" s="45">
        <v>49.0</v>
      </c>
      <c r="J497" s="45">
        <v>0.47</v>
      </c>
      <c r="K497" s="45">
        <v>43.0</v>
      </c>
      <c r="P497" s="141"/>
    </row>
    <row r="498">
      <c r="C498" s="133"/>
      <c r="H498" s="45">
        <v>45.0</v>
      </c>
      <c r="J498" s="45">
        <v>0.53</v>
      </c>
      <c r="K498" s="45">
        <v>43.0</v>
      </c>
      <c r="P498" s="141"/>
    </row>
    <row r="499">
      <c r="C499" s="133"/>
      <c r="H499" s="45">
        <v>43.0</v>
      </c>
      <c r="J499" s="45">
        <v>0.54</v>
      </c>
      <c r="K499" s="45">
        <v>44.0</v>
      </c>
      <c r="P499" s="141"/>
    </row>
    <row r="500">
      <c r="C500" s="133"/>
      <c r="H500" s="45">
        <v>45.0</v>
      </c>
      <c r="J500" s="45">
        <v>0.46</v>
      </c>
      <c r="K500" s="45">
        <v>46.0</v>
      </c>
      <c r="P500" s="141"/>
    </row>
    <row r="501">
      <c r="C501" s="133"/>
      <c r="H501" s="45">
        <v>46.0</v>
      </c>
      <c r="J501" s="45">
        <v>0.54</v>
      </c>
      <c r="K501" s="45">
        <v>41.0</v>
      </c>
      <c r="P501" s="141"/>
    </row>
    <row r="502">
      <c r="C502" s="133"/>
      <c r="H502" s="45">
        <v>37.0</v>
      </c>
      <c r="J502" s="45">
        <v>0.46</v>
      </c>
      <c r="K502" s="45">
        <v>48.0</v>
      </c>
      <c r="P502" s="141"/>
    </row>
    <row r="503">
      <c r="C503" s="133"/>
      <c r="H503" s="45">
        <v>43.0</v>
      </c>
      <c r="J503" s="45">
        <v>0.57</v>
      </c>
      <c r="K503" s="45">
        <v>46.0</v>
      </c>
      <c r="P503" s="141"/>
    </row>
    <row r="504">
      <c r="C504" s="133"/>
      <c r="H504" s="45">
        <v>49.0</v>
      </c>
      <c r="J504" s="45">
        <v>0.55</v>
      </c>
      <c r="K504" s="45">
        <v>42.0</v>
      </c>
      <c r="P504" s="141"/>
    </row>
    <row r="505">
      <c r="C505" s="133"/>
      <c r="H505" s="45">
        <v>43.0</v>
      </c>
      <c r="J505" s="45">
        <v>0.53</v>
      </c>
      <c r="K505" s="45">
        <v>44.0</v>
      </c>
      <c r="P505" s="141"/>
    </row>
    <row r="506">
      <c r="C506" s="133"/>
      <c r="H506" s="45">
        <v>47.0</v>
      </c>
      <c r="J506" s="45">
        <v>0.5</v>
      </c>
      <c r="K506" s="45">
        <v>43.0</v>
      </c>
      <c r="P506" s="141"/>
    </row>
    <row r="507">
      <c r="C507" s="133"/>
      <c r="H507" s="45">
        <v>41.0</v>
      </c>
      <c r="J507" s="45">
        <v>0.53</v>
      </c>
      <c r="K507" s="45">
        <v>42.0</v>
      </c>
      <c r="P507" s="141"/>
    </row>
    <row r="508">
      <c r="C508" s="133"/>
      <c r="H508" s="45">
        <v>42.0</v>
      </c>
      <c r="J508" s="45">
        <v>0.49</v>
      </c>
      <c r="K508" s="45">
        <v>39.0</v>
      </c>
      <c r="P508" s="141"/>
    </row>
    <row r="509">
      <c r="C509" s="133"/>
      <c r="H509" s="45">
        <v>49.0</v>
      </c>
      <c r="J509" s="45">
        <v>0.44</v>
      </c>
      <c r="K509" s="45">
        <v>42.0</v>
      </c>
      <c r="P509" s="141"/>
    </row>
    <row r="510">
      <c r="C510" s="133"/>
      <c r="H510" s="45">
        <v>47.0</v>
      </c>
      <c r="J510" s="45">
        <v>0.47</v>
      </c>
      <c r="K510" s="45">
        <v>48.0</v>
      </c>
      <c r="P510" s="141"/>
    </row>
    <row r="511">
      <c r="C511" s="133"/>
      <c r="H511" s="45">
        <v>44.0</v>
      </c>
      <c r="J511" s="45">
        <v>0.6</v>
      </c>
      <c r="K511" s="45">
        <v>44.0</v>
      </c>
      <c r="P511" s="141"/>
    </row>
    <row r="512">
      <c r="C512" s="133"/>
      <c r="H512" s="45">
        <v>54.0</v>
      </c>
      <c r="J512" s="45">
        <v>0.53</v>
      </c>
      <c r="K512" s="45">
        <v>40.0</v>
      </c>
      <c r="P512" s="141"/>
    </row>
    <row r="513">
      <c r="C513" s="133"/>
      <c r="H513" s="45">
        <v>46.0</v>
      </c>
      <c r="J513" s="45">
        <v>0.52</v>
      </c>
      <c r="K513" s="45">
        <v>43.0</v>
      </c>
      <c r="P513" s="141"/>
    </row>
    <row r="514">
      <c r="C514" s="133"/>
      <c r="H514" s="45">
        <v>47.0</v>
      </c>
      <c r="J514" s="45">
        <v>0.41</v>
      </c>
      <c r="K514" s="45">
        <v>45.0</v>
      </c>
      <c r="P514" s="141"/>
    </row>
    <row r="515">
      <c r="C515" s="133"/>
      <c r="H515" s="45">
        <v>48.0</v>
      </c>
      <c r="J515" s="45">
        <v>0.47</v>
      </c>
      <c r="K515" s="45">
        <v>40.0</v>
      </c>
      <c r="P515" s="141"/>
    </row>
    <row r="516">
      <c r="C516" s="133"/>
      <c r="H516" s="45">
        <v>48.0</v>
      </c>
      <c r="J516" s="45">
        <v>0.5</v>
      </c>
      <c r="K516" s="45">
        <v>43.0</v>
      </c>
      <c r="P516" s="141"/>
    </row>
    <row r="517">
      <c r="C517" s="133"/>
      <c r="H517" s="45">
        <v>49.0</v>
      </c>
      <c r="J517" s="45">
        <v>0.51</v>
      </c>
      <c r="K517" s="45">
        <v>47.0</v>
      </c>
      <c r="P517" s="141"/>
    </row>
    <row r="518">
      <c r="C518" s="133"/>
      <c r="H518" s="45">
        <v>46.0</v>
      </c>
      <c r="J518" s="45">
        <v>0.5</v>
      </c>
      <c r="K518" s="45">
        <v>47.0</v>
      </c>
      <c r="P518" s="141"/>
    </row>
    <row r="519">
      <c r="C519" s="133"/>
      <c r="H519" s="45">
        <v>41.0</v>
      </c>
      <c r="J519" s="45">
        <v>0.47</v>
      </c>
      <c r="K519" s="45">
        <v>46.0</v>
      </c>
      <c r="P519" s="141"/>
    </row>
    <row r="520">
      <c r="C520" s="133"/>
      <c r="H520" s="45">
        <v>44.0</v>
      </c>
      <c r="J520" s="45">
        <v>0.52</v>
      </c>
      <c r="K520" s="45">
        <v>39.0</v>
      </c>
      <c r="P520" s="141"/>
    </row>
    <row r="521">
      <c r="C521" s="133"/>
      <c r="H521" s="45">
        <v>39.0</v>
      </c>
      <c r="J521" s="45">
        <v>0.53</v>
      </c>
      <c r="K521" s="45">
        <v>48.0</v>
      </c>
      <c r="P521" s="141"/>
    </row>
    <row r="522">
      <c r="C522" s="133"/>
      <c r="H522" s="45">
        <v>41.0</v>
      </c>
      <c r="J522" s="45">
        <v>0.52</v>
      </c>
      <c r="K522" s="45">
        <v>50.0</v>
      </c>
      <c r="P522" s="141"/>
    </row>
    <row r="523">
      <c r="C523" s="133"/>
      <c r="H523" s="45">
        <v>45.0</v>
      </c>
      <c r="J523" s="45">
        <v>0.48</v>
      </c>
      <c r="K523" s="45">
        <v>48.0</v>
      </c>
      <c r="P523" s="141"/>
    </row>
    <row r="524">
      <c r="C524" s="133"/>
      <c r="H524" s="45">
        <v>41.0</v>
      </c>
      <c r="J524" s="45">
        <v>0.51</v>
      </c>
      <c r="K524" s="45">
        <v>37.0</v>
      </c>
      <c r="P524" s="141"/>
    </row>
    <row r="525">
      <c r="C525" s="133"/>
      <c r="H525" s="45">
        <v>41.0</v>
      </c>
      <c r="J525" s="45">
        <v>0.53</v>
      </c>
      <c r="K525" s="45">
        <v>39.0</v>
      </c>
      <c r="P525" s="141"/>
    </row>
    <row r="526">
      <c r="C526" s="133"/>
      <c r="H526" s="45">
        <v>46.0</v>
      </c>
      <c r="J526" s="45">
        <v>0.53</v>
      </c>
      <c r="K526" s="45">
        <v>43.0</v>
      </c>
      <c r="P526" s="141"/>
    </row>
    <row r="527">
      <c r="C527" s="133"/>
      <c r="H527" s="45">
        <v>46.0</v>
      </c>
      <c r="J527" s="45">
        <v>0.53</v>
      </c>
      <c r="K527" s="45">
        <v>45.0</v>
      </c>
      <c r="P527" s="141"/>
    </row>
    <row r="528">
      <c r="C528" s="133"/>
      <c r="H528" s="45">
        <v>43.0</v>
      </c>
      <c r="J528" s="45">
        <v>0.47</v>
      </c>
      <c r="K528" s="45">
        <v>41.0</v>
      </c>
      <c r="P528" s="141"/>
    </row>
    <row r="529">
      <c r="C529" s="133"/>
      <c r="H529" s="45">
        <v>40.0</v>
      </c>
      <c r="J529" s="45">
        <v>0.49</v>
      </c>
      <c r="K529" s="45">
        <v>43.0</v>
      </c>
      <c r="P529" s="141"/>
    </row>
    <row r="530">
      <c r="C530" s="133"/>
      <c r="H530" s="45">
        <v>47.0</v>
      </c>
      <c r="J530" s="45">
        <v>0.54</v>
      </c>
      <c r="K530" s="45">
        <v>48.0</v>
      </c>
      <c r="P530" s="141"/>
    </row>
    <row r="531">
      <c r="C531" s="133"/>
      <c r="H531" s="45">
        <v>48.0</v>
      </c>
      <c r="J531" s="45">
        <v>0.52</v>
      </c>
      <c r="K531" s="45">
        <v>43.0</v>
      </c>
      <c r="P531" s="141"/>
    </row>
    <row r="532">
      <c r="C532" s="133"/>
      <c r="H532" s="45">
        <v>41.0</v>
      </c>
      <c r="J532" s="45">
        <v>0.51</v>
      </c>
      <c r="K532" s="45">
        <v>43.0</v>
      </c>
      <c r="P532" s="141"/>
    </row>
    <row r="533">
      <c r="C533" s="133"/>
      <c r="H533" s="45">
        <v>46.0</v>
      </c>
      <c r="J533" s="45">
        <v>0.48</v>
      </c>
      <c r="K533" s="45">
        <v>48.0</v>
      </c>
      <c r="P533" s="141"/>
    </row>
    <row r="534">
      <c r="C534" s="133"/>
      <c r="H534" s="45">
        <v>44.0</v>
      </c>
      <c r="J534" s="45">
        <v>0.53</v>
      </c>
      <c r="K534" s="45">
        <v>48.0</v>
      </c>
      <c r="P534" s="141"/>
    </row>
    <row r="535">
      <c r="C535" s="133"/>
      <c r="H535" s="45">
        <v>43.0</v>
      </c>
      <c r="J535" s="45">
        <v>0.55</v>
      </c>
      <c r="K535" s="45">
        <v>42.0</v>
      </c>
      <c r="P535" s="141"/>
    </row>
    <row r="536">
      <c r="C536" s="133"/>
      <c r="H536" s="45">
        <v>48.0</v>
      </c>
      <c r="J536" s="45">
        <v>0.5</v>
      </c>
      <c r="K536" s="45">
        <v>41.0</v>
      </c>
      <c r="P536" s="141"/>
    </row>
    <row r="537">
      <c r="C537" s="133"/>
      <c r="H537" s="45">
        <v>44.0</v>
      </c>
      <c r="J537" s="45">
        <v>0.47</v>
      </c>
      <c r="K537" s="45">
        <v>45.0</v>
      </c>
      <c r="P537" s="141"/>
    </row>
    <row r="538">
      <c r="C538" s="133"/>
      <c r="H538" s="45">
        <v>43.0</v>
      </c>
      <c r="J538" s="45">
        <v>0.53</v>
      </c>
      <c r="K538" s="45">
        <v>43.0</v>
      </c>
      <c r="P538" s="141"/>
    </row>
    <row r="539">
      <c r="C539" s="133"/>
      <c r="H539" s="45">
        <v>45.0</v>
      </c>
      <c r="J539" s="45">
        <v>0.52</v>
      </c>
      <c r="K539" s="45">
        <v>45.0</v>
      </c>
      <c r="P539" s="141"/>
    </row>
    <row r="540">
      <c r="C540" s="133"/>
      <c r="H540" s="45">
        <v>50.0</v>
      </c>
      <c r="J540" s="45">
        <v>0.54</v>
      </c>
      <c r="K540" s="45">
        <v>44.0</v>
      </c>
      <c r="P540" s="141"/>
    </row>
    <row r="541">
      <c r="C541" s="133"/>
      <c r="H541" s="45">
        <v>46.0</v>
      </c>
      <c r="J541" s="45">
        <v>0.59</v>
      </c>
      <c r="K541" s="45">
        <v>44.0</v>
      </c>
      <c r="P541" s="141"/>
    </row>
    <row r="542">
      <c r="C542" s="133"/>
      <c r="H542" s="45">
        <v>40.0</v>
      </c>
      <c r="J542" s="45">
        <v>0.54</v>
      </c>
      <c r="K542" s="45">
        <v>41.0</v>
      </c>
      <c r="P542" s="141"/>
    </row>
    <row r="543">
      <c r="C543" s="133"/>
      <c r="H543" s="45">
        <v>41.0</v>
      </c>
      <c r="J543" s="45">
        <v>0.52</v>
      </c>
      <c r="K543" s="45">
        <v>53.0</v>
      </c>
      <c r="P543" s="141"/>
    </row>
    <row r="544">
      <c r="C544" s="133"/>
      <c r="H544" s="45">
        <v>41.0</v>
      </c>
      <c r="J544" s="45">
        <v>0.55</v>
      </c>
      <c r="K544" s="45">
        <v>40.0</v>
      </c>
      <c r="P544" s="141"/>
    </row>
    <row r="545">
      <c r="C545" s="133"/>
      <c r="H545" s="45">
        <v>46.0</v>
      </c>
      <c r="J545" s="45">
        <v>0.5</v>
      </c>
      <c r="K545" s="45">
        <v>43.0</v>
      </c>
      <c r="P545" s="141"/>
    </row>
    <row r="546">
      <c r="C546" s="133"/>
      <c r="H546" s="45">
        <v>40.0</v>
      </c>
      <c r="J546" s="45">
        <v>0.51</v>
      </c>
      <c r="K546" s="45">
        <v>41.0</v>
      </c>
      <c r="P546" s="141"/>
    </row>
    <row r="547">
      <c r="C547" s="133"/>
      <c r="H547" s="45">
        <v>46.0</v>
      </c>
      <c r="J547" s="45">
        <v>0.5</v>
      </c>
      <c r="K547" s="45">
        <v>43.0</v>
      </c>
      <c r="P547" s="141"/>
    </row>
    <row r="548">
      <c r="C548" s="133"/>
      <c r="H548" s="45">
        <v>46.0</v>
      </c>
      <c r="J548" s="45">
        <v>0.57</v>
      </c>
      <c r="K548" s="45">
        <v>42.0</v>
      </c>
      <c r="P548" s="141"/>
    </row>
    <row r="549">
      <c r="C549" s="133"/>
      <c r="H549" s="45">
        <v>48.0</v>
      </c>
      <c r="J549" s="45">
        <v>0.5</v>
      </c>
      <c r="K549" s="45">
        <v>43.0</v>
      </c>
      <c r="P549" s="141"/>
    </row>
    <row r="550">
      <c r="C550" s="133"/>
      <c r="H550" s="45">
        <v>47.0</v>
      </c>
      <c r="J550" s="45">
        <v>0.54</v>
      </c>
      <c r="K550" s="45">
        <v>39.0</v>
      </c>
      <c r="P550" s="141"/>
    </row>
    <row r="551">
      <c r="C551" s="133"/>
      <c r="H551" s="45">
        <v>43.0</v>
      </c>
      <c r="J551" s="45">
        <v>0.46</v>
      </c>
      <c r="K551" s="45">
        <v>44.0</v>
      </c>
      <c r="P551" s="141"/>
    </row>
    <row r="552">
      <c r="C552" s="133"/>
      <c r="H552" s="45">
        <v>46.0</v>
      </c>
      <c r="J552" s="45">
        <v>0.53</v>
      </c>
      <c r="K552" s="45">
        <v>42.0</v>
      </c>
      <c r="P552" s="141"/>
    </row>
    <row r="553">
      <c r="C553" s="133"/>
      <c r="H553" s="45">
        <v>47.0</v>
      </c>
      <c r="J553" s="45">
        <v>0.49</v>
      </c>
      <c r="K553" s="45">
        <v>46.0</v>
      </c>
      <c r="P553" s="141"/>
    </row>
    <row r="554">
      <c r="C554" s="133"/>
      <c r="H554" s="45">
        <v>44.0</v>
      </c>
      <c r="J554" s="45">
        <v>0.49</v>
      </c>
      <c r="K554" s="45">
        <v>43.0</v>
      </c>
      <c r="P554" s="141"/>
    </row>
    <row r="555">
      <c r="C555" s="133"/>
      <c r="H555" s="45">
        <v>48.0</v>
      </c>
      <c r="J555" s="45">
        <v>0.51</v>
      </c>
      <c r="K555" s="45">
        <v>43.0</v>
      </c>
      <c r="P555" s="141"/>
    </row>
    <row r="556">
      <c r="C556" s="133"/>
      <c r="H556" s="45">
        <v>45.0</v>
      </c>
      <c r="J556" s="45">
        <v>0.48</v>
      </c>
      <c r="K556" s="45">
        <v>39.0</v>
      </c>
      <c r="P556" s="141"/>
    </row>
    <row r="557">
      <c r="C557" s="133"/>
      <c r="H557" s="45">
        <v>43.0</v>
      </c>
      <c r="J557" s="45">
        <v>0.48</v>
      </c>
      <c r="K557" s="45">
        <v>48.0</v>
      </c>
      <c r="P557" s="141"/>
    </row>
    <row r="558">
      <c r="C558" s="133"/>
      <c r="H558" s="45">
        <v>43.0</v>
      </c>
      <c r="J558" s="45">
        <v>0.47</v>
      </c>
      <c r="K558" s="45">
        <v>41.0</v>
      </c>
      <c r="P558" s="141"/>
    </row>
    <row r="559">
      <c r="C559" s="133"/>
      <c r="H559" s="45">
        <v>43.0</v>
      </c>
      <c r="J559" s="45">
        <v>0.53</v>
      </c>
      <c r="K559" s="45">
        <v>42.0</v>
      </c>
      <c r="P559" s="141"/>
    </row>
    <row r="560">
      <c r="C560" s="133"/>
      <c r="H560" s="45">
        <v>47.0</v>
      </c>
      <c r="J560" s="45">
        <v>0.44</v>
      </c>
      <c r="K560" s="45">
        <v>43.0</v>
      </c>
      <c r="P560" s="141"/>
    </row>
    <row r="561">
      <c r="C561" s="133"/>
      <c r="H561" s="45">
        <v>47.0</v>
      </c>
      <c r="J561" s="45">
        <v>0.49</v>
      </c>
      <c r="K561" s="45">
        <v>44.0</v>
      </c>
      <c r="P561" s="141"/>
    </row>
    <row r="562">
      <c r="C562" s="133"/>
      <c r="H562" s="45">
        <v>50.0</v>
      </c>
      <c r="J562" s="45">
        <v>0.46</v>
      </c>
      <c r="K562" s="45">
        <v>49.0</v>
      </c>
      <c r="P562" s="141"/>
    </row>
    <row r="563">
      <c r="C563" s="133"/>
      <c r="H563" s="45">
        <v>47.0</v>
      </c>
      <c r="J563" s="45">
        <v>0.51</v>
      </c>
      <c r="K563" s="45">
        <v>44.0</v>
      </c>
      <c r="P563" s="141"/>
    </row>
    <row r="564">
      <c r="C564" s="133"/>
      <c r="H564" s="45">
        <v>47.0</v>
      </c>
      <c r="J564" s="45">
        <v>0.48</v>
      </c>
      <c r="K564" s="45">
        <v>44.0</v>
      </c>
      <c r="P564" s="141"/>
    </row>
    <row r="565">
      <c r="C565" s="133"/>
      <c r="H565" s="45">
        <v>48.0</v>
      </c>
      <c r="J565" s="45">
        <v>0.53</v>
      </c>
      <c r="K565" s="45">
        <v>47.0</v>
      </c>
      <c r="P565" s="141"/>
    </row>
    <row r="566">
      <c r="C566" s="133"/>
      <c r="H566" s="45">
        <v>47.0</v>
      </c>
      <c r="J566" s="45">
        <v>0.49</v>
      </c>
      <c r="K566" s="45">
        <v>45.0</v>
      </c>
      <c r="P566" s="141"/>
    </row>
    <row r="567">
      <c r="C567" s="133"/>
      <c r="H567" s="45">
        <v>44.0</v>
      </c>
      <c r="J567" s="45">
        <v>0.44</v>
      </c>
      <c r="K567" s="45">
        <v>44.0</v>
      </c>
      <c r="P567" s="141"/>
    </row>
    <row r="568">
      <c r="C568" s="133"/>
      <c r="H568" s="45">
        <v>48.0</v>
      </c>
      <c r="J568" s="45">
        <v>0.45</v>
      </c>
      <c r="K568" s="45">
        <v>41.0</v>
      </c>
      <c r="P568" s="141"/>
    </row>
    <row r="569">
      <c r="C569" s="133"/>
      <c r="H569" s="45">
        <v>40.0</v>
      </c>
      <c r="J569" s="45">
        <v>0.53</v>
      </c>
      <c r="K569" s="45">
        <v>41.0</v>
      </c>
      <c r="P569" s="141"/>
    </row>
    <row r="570">
      <c r="C570" s="133"/>
      <c r="H570" s="45">
        <v>42.0</v>
      </c>
      <c r="J570" s="45">
        <v>0.48</v>
      </c>
      <c r="K570" s="45">
        <v>54.0</v>
      </c>
      <c r="P570" s="141"/>
    </row>
    <row r="571">
      <c r="C571" s="133"/>
      <c r="H571" s="45">
        <v>50.0</v>
      </c>
      <c r="J571" s="45">
        <v>0.5</v>
      </c>
      <c r="K571" s="45">
        <v>44.0</v>
      </c>
      <c r="P571" s="141"/>
    </row>
    <row r="572">
      <c r="C572" s="133"/>
      <c r="H572" s="45">
        <v>49.0</v>
      </c>
      <c r="J572" s="45">
        <v>0.57</v>
      </c>
      <c r="K572" s="45">
        <v>41.0</v>
      </c>
      <c r="P572" s="141"/>
    </row>
    <row r="573">
      <c r="C573" s="133"/>
      <c r="H573" s="45">
        <v>49.0</v>
      </c>
      <c r="J573" s="45">
        <v>0.51</v>
      </c>
      <c r="K573" s="45">
        <v>53.0</v>
      </c>
      <c r="P573" s="141"/>
    </row>
    <row r="574">
      <c r="C574" s="133"/>
      <c r="H574" s="45">
        <v>43.0</v>
      </c>
      <c r="J574" s="45">
        <v>0.48</v>
      </c>
      <c r="K574" s="45">
        <v>45.0</v>
      </c>
      <c r="P574" s="141"/>
    </row>
    <row r="575">
      <c r="C575" s="133"/>
      <c r="H575" s="45">
        <v>47.0</v>
      </c>
      <c r="J575" s="45">
        <v>0.48</v>
      </c>
      <c r="K575" s="45">
        <v>48.0</v>
      </c>
      <c r="P575" s="141"/>
    </row>
    <row r="576">
      <c r="C576" s="133"/>
      <c r="H576" s="45">
        <v>50.0</v>
      </c>
      <c r="J576" s="45">
        <v>0.51</v>
      </c>
      <c r="K576" s="45">
        <v>44.0</v>
      </c>
      <c r="P576" s="141"/>
    </row>
    <row r="577">
      <c r="C577" s="133"/>
      <c r="H577" s="45">
        <v>46.0</v>
      </c>
      <c r="J577" s="45">
        <v>0.49</v>
      </c>
      <c r="K577" s="45">
        <v>48.0</v>
      </c>
      <c r="P577" s="141"/>
    </row>
    <row r="578">
      <c r="C578" s="133"/>
      <c r="H578" s="45">
        <v>45.0</v>
      </c>
      <c r="J578" s="45">
        <v>0.51</v>
      </c>
      <c r="K578" s="45">
        <v>41.0</v>
      </c>
      <c r="P578" s="141"/>
    </row>
    <row r="579">
      <c r="C579" s="133"/>
      <c r="H579" s="45">
        <v>45.0</v>
      </c>
      <c r="J579" s="45">
        <v>0.5</v>
      </c>
      <c r="K579" s="45">
        <v>43.0</v>
      </c>
      <c r="P579" s="141"/>
    </row>
    <row r="580">
      <c r="C580" s="133"/>
      <c r="H580" s="45">
        <v>42.0</v>
      </c>
      <c r="J580" s="45">
        <v>0.52</v>
      </c>
      <c r="K580" s="45">
        <v>41.0</v>
      </c>
      <c r="P580" s="141"/>
    </row>
    <row r="581">
      <c r="C581" s="133"/>
      <c r="H581" s="45">
        <v>46.0</v>
      </c>
      <c r="J581" s="45">
        <v>0.54</v>
      </c>
      <c r="K581" s="45">
        <v>51.0</v>
      </c>
      <c r="P581" s="141"/>
    </row>
    <row r="582">
      <c r="C582" s="133"/>
      <c r="H582" s="45">
        <v>44.0</v>
      </c>
      <c r="J582" s="45">
        <v>0.5</v>
      </c>
      <c r="K582" s="45">
        <v>44.0</v>
      </c>
      <c r="P582" s="141"/>
    </row>
    <row r="583">
      <c r="C583" s="133"/>
      <c r="H583" s="45">
        <v>50.0</v>
      </c>
      <c r="J583" s="45">
        <v>0.49</v>
      </c>
      <c r="K583" s="45">
        <v>45.0</v>
      </c>
      <c r="P583" s="141"/>
    </row>
    <row r="584">
      <c r="C584" s="133"/>
      <c r="H584" s="45">
        <v>46.0</v>
      </c>
      <c r="J584" s="45">
        <v>0.53</v>
      </c>
      <c r="K584" s="45">
        <v>47.0</v>
      </c>
      <c r="P584" s="141"/>
    </row>
    <row r="585">
      <c r="C585" s="133"/>
      <c r="H585" s="45">
        <v>48.0</v>
      </c>
      <c r="J585" s="45">
        <v>0.51</v>
      </c>
      <c r="K585" s="45">
        <v>51.0</v>
      </c>
      <c r="P585" s="141"/>
    </row>
    <row r="586">
      <c r="C586" s="133"/>
      <c r="H586" s="45">
        <v>45.0</v>
      </c>
      <c r="J586" s="45">
        <v>0.53</v>
      </c>
      <c r="K586" s="45">
        <v>47.0</v>
      </c>
      <c r="P586" s="141"/>
    </row>
    <row r="587">
      <c r="C587" s="133"/>
      <c r="H587" s="45">
        <v>49.0</v>
      </c>
      <c r="J587" s="45">
        <v>0.49</v>
      </c>
      <c r="K587" s="45">
        <v>45.0</v>
      </c>
      <c r="P587" s="141"/>
    </row>
    <row r="588">
      <c r="C588" s="133"/>
      <c r="H588" s="45">
        <v>46.0</v>
      </c>
      <c r="J588" s="45">
        <v>0.47</v>
      </c>
      <c r="K588" s="45">
        <v>42.0</v>
      </c>
      <c r="P588" s="141"/>
    </row>
    <row r="589">
      <c r="C589" s="133"/>
      <c r="H589" s="45">
        <v>48.0</v>
      </c>
      <c r="J589" s="45">
        <v>0.54</v>
      </c>
      <c r="K589" s="45">
        <v>42.0</v>
      </c>
      <c r="P589" s="141"/>
    </row>
    <row r="590">
      <c r="C590" s="133"/>
      <c r="H590" s="45">
        <v>47.0</v>
      </c>
      <c r="J590" s="45">
        <v>0.48</v>
      </c>
      <c r="K590" s="45">
        <v>43.0</v>
      </c>
      <c r="P590" s="141"/>
    </row>
    <row r="591">
      <c r="C591" s="133"/>
      <c r="H591" s="45">
        <v>48.0</v>
      </c>
      <c r="J591" s="45">
        <v>0.53</v>
      </c>
      <c r="K591" s="45">
        <v>46.0</v>
      </c>
      <c r="P591" s="141"/>
    </row>
    <row r="592">
      <c r="C592" s="133"/>
      <c r="H592" s="45">
        <v>44.0</v>
      </c>
      <c r="J592" s="45">
        <v>0.57</v>
      </c>
      <c r="K592" s="45">
        <v>38.0</v>
      </c>
      <c r="P592" s="141"/>
    </row>
    <row r="593">
      <c r="C593" s="133"/>
      <c r="H593" s="45">
        <v>46.0</v>
      </c>
      <c r="J593" s="45">
        <v>0.48</v>
      </c>
      <c r="K593" s="45">
        <v>45.0</v>
      </c>
      <c r="P593" s="141"/>
    </row>
    <row r="594">
      <c r="C594" s="133"/>
      <c r="H594" s="45">
        <v>40.0</v>
      </c>
      <c r="J594" s="45">
        <v>0.53</v>
      </c>
      <c r="K594" s="45">
        <v>46.0</v>
      </c>
      <c r="P594" s="141"/>
    </row>
    <row r="595">
      <c r="C595" s="133"/>
      <c r="H595" s="45">
        <v>47.0</v>
      </c>
      <c r="J595" s="45">
        <v>0.59</v>
      </c>
      <c r="K595" s="45">
        <v>40.0</v>
      </c>
      <c r="P595" s="141"/>
    </row>
    <row r="596">
      <c r="C596" s="133"/>
      <c r="H596" s="45">
        <v>48.0</v>
      </c>
      <c r="J596" s="45">
        <v>0.62</v>
      </c>
      <c r="K596" s="45">
        <v>41.0</v>
      </c>
      <c r="P596" s="141"/>
    </row>
    <row r="597">
      <c r="C597" s="133"/>
      <c r="H597" s="45">
        <v>47.0</v>
      </c>
      <c r="J597" s="45">
        <v>0.57</v>
      </c>
      <c r="K597" s="45">
        <v>46.0</v>
      </c>
      <c r="P597" s="141"/>
    </row>
    <row r="598">
      <c r="C598" s="133"/>
      <c r="H598" s="45">
        <v>42.0</v>
      </c>
      <c r="J598" s="45">
        <v>0.5</v>
      </c>
      <c r="K598" s="45">
        <v>51.0</v>
      </c>
      <c r="P598" s="141"/>
    </row>
    <row r="599">
      <c r="C599" s="133"/>
      <c r="H599" s="45">
        <v>43.0</v>
      </c>
      <c r="J599" s="45">
        <v>0.5</v>
      </c>
      <c r="K599" s="45">
        <v>38.0</v>
      </c>
      <c r="P599" s="141"/>
    </row>
    <row r="600">
      <c r="C600" s="133"/>
      <c r="H600" s="45">
        <v>51.0</v>
      </c>
      <c r="J600" s="45">
        <v>0.56</v>
      </c>
      <c r="K600" s="45">
        <v>44.0</v>
      </c>
      <c r="P600" s="141"/>
    </row>
    <row r="601">
      <c r="C601" s="133"/>
      <c r="H601" s="45">
        <v>44.0</v>
      </c>
      <c r="J601" s="45">
        <v>0.6</v>
      </c>
      <c r="K601" s="45">
        <v>40.0</v>
      </c>
      <c r="P601" s="141"/>
    </row>
    <row r="602">
      <c r="C602" s="133"/>
      <c r="H602" s="45">
        <v>42.0</v>
      </c>
      <c r="J602" s="45">
        <v>0.44</v>
      </c>
      <c r="K602" s="45">
        <v>42.0</v>
      </c>
      <c r="P602" s="141"/>
    </row>
    <row r="603">
      <c r="C603" s="133"/>
      <c r="H603" s="45">
        <v>41.0</v>
      </c>
      <c r="J603" s="45">
        <v>0.52</v>
      </c>
      <c r="K603" s="45">
        <v>43.0</v>
      </c>
      <c r="P603" s="141"/>
    </row>
    <row r="604">
      <c r="C604" s="133"/>
      <c r="H604" s="45">
        <v>42.0</v>
      </c>
      <c r="J604" s="45">
        <v>0.53</v>
      </c>
      <c r="K604" s="45">
        <v>42.0</v>
      </c>
      <c r="P604" s="141"/>
    </row>
    <row r="605">
      <c r="C605" s="133"/>
      <c r="H605" s="45">
        <v>45.0</v>
      </c>
      <c r="J605" s="45">
        <v>0.51</v>
      </c>
      <c r="K605" s="45">
        <v>43.0</v>
      </c>
      <c r="P605" s="141"/>
    </row>
    <row r="606">
      <c r="C606" s="133"/>
      <c r="H606" s="45">
        <v>43.0</v>
      </c>
      <c r="J606" s="45">
        <v>0.54</v>
      </c>
      <c r="K606" s="45">
        <v>42.0</v>
      </c>
      <c r="P606" s="141"/>
    </row>
    <row r="607">
      <c r="C607" s="133"/>
      <c r="H607" s="45">
        <v>47.0</v>
      </c>
      <c r="J607" s="45">
        <v>0.49</v>
      </c>
      <c r="K607" s="45">
        <v>40.0</v>
      </c>
      <c r="P607" s="141"/>
    </row>
    <row r="608">
      <c r="C608" s="133"/>
      <c r="H608" s="45">
        <v>45.0</v>
      </c>
      <c r="J608" s="45">
        <v>0.51</v>
      </c>
      <c r="K608" s="45">
        <v>42.0</v>
      </c>
      <c r="P608" s="141"/>
    </row>
    <row r="609">
      <c r="C609" s="133"/>
      <c r="H609" s="45">
        <v>43.0</v>
      </c>
      <c r="J609" s="45">
        <v>0.55</v>
      </c>
      <c r="K609" s="45">
        <v>38.0</v>
      </c>
      <c r="P609" s="141"/>
    </row>
    <row r="610">
      <c r="C610" s="133"/>
      <c r="H610" s="45">
        <v>41.0</v>
      </c>
      <c r="J610" s="45">
        <v>0.57</v>
      </c>
      <c r="K610" s="45">
        <v>42.0</v>
      </c>
      <c r="P610" s="141"/>
    </row>
    <row r="611">
      <c r="C611" s="133"/>
      <c r="H611" s="45">
        <v>49.0</v>
      </c>
      <c r="J611" s="45">
        <v>0.61</v>
      </c>
      <c r="K611" s="45">
        <v>42.0</v>
      </c>
      <c r="P611" s="141"/>
    </row>
    <row r="612">
      <c r="C612" s="133"/>
      <c r="H612" s="45">
        <v>44.0</v>
      </c>
      <c r="J612" s="45">
        <v>0.53</v>
      </c>
      <c r="K612" s="45">
        <v>43.0</v>
      </c>
      <c r="P612" s="141"/>
    </row>
    <row r="613">
      <c r="C613" s="133"/>
      <c r="H613" s="45">
        <v>43.0</v>
      </c>
      <c r="J613" s="45">
        <v>0.52</v>
      </c>
      <c r="K613" s="45">
        <v>40.0</v>
      </c>
      <c r="P613" s="141"/>
    </row>
    <row r="614">
      <c r="C614" s="133"/>
      <c r="H614" s="45">
        <v>47.0</v>
      </c>
      <c r="J614" s="45">
        <v>0.5</v>
      </c>
      <c r="K614" s="45">
        <v>43.0</v>
      </c>
      <c r="P614" s="141"/>
    </row>
    <row r="615">
      <c r="C615" s="133"/>
      <c r="H615" s="45">
        <v>38.0</v>
      </c>
      <c r="J615" s="45">
        <v>0.59</v>
      </c>
      <c r="K615" s="45">
        <v>49.0</v>
      </c>
      <c r="P615" s="141"/>
    </row>
    <row r="616">
      <c r="C616" s="133"/>
      <c r="H616" s="45">
        <v>39.0</v>
      </c>
      <c r="J616" s="45">
        <v>0.53</v>
      </c>
      <c r="K616" s="45">
        <v>41.0</v>
      </c>
      <c r="P616" s="141"/>
    </row>
    <row r="617">
      <c r="C617" s="133"/>
      <c r="H617" s="45">
        <v>44.0</v>
      </c>
      <c r="J617" s="45">
        <v>0.6</v>
      </c>
      <c r="K617" s="45">
        <v>41.0</v>
      </c>
      <c r="P617" s="141"/>
    </row>
    <row r="618">
      <c r="C618" s="133"/>
      <c r="H618" s="45">
        <v>44.0</v>
      </c>
      <c r="J618" s="45">
        <v>0.52</v>
      </c>
      <c r="K618" s="45">
        <v>42.0</v>
      </c>
      <c r="P618" s="141"/>
    </row>
    <row r="619">
      <c r="C619" s="133"/>
      <c r="H619" s="45">
        <v>40.0</v>
      </c>
      <c r="J619" s="45">
        <v>0.55</v>
      </c>
      <c r="K619" s="45">
        <v>42.0</v>
      </c>
      <c r="P619" s="141"/>
    </row>
    <row r="620">
      <c r="C620" s="133"/>
      <c r="H620" s="45">
        <v>43.0</v>
      </c>
      <c r="J620" s="45">
        <v>0.47</v>
      </c>
      <c r="K620" s="45">
        <v>48.0</v>
      </c>
      <c r="P620" s="141"/>
    </row>
    <row r="621">
      <c r="C621" s="133"/>
      <c r="H621" s="45">
        <v>45.0</v>
      </c>
      <c r="J621" s="45">
        <v>0.57</v>
      </c>
      <c r="K621" s="45">
        <v>45.0</v>
      </c>
      <c r="P621" s="141"/>
    </row>
    <row r="622">
      <c r="C622" s="133"/>
      <c r="H622" s="45">
        <v>45.0</v>
      </c>
      <c r="J622" s="45">
        <v>0.49</v>
      </c>
      <c r="K622" s="45">
        <v>44.0</v>
      </c>
      <c r="P622" s="141"/>
    </row>
    <row r="623">
      <c r="C623" s="133"/>
      <c r="H623" s="45">
        <v>45.0</v>
      </c>
      <c r="J623" s="45">
        <v>0.47</v>
      </c>
      <c r="K623" s="45">
        <v>48.0</v>
      </c>
      <c r="P623" s="141"/>
    </row>
    <row r="624">
      <c r="C624" s="133"/>
      <c r="H624" s="45">
        <v>47.0</v>
      </c>
      <c r="J624" s="45">
        <v>0.5</v>
      </c>
      <c r="K624" s="45">
        <v>39.0</v>
      </c>
      <c r="P624" s="141"/>
    </row>
    <row r="625">
      <c r="C625" s="133"/>
      <c r="H625" s="45">
        <v>46.0</v>
      </c>
      <c r="J625" s="45">
        <v>0.52</v>
      </c>
      <c r="K625" s="45">
        <v>39.0</v>
      </c>
      <c r="P625" s="141"/>
    </row>
    <row r="626">
      <c r="C626" s="133"/>
      <c r="H626" s="45">
        <v>43.0</v>
      </c>
      <c r="J626" s="45">
        <v>0.55</v>
      </c>
      <c r="K626" s="45">
        <v>42.0</v>
      </c>
      <c r="P626" s="141"/>
    </row>
    <row r="627">
      <c r="C627" s="133"/>
      <c r="H627" s="45">
        <v>48.0</v>
      </c>
      <c r="J627" s="45">
        <v>0.59</v>
      </c>
      <c r="K627" s="45">
        <v>50.0</v>
      </c>
      <c r="P627" s="141"/>
    </row>
    <row r="628">
      <c r="C628" s="133"/>
      <c r="H628" s="45">
        <v>45.0</v>
      </c>
      <c r="J628" s="45">
        <v>0.65</v>
      </c>
      <c r="K628" s="45">
        <v>51.0</v>
      </c>
      <c r="P628" s="141"/>
    </row>
    <row r="629">
      <c r="C629" s="133"/>
      <c r="H629" s="45">
        <v>45.0</v>
      </c>
      <c r="J629" s="45">
        <v>0.49</v>
      </c>
      <c r="K629" s="45">
        <v>44.0</v>
      </c>
      <c r="P629" s="141"/>
    </row>
    <row r="630">
      <c r="C630" s="133"/>
      <c r="H630" s="45">
        <v>44.0</v>
      </c>
      <c r="J630" s="45">
        <v>0.58</v>
      </c>
      <c r="K630" s="45">
        <v>48.0</v>
      </c>
      <c r="P630" s="141"/>
    </row>
    <row r="631">
      <c r="C631" s="133"/>
      <c r="H631" s="45">
        <v>44.0</v>
      </c>
      <c r="J631" s="45">
        <v>0.57</v>
      </c>
      <c r="K631" s="45">
        <v>50.0</v>
      </c>
      <c r="P631" s="141"/>
    </row>
    <row r="632">
      <c r="C632" s="133"/>
      <c r="H632" s="45">
        <v>46.0</v>
      </c>
      <c r="J632" s="45">
        <v>0.49</v>
      </c>
      <c r="K632" s="45">
        <v>46.0</v>
      </c>
      <c r="P632" s="141"/>
    </row>
    <row r="633">
      <c r="C633" s="133"/>
      <c r="H633" s="45">
        <v>45.0</v>
      </c>
      <c r="J633" s="45">
        <v>0.45</v>
      </c>
      <c r="K633" s="45">
        <v>43.0</v>
      </c>
      <c r="P633" s="141"/>
    </row>
    <row r="634">
      <c r="C634" s="133"/>
      <c r="H634" s="45">
        <v>48.0</v>
      </c>
      <c r="J634" s="45">
        <v>0.51</v>
      </c>
      <c r="K634" s="45">
        <v>43.0</v>
      </c>
      <c r="P634" s="141"/>
    </row>
    <row r="635">
      <c r="C635" s="133"/>
      <c r="H635" s="45">
        <v>41.0</v>
      </c>
      <c r="J635" s="45">
        <v>0.49</v>
      </c>
      <c r="K635" s="45">
        <v>42.0</v>
      </c>
      <c r="P635" s="141"/>
    </row>
    <row r="636">
      <c r="C636" s="133"/>
      <c r="H636" s="45">
        <v>52.0</v>
      </c>
      <c r="J636" s="45">
        <v>0.56</v>
      </c>
      <c r="K636" s="45">
        <v>40.0</v>
      </c>
      <c r="P636" s="141"/>
    </row>
    <row r="637">
      <c r="C637" s="133"/>
      <c r="H637" s="45">
        <v>46.0</v>
      </c>
      <c r="J637" s="45">
        <v>0.55</v>
      </c>
      <c r="K637" s="45">
        <v>39.0</v>
      </c>
      <c r="P637" s="141"/>
    </row>
    <row r="638">
      <c r="C638" s="133"/>
      <c r="H638" s="45">
        <v>40.0</v>
      </c>
      <c r="J638" s="45">
        <v>0.49</v>
      </c>
      <c r="K638" s="45">
        <v>47.0</v>
      </c>
      <c r="P638" s="141"/>
    </row>
    <row r="639">
      <c r="C639" s="133"/>
      <c r="H639" s="45">
        <v>46.0</v>
      </c>
      <c r="J639" s="45">
        <v>0.48</v>
      </c>
      <c r="K639" s="45">
        <v>47.0</v>
      </c>
      <c r="P639" s="141"/>
    </row>
    <row r="640">
      <c r="C640" s="133"/>
      <c r="H640" s="45">
        <v>46.0</v>
      </c>
      <c r="J640" s="45">
        <v>0.52</v>
      </c>
      <c r="K640" s="45">
        <v>42.0</v>
      </c>
      <c r="P640" s="141"/>
    </row>
    <row r="641">
      <c r="C641" s="133"/>
      <c r="H641" s="45">
        <v>41.0</v>
      </c>
      <c r="J641" s="45">
        <v>0.53</v>
      </c>
      <c r="K641" s="45">
        <v>38.0</v>
      </c>
      <c r="P641" s="141"/>
    </row>
    <row r="642">
      <c r="C642" s="133"/>
      <c r="H642" s="45">
        <v>38.0</v>
      </c>
      <c r="J642" s="45">
        <v>0.58</v>
      </c>
      <c r="K642" s="45">
        <v>54.0</v>
      </c>
      <c r="P642" s="141"/>
    </row>
    <row r="643">
      <c r="C643" s="133"/>
      <c r="H643" s="45">
        <v>43.0</v>
      </c>
      <c r="J643" s="45">
        <v>0.48</v>
      </c>
      <c r="K643" s="45">
        <v>46.0</v>
      </c>
      <c r="P643" s="141"/>
    </row>
    <row r="644">
      <c r="C644" s="133"/>
      <c r="H644" s="45">
        <v>52.0</v>
      </c>
      <c r="J644" s="45">
        <v>0.56</v>
      </c>
      <c r="K644" s="45">
        <v>37.0</v>
      </c>
      <c r="P644" s="141"/>
    </row>
    <row r="645">
      <c r="C645" s="133"/>
      <c r="H645" s="45">
        <v>41.0</v>
      </c>
      <c r="J645" s="45">
        <v>0.54</v>
      </c>
      <c r="K645" s="45">
        <v>40.0</v>
      </c>
      <c r="P645" s="141"/>
    </row>
    <row r="646">
      <c r="C646" s="133"/>
      <c r="H646" s="45">
        <v>40.0</v>
      </c>
      <c r="J646" s="45">
        <v>0.54</v>
      </c>
      <c r="K646" s="45">
        <v>42.0</v>
      </c>
      <c r="P646" s="141"/>
    </row>
    <row r="647">
      <c r="C647" s="133"/>
      <c r="H647" s="45">
        <v>46.0</v>
      </c>
      <c r="J647" s="45">
        <v>0.56</v>
      </c>
      <c r="K647" s="45">
        <v>48.0</v>
      </c>
      <c r="P647" s="141"/>
    </row>
    <row r="648">
      <c r="C648" s="133"/>
      <c r="H648" s="45">
        <v>45.0</v>
      </c>
      <c r="J648" s="45">
        <v>0.46</v>
      </c>
      <c r="K648" s="45">
        <v>46.0</v>
      </c>
      <c r="P648" s="141"/>
    </row>
    <row r="649">
      <c r="C649" s="133"/>
      <c r="H649" s="45">
        <v>44.0</v>
      </c>
      <c r="J649" s="45">
        <v>0.52</v>
      </c>
      <c r="K649" s="45">
        <v>40.0</v>
      </c>
      <c r="P649" s="141"/>
    </row>
    <row r="650">
      <c r="C650" s="133"/>
      <c r="H650" s="45">
        <v>41.0</v>
      </c>
      <c r="J650" s="45">
        <v>0.49</v>
      </c>
      <c r="K650" s="45">
        <v>47.0</v>
      </c>
      <c r="P650" s="141"/>
    </row>
    <row r="651">
      <c r="C651" s="133"/>
      <c r="H651" s="45">
        <v>43.0</v>
      </c>
      <c r="J651" s="45">
        <v>0.54</v>
      </c>
      <c r="K651" s="45">
        <v>41.0</v>
      </c>
      <c r="P651" s="141"/>
    </row>
    <row r="652">
      <c r="C652" s="133"/>
      <c r="H652" s="45">
        <v>43.0</v>
      </c>
      <c r="J652" s="45">
        <v>0.54</v>
      </c>
      <c r="K652" s="45">
        <v>48.0</v>
      </c>
      <c r="P652" s="141"/>
    </row>
    <row r="653">
      <c r="C653" s="133"/>
      <c r="H653" s="45">
        <v>54.0</v>
      </c>
      <c r="J653" s="45">
        <v>0.44</v>
      </c>
      <c r="K653" s="45">
        <v>36.0</v>
      </c>
      <c r="P653" s="141"/>
    </row>
    <row r="654">
      <c r="C654" s="133"/>
      <c r="H654" s="45">
        <v>48.0</v>
      </c>
      <c r="J654" s="45">
        <v>0.48</v>
      </c>
      <c r="K654" s="45">
        <v>43.0</v>
      </c>
      <c r="P654" s="141"/>
    </row>
    <row r="655">
      <c r="C655" s="133"/>
      <c r="H655" s="45">
        <v>43.0</v>
      </c>
      <c r="J655" s="45">
        <v>0.53</v>
      </c>
      <c r="K655" s="45">
        <v>50.0</v>
      </c>
      <c r="P655" s="141"/>
    </row>
    <row r="656">
      <c r="C656" s="133"/>
      <c r="H656" s="45">
        <v>45.0</v>
      </c>
      <c r="J656" s="45">
        <v>0.48</v>
      </c>
      <c r="K656" s="45">
        <v>47.0</v>
      </c>
      <c r="P656" s="141"/>
    </row>
    <row r="657">
      <c r="C657" s="133"/>
      <c r="H657" s="45">
        <v>44.0</v>
      </c>
      <c r="J657" s="45">
        <v>0.53</v>
      </c>
      <c r="K657" s="45">
        <v>49.0</v>
      </c>
      <c r="P657" s="141"/>
    </row>
    <row r="658">
      <c r="C658" s="133"/>
      <c r="H658" s="45">
        <v>39.0</v>
      </c>
      <c r="J658" s="45">
        <v>0.5</v>
      </c>
      <c r="K658" s="45">
        <v>44.0</v>
      </c>
      <c r="P658" s="141"/>
    </row>
    <row r="659">
      <c r="C659" s="133"/>
      <c r="H659" s="45">
        <v>51.0</v>
      </c>
      <c r="J659" s="45">
        <v>0.48</v>
      </c>
      <c r="K659" s="45">
        <v>46.0</v>
      </c>
      <c r="P659" s="141"/>
    </row>
    <row r="660">
      <c r="C660" s="133"/>
      <c r="H660" s="45">
        <v>39.0</v>
      </c>
      <c r="J660" s="45">
        <v>0.53</v>
      </c>
      <c r="K660" s="45">
        <v>42.0</v>
      </c>
      <c r="P660" s="141"/>
    </row>
    <row r="661">
      <c r="C661" s="133"/>
      <c r="H661" s="45">
        <v>45.0</v>
      </c>
      <c r="J661" s="45">
        <v>0.5</v>
      </c>
      <c r="K661" s="45">
        <v>39.0</v>
      </c>
      <c r="P661" s="141"/>
    </row>
    <row r="662">
      <c r="C662" s="133"/>
      <c r="H662" s="45">
        <v>41.0</v>
      </c>
      <c r="J662" s="45">
        <v>0.46</v>
      </c>
      <c r="K662" s="45">
        <v>46.0</v>
      </c>
      <c r="P662" s="141"/>
    </row>
    <row r="663">
      <c r="C663" s="133"/>
      <c r="H663" s="45">
        <v>45.0</v>
      </c>
      <c r="J663" s="45">
        <v>0.48</v>
      </c>
      <c r="K663" s="45">
        <v>46.0</v>
      </c>
      <c r="P663" s="141"/>
    </row>
    <row r="664">
      <c r="C664" s="133"/>
      <c r="H664" s="45">
        <v>42.0</v>
      </c>
      <c r="J664" s="45">
        <v>0.53</v>
      </c>
      <c r="K664" s="45">
        <v>47.0</v>
      </c>
      <c r="P664" s="141"/>
    </row>
    <row r="665">
      <c r="C665" s="133"/>
      <c r="H665" s="45">
        <v>48.0</v>
      </c>
      <c r="J665" s="45">
        <v>0.49</v>
      </c>
      <c r="K665" s="45">
        <v>43.0</v>
      </c>
      <c r="P665" s="141"/>
    </row>
    <row r="666">
      <c r="C666" s="133"/>
      <c r="H666" s="45">
        <v>44.0</v>
      </c>
      <c r="J666" s="45">
        <v>0.48</v>
      </c>
      <c r="K666" s="45">
        <v>42.0</v>
      </c>
      <c r="P666" s="141"/>
    </row>
    <row r="667">
      <c r="C667" s="133"/>
      <c r="H667" s="45">
        <v>46.0</v>
      </c>
      <c r="J667" s="45">
        <v>0.49</v>
      </c>
      <c r="K667" s="45">
        <v>45.0</v>
      </c>
      <c r="P667" s="141"/>
    </row>
    <row r="668">
      <c r="C668" s="133"/>
      <c r="H668" s="45">
        <v>40.0</v>
      </c>
      <c r="J668" s="45">
        <v>0.57</v>
      </c>
      <c r="K668" s="45">
        <v>49.0</v>
      </c>
      <c r="P668" s="141"/>
    </row>
    <row r="669">
      <c r="C669" s="133"/>
      <c r="H669" s="45">
        <v>51.0</v>
      </c>
      <c r="J669" s="45">
        <v>0.53</v>
      </c>
      <c r="K669" s="45">
        <v>40.0</v>
      </c>
      <c r="P669" s="141"/>
    </row>
    <row r="670">
      <c r="C670" s="133"/>
      <c r="H670" s="45">
        <v>46.0</v>
      </c>
      <c r="J670" s="45">
        <v>0.53</v>
      </c>
      <c r="K670" s="45">
        <v>42.0</v>
      </c>
      <c r="P670" s="141"/>
    </row>
    <row r="671">
      <c r="C671" s="133"/>
      <c r="H671" s="45">
        <v>47.0</v>
      </c>
      <c r="J671" s="45">
        <v>0.51</v>
      </c>
      <c r="K671" s="45">
        <v>44.0</v>
      </c>
      <c r="P671" s="141"/>
    </row>
    <row r="672">
      <c r="C672" s="133"/>
      <c r="H672" s="45">
        <v>46.0</v>
      </c>
      <c r="J672" s="45">
        <v>0.54</v>
      </c>
      <c r="K672" s="45">
        <v>45.0</v>
      </c>
      <c r="P672" s="141"/>
    </row>
    <row r="673">
      <c r="C673" s="133"/>
      <c r="H673" s="45">
        <v>42.0</v>
      </c>
      <c r="J673" s="45">
        <v>0.58</v>
      </c>
      <c r="K673" s="45">
        <v>39.0</v>
      </c>
      <c r="P673" s="141"/>
    </row>
    <row r="674">
      <c r="C674" s="133"/>
      <c r="H674" s="45">
        <v>42.0</v>
      </c>
      <c r="J674" s="45">
        <v>0.57</v>
      </c>
      <c r="K674" s="45">
        <v>44.0</v>
      </c>
      <c r="P674" s="141"/>
    </row>
    <row r="675">
      <c r="C675" s="133"/>
      <c r="H675" s="45">
        <v>39.0</v>
      </c>
      <c r="J675" s="45">
        <v>0.5</v>
      </c>
      <c r="K675" s="45">
        <v>42.0</v>
      </c>
      <c r="P675" s="141"/>
    </row>
    <row r="676">
      <c r="C676" s="133"/>
      <c r="H676" s="45">
        <v>46.0</v>
      </c>
      <c r="J676" s="45">
        <v>0.55</v>
      </c>
      <c r="K676" s="45">
        <v>42.0</v>
      </c>
      <c r="P676" s="141"/>
    </row>
    <row r="677">
      <c r="C677" s="133"/>
      <c r="H677" s="45">
        <v>45.0</v>
      </c>
      <c r="J677" s="45">
        <v>0.54</v>
      </c>
      <c r="K677" s="45">
        <v>37.0</v>
      </c>
      <c r="P677" s="141"/>
    </row>
    <row r="678">
      <c r="C678" s="133"/>
      <c r="H678" s="45">
        <v>45.0</v>
      </c>
      <c r="J678" s="45">
        <v>0.56</v>
      </c>
      <c r="K678" s="45">
        <v>50.0</v>
      </c>
      <c r="P678" s="141"/>
    </row>
    <row r="679">
      <c r="C679" s="133"/>
      <c r="H679" s="45">
        <v>51.0</v>
      </c>
      <c r="J679" s="45">
        <v>0.55</v>
      </c>
      <c r="K679" s="45">
        <v>42.0</v>
      </c>
      <c r="P679" s="141"/>
    </row>
    <row r="680">
      <c r="C680" s="133"/>
      <c r="H680" s="45">
        <v>46.0</v>
      </c>
      <c r="J680" s="45">
        <v>0.55</v>
      </c>
      <c r="K680" s="45">
        <v>41.0</v>
      </c>
      <c r="P680" s="141"/>
    </row>
    <row r="681">
      <c r="C681" s="133"/>
      <c r="H681" s="45">
        <v>45.0</v>
      </c>
      <c r="J681" s="45">
        <v>0.5</v>
      </c>
      <c r="K681" s="45">
        <v>45.0</v>
      </c>
      <c r="P681" s="141"/>
    </row>
    <row r="682">
      <c r="C682" s="133"/>
      <c r="H682" s="45">
        <v>46.0</v>
      </c>
      <c r="J682" s="45">
        <v>0.54</v>
      </c>
      <c r="K682" s="45">
        <v>42.0</v>
      </c>
      <c r="P682" s="141"/>
    </row>
    <row r="683">
      <c r="C683" s="133"/>
      <c r="H683" s="45">
        <v>44.0</v>
      </c>
      <c r="J683" s="45">
        <v>0.54</v>
      </c>
      <c r="K683" s="45">
        <v>39.0</v>
      </c>
      <c r="P683" s="141"/>
    </row>
    <row r="684">
      <c r="C684" s="133"/>
      <c r="H684" s="45">
        <v>48.0</v>
      </c>
      <c r="J684" s="45">
        <v>0.59</v>
      </c>
      <c r="K684" s="45">
        <v>45.0</v>
      </c>
      <c r="P684" s="141"/>
    </row>
    <row r="685">
      <c r="C685" s="133"/>
      <c r="H685" s="45">
        <v>40.0</v>
      </c>
      <c r="J685" s="45">
        <v>0.5</v>
      </c>
      <c r="K685" s="45">
        <v>37.0</v>
      </c>
      <c r="P685" s="141"/>
    </row>
    <row r="686">
      <c r="C686" s="133"/>
      <c r="H686" s="45">
        <v>42.0</v>
      </c>
      <c r="J686" s="45">
        <v>0.52</v>
      </c>
      <c r="K686" s="45">
        <v>52.0</v>
      </c>
      <c r="P686" s="141"/>
    </row>
    <row r="687">
      <c r="C687" s="133"/>
      <c r="H687" s="45">
        <v>46.0</v>
      </c>
      <c r="J687" s="45">
        <v>0.52</v>
      </c>
      <c r="K687" s="45">
        <v>43.0</v>
      </c>
      <c r="P687" s="141"/>
    </row>
    <row r="688">
      <c r="C688" s="133"/>
      <c r="H688" s="45">
        <v>41.0</v>
      </c>
      <c r="J688" s="45">
        <v>0.56</v>
      </c>
      <c r="K688" s="45">
        <v>42.0</v>
      </c>
      <c r="P688" s="141"/>
    </row>
    <row r="689">
      <c r="C689" s="133"/>
      <c r="H689" s="45">
        <v>44.0</v>
      </c>
      <c r="J689" s="45">
        <v>0.54</v>
      </c>
      <c r="K689" s="45">
        <v>45.0</v>
      </c>
      <c r="P689" s="141"/>
    </row>
    <row r="690">
      <c r="C690" s="133"/>
      <c r="H690" s="45">
        <v>48.0</v>
      </c>
      <c r="J690" s="45">
        <v>0.53</v>
      </c>
      <c r="K690" s="45">
        <v>45.0</v>
      </c>
      <c r="P690" s="141"/>
    </row>
    <row r="691">
      <c r="C691" s="133"/>
      <c r="H691" s="45">
        <v>48.0</v>
      </c>
      <c r="J691" s="45">
        <v>0.56</v>
      </c>
      <c r="K691" s="45">
        <v>46.0</v>
      </c>
      <c r="P691" s="141"/>
    </row>
    <row r="692">
      <c r="C692" s="133"/>
      <c r="H692" s="45">
        <v>45.0</v>
      </c>
      <c r="J692" s="45">
        <v>0.5</v>
      </c>
      <c r="K692" s="45">
        <v>40.0</v>
      </c>
      <c r="P692" s="141"/>
    </row>
    <row r="693">
      <c r="C693" s="133"/>
      <c r="H693" s="45">
        <v>42.0</v>
      </c>
      <c r="J693" s="45">
        <v>0.52</v>
      </c>
      <c r="K693" s="45">
        <v>45.0</v>
      </c>
      <c r="P693" s="141"/>
    </row>
    <row r="694">
      <c r="C694" s="133"/>
      <c r="H694" s="45">
        <v>43.0</v>
      </c>
      <c r="J694" s="45">
        <v>0.52</v>
      </c>
      <c r="K694" s="45">
        <v>35.0</v>
      </c>
      <c r="P694" s="141"/>
    </row>
    <row r="695">
      <c r="C695" s="133"/>
      <c r="H695" s="45">
        <v>46.0</v>
      </c>
      <c r="J695" s="45">
        <v>0.53</v>
      </c>
      <c r="K695" s="45">
        <v>42.0</v>
      </c>
      <c r="P695" s="141"/>
    </row>
    <row r="696">
      <c r="C696" s="133"/>
      <c r="H696" s="45">
        <v>41.0</v>
      </c>
      <c r="J696" s="45">
        <v>0.51</v>
      </c>
      <c r="K696" s="45">
        <v>43.0</v>
      </c>
      <c r="P696" s="141"/>
    </row>
    <row r="697">
      <c r="C697" s="133"/>
      <c r="H697" s="45">
        <v>41.0</v>
      </c>
      <c r="J697" s="45">
        <v>0.52</v>
      </c>
      <c r="K697" s="45">
        <v>39.0</v>
      </c>
      <c r="P697" s="141"/>
    </row>
    <row r="698">
      <c r="C698" s="133"/>
      <c r="H698" s="45">
        <v>41.0</v>
      </c>
      <c r="J698" s="45">
        <v>0.52</v>
      </c>
      <c r="K698" s="45">
        <v>48.0</v>
      </c>
      <c r="P698" s="141"/>
    </row>
    <row r="699">
      <c r="C699" s="133"/>
      <c r="H699" s="45">
        <v>39.0</v>
      </c>
      <c r="J699" s="45">
        <v>0.53</v>
      </c>
      <c r="K699" s="45">
        <v>38.0</v>
      </c>
      <c r="P699" s="141"/>
    </row>
    <row r="700">
      <c r="C700" s="133"/>
      <c r="H700" s="45">
        <v>40.0</v>
      </c>
      <c r="J700" s="45">
        <v>0.53</v>
      </c>
      <c r="K700" s="45">
        <v>50.0</v>
      </c>
      <c r="P700" s="141"/>
    </row>
    <row r="701">
      <c r="C701" s="133"/>
      <c r="H701" s="45">
        <v>50.0</v>
      </c>
      <c r="J701" s="45">
        <v>0.5</v>
      </c>
      <c r="K701" s="45">
        <v>44.0</v>
      </c>
      <c r="P701" s="141"/>
    </row>
    <row r="702">
      <c r="C702" s="133"/>
      <c r="H702" s="45">
        <v>46.0</v>
      </c>
      <c r="J702" s="45">
        <v>0.54</v>
      </c>
      <c r="K702" s="45">
        <v>43.0</v>
      </c>
      <c r="P702" s="141"/>
    </row>
    <row r="703">
      <c r="C703" s="133"/>
      <c r="H703" s="45">
        <v>47.0</v>
      </c>
      <c r="J703" s="45">
        <v>0.54</v>
      </c>
      <c r="K703" s="45">
        <v>45.0</v>
      </c>
      <c r="P703" s="141"/>
    </row>
    <row r="704">
      <c r="C704" s="133"/>
      <c r="H704" s="45">
        <v>48.0</v>
      </c>
      <c r="J704" s="45">
        <v>0.49</v>
      </c>
      <c r="K704" s="45">
        <v>45.0</v>
      </c>
      <c r="P704" s="141"/>
    </row>
    <row r="705">
      <c r="C705" s="133"/>
      <c r="H705" s="45">
        <v>44.0</v>
      </c>
      <c r="J705" s="45">
        <v>0.54</v>
      </c>
      <c r="K705" s="45">
        <v>45.0</v>
      </c>
      <c r="P705" s="141"/>
    </row>
    <row r="706">
      <c r="C706" s="133"/>
      <c r="H706" s="45">
        <v>45.0</v>
      </c>
      <c r="J706" s="45">
        <v>0.49</v>
      </c>
      <c r="K706" s="45">
        <v>37.0</v>
      </c>
      <c r="P706" s="141"/>
    </row>
    <row r="707">
      <c r="C707" s="133"/>
      <c r="H707" s="45">
        <v>45.0</v>
      </c>
      <c r="J707" s="45">
        <v>0.5</v>
      </c>
      <c r="K707" s="45">
        <v>39.0</v>
      </c>
      <c r="P707" s="141"/>
    </row>
    <row r="708">
      <c r="C708" s="133"/>
      <c r="H708" s="45">
        <v>39.0</v>
      </c>
      <c r="J708" s="45">
        <v>0.52</v>
      </c>
      <c r="K708" s="45">
        <v>41.0</v>
      </c>
      <c r="P708" s="141"/>
    </row>
    <row r="709">
      <c r="C709" s="133"/>
      <c r="H709" s="45">
        <v>41.0</v>
      </c>
      <c r="J709" s="45">
        <v>0.49</v>
      </c>
      <c r="K709" s="45">
        <v>39.0</v>
      </c>
      <c r="P709" s="141"/>
    </row>
    <row r="710">
      <c r="C710" s="133"/>
      <c r="H710" s="45">
        <v>39.0</v>
      </c>
      <c r="J710" s="45">
        <v>0.51</v>
      </c>
      <c r="K710" s="45">
        <v>42.0</v>
      </c>
      <c r="P710" s="141"/>
    </row>
    <row r="711">
      <c r="C711" s="133"/>
      <c r="H711" s="45">
        <v>43.0</v>
      </c>
      <c r="J711" s="45">
        <v>0.53</v>
      </c>
      <c r="K711" s="45">
        <v>44.0</v>
      </c>
      <c r="P711" s="141"/>
    </row>
    <row r="712">
      <c r="C712" s="133"/>
      <c r="H712" s="45">
        <v>46.0</v>
      </c>
      <c r="J712" s="45">
        <v>0.55</v>
      </c>
      <c r="K712" s="45">
        <v>46.0</v>
      </c>
      <c r="P712" s="141"/>
    </row>
    <row r="713">
      <c r="C713" s="133"/>
      <c r="H713" s="45">
        <v>41.0</v>
      </c>
      <c r="J713" s="45">
        <v>0.49</v>
      </c>
      <c r="K713" s="45">
        <v>44.0</v>
      </c>
      <c r="P713" s="141"/>
    </row>
    <row r="714">
      <c r="C714" s="133"/>
      <c r="H714" s="45">
        <v>44.0</v>
      </c>
      <c r="J714" s="45">
        <v>0.54</v>
      </c>
      <c r="K714" s="45">
        <v>43.0</v>
      </c>
      <c r="P714" s="141"/>
    </row>
    <row r="715">
      <c r="C715" s="133"/>
      <c r="H715" s="45">
        <v>51.0</v>
      </c>
      <c r="J715" s="45">
        <v>0.56</v>
      </c>
      <c r="K715" s="45">
        <v>42.0</v>
      </c>
      <c r="P715" s="141"/>
    </row>
    <row r="716">
      <c r="C716" s="133"/>
      <c r="H716" s="45">
        <v>50.0</v>
      </c>
      <c r="J716" s="45">
        <v>0.49</v>
      </c>
      <c r="K716" s="45">
        <v>45.0</v>
      </c>
      <c r="P716" s="141"/>
    </row>
    <row r="717">
      <c r="C717" s="133"/>
      <c r="H717" s="45">
        <v>48.0</v>
      </c>
      <c r="J717" s="45">
        <v>0.49</v>
      </c>
      <c r="K717" s="45">
        <v>43.0</v>
      </c>
      <c r="P717" s="141"/>
    </row>
    <row r="718">
      <c r="C718" s="133"/>
      <c r="H718" s="45">
        <v>45.0</v>
      </c>
      <c r="J718" s="45">
        <v>0.54</v>
      </c>
      <c r="K718" s="45">
        <v>41.0</v>
      </c>
      <c r="P718" s="141"/>
    </row>
    <row r="719">
      <c r="C719" s="133"/>
      <c r="H719" s="45">
        <v>45.0</v>
      </c>
      <c r="J719" s="45">
        <v>0.55</v>
      </c>
      <c r="K719" s="45">
        <v>39.0</v>
      </c>
      <c r="P719" s="141"/>
    </row>
    <row r="720">
      <c r="C720" s="133"/>
      <c r="H720" s="45">
        <v>42.0</v>
      </c>
      <c r="J720" s="45">
        <v>0.53</v>
      </c>
      <c r="K720" s="45">
        <v>40.0</v>
      </c>
      <c r="P720" s="141"/>
    </row>
    <row r="721">
      <c r="C721" s="133"/>
      <c r="H721" s="45">
        <v>40.0</v>
      </c>
      <c r="J721" s="45">
        <v>0.49</v>
      </c>
      <c r="K721" s="45">
        <v>38.0</v>
      </c>
      <c r="P721" s="141"/>
    </row>
    <row r="722">
      <c r="C722" s="133"/>
      <c r="H722" s="45">
        <v>39.0</v>
      </c>
      <c r="J722" s="45">
        <v>0.5</v>
      </c>
      <c r="K722" s="45">
        <v>41.0</v>
      </c>
      <c r="P722" s="141"/>
    </row>
    <row r="723">
      <c r="C723" s="133"/>
      <c r="H723" s="45">
        <v>39.0</v>
      </c>
      <c r="J723" s="45">
        <v>0.56</v>
      </c>
      <c r="K723" s="45">
        <v>41.0</v>
      </c>
      <c r="P723" s="141"/>
    </row>
    <row r="724">
      <c r="C724" s="133"/>
      <c r="H724" s="45">
        <v>40.0</v>
      </c>
      <c r="J724" s="45">
        <v>0.52</v>
      </c>
      <c r="K724" s="45">
        <v>42.0</v>
      </c>
      <c r="P724" s="141"/>
    </row>
    <row r="725">
      <c r="C725" s="133"/>
      <c r="H725" s="45">
        <v>48.0</v>
      </c>
      <c r="J725" s="45">
        <v>0.49</v>
      </c>
      <c r="K725" s="45">
        <v>47.0</v>
      </c>
      <c r="P725" s="141"/>
    </row>
    <row r="726">
      <c r="C726" s="133"/>
      <c r="H726" s="45">
        <v>45.0</v>
      </c>
      <c r="J726" s="45">
        <v>0.5</v>
      </c>
      <c r="K726" s="45">
        <v>43.0</v>
      </c>
      <c r="P726" s="141"/>
    </row>
    <row r="727">
      <c r="C727" s="133"/>
      <c r="H727" s="45">
        <v>48.0</v>
      </c>
      <c r="J727" s="45">
        <v>0.51</v>
      </c>
      <c r="K727" s="45">
        <v>46.0</v>
      </c>
      <c r="P727" s="141"/>
    </row>
    <row r="728">
      <c r="C728" s="133"/>
      <c r="H728" s="45">
        <v>42.0</v>
      </c>
      <c r="J728" s="45">
        <v>0.49</v>
      </c>
      <c r="K728" s="45">
        <v>44.0</v>
      </c>
      <c r="P728" s="141"/>
    </row>
    <row r="729">
      <c r="C729" s="133"/>
      <c r="H729" s="45">
        <v>48.0</v>
      </c>
      <c r="J729" s="45">
        <v>0.5</v>
      </c>
      <c r="K729" s="45">
        <v>41.0</v>
      </c>
      <c r="P729" s="141"/>
    </row>
    <row r="730">
      <c r="C730" s="133"/>
      <c r="H730" s="45">
        <v>45.0</v>
      </c>
      <c r="J730" s="45">
        <v>0.48</v>
      </c>
      <c r="K730" s="45">
        <v>45.0</v>
      </c>
      <c r="P730" s="141"/>
    </row>
    <row r="731">
      <c r="C731" s="133"/>
      <c r="H731" s="45">
        <v>47.0</v>
      </c>
      <c r="J731" s="45">
        <v>0.5</v>
      </c>
      <c r="K731" s="45">
        <v>42.0</v>
      </c>
      <c r="P731" s="141"/>
    </row>
    <row r="732">
      <c r="C732" s="133"/>
      <c r="H732" s="45">
        <v>44.0</v>
      </c>
      <c r="J732" s="45">
        <v>0.46</v>
      </c>
      <c r="K732" s="45">
        <v>40.0</v>
      </c>
      <c r="P732" s="141"/>
    </row>
    <row r="733">
      <c r="C733" s="133"/>
      <c r="H733" s="45">
        <v>47.0</v>
      </c>
      <c r="J733" s="45">
        <v>0.51</v>
      </c>
      <c r="K733" s="45">
        <v>39.0</v>
      </c>
      <c r="P733" s="141"/>
    </row>
    <row r="734">
      <c r="C734" s="133"/>
      <c r="H734" s="45">
        <v>48.0</v>
      </c>
      <c r="J734" s="45">
        <v>0.43</v>
      </c>
      <c r="K734" s="45">
        <v>44.0</v>
      </c>
      <c r="P734" s="141"/>
    </row>
    <row r="735">
      <c r="C735" s="133"/>
      <c r="H735" s="45">
        <v>45.0</v>
      </c>
      <c r="J735" s="45">
        <v>0.43</v>
      </c>
      <c r="K735" s="45">
        <v>41.0</v>
      </c>
      <c r="P735" s="141"/>
    </row>
    <row r="736">
      <c r="C736" s="133"/>
      <c r="H736" s="45">
        <v>45.0</v>
      </c>
      <c r="J736" s="45">
        <v>0.51</v>
      </c>
      <c r="K736" s="45">
        <v>47.0</v>
      </c>
      <c r="P736" s="141"/>
    </row>
    <row r="737">
      <c r="C737" s="133"/>
      <c r="H737" s="45">
        <v>47.0</v>
      </c>
      <c r="J737" s="45">
        <v>0.51</v>
      </c>
      <c r="K737" s="45">
        <v>42.0</v>
      </c>
      <c r="P737" s="141"/>
    </row>
    <row r="738">
      <c r="C738" s="133"/>
      <c r="H738" s="45">
        <v>50.0</v>
      </c>
      <c r="J738" s="45">
        <v>0.48</v>
      </c>
      <c r="K738" s="45">
        <v>40.0</v>
      </c>
      <c r="P738" s="141"/>
    </row>
    <row r="739">
      <c r="C739" s="133"/>
      <c r="H739" s="45">
        <v>43.0</v>
      </c>
      <c r="J739" s="45">
        <v>0.53</v>
      </c>
      <c r="K739" s="45">
        <v>46.0</v>
      </c>
      <c r="P739" s="141"/>
    </row>
    <row r="740">
      <c r="C740" s="133"/>
      <c r="H740" s="45">
        <v>47.0</v>
      </c>
      <c r="J740" s="45">
        <v>0.51</v>
      </c>
      <c r="K740" s="45">
        <v>48.0</v>
      </c>
      <c r="P740" s="141"/>
    </row>
    <row r="741">
      <c r="C741" s="133"/>
      <c r="H741" s="45">
        <v>50.0</v>
      </c>
      <c r="J741" s="45">
        <v>0.54</v>
      </c>
      <c r="K741" s="45">
        <v>44.0</v>
      </c>
      <c r="P741" s="141"/>
    </row>
    <row r="742">
      <c r="C742" s="133"/>
      <c r="H742" s="45">
        <v>48.0</v>
      </c>
      <c r="J742" s="45">
        <v>0.44</v>
      </c>
      <c r="K742" s="45">
        <v>44.0</v>
      </c>
      <c r="P742" s="141"/>
    </row>
    <row r="743">
      <c r="C743" s="133"/>
      <c r="H743" s="45">
        <v>46.0</v>
      </c>
      <c r="J743" s="45">
        <v>0.45</v>
      </c>
      <c r="K743" s="45">
        <v>50.0</v>
      </c>
      <c r="P743" s="141"/>
    </row>
    <row r="744">
      <c r="C744" s="133"/>
      <c r="H744" s="45">
        <v>44.0</v>
      </c>
      <c r="J744" s="45">
        <v>0.45</v>
      </c>
      <c r="K744" s="45">
        <v>39.0</v>
      </c>
      <c r="P744" s="141"/>
    </row>
    <row r="745">
      <c r="C745" s="133"/>
      <c r="H745" s="45">
        <v>44.0</v>
      </c>
      <c r="J745" s="45">
        <v>0.43</v>
      </c>
      <c r="K745" s="45">
        <v>36.0</v>
      </c>
      <c r="P745" s="141"/>
    </row>
    <row r="746">
      <c r="C746" s="133"/>
      <c r="H746" s="45">
        <v>44.0</v>
      </c>
      <c r="J746" s="45">
        <v>0.45</v>
      </c>
      <c r="K746" s="45">
        <v>46.0</v>
      </c>
      <c r="P746" s="141"/>
    </row>
    <row r="747">
      <c r="C747" s="133"/>
      <c r="H747" s="45">
        <v>46.0</v>
      </c>
      <c r="J747" s="45">
        <v>0.5</v>
      </c>
      <c r="K747" s="45">
        <v>46.0</v>
      </c>
      <c r="P747" s="141"/>
    </row>
    <row r="748">
      <c r="C748" s="133"/>
      <c r="H748" s="45">
        <v>47.0</v>
      </c>
      <c r="J748" s="45">
        <v>0.46</v>
      </c>
      <c r="K748" s="45">
        <v>42.0</v>
      </c>
      <c r="P748" s="141"/>
    </row>
    <row r="749">
      <c r="C749" s="133"/>
      <c r="H749" s="45">
        <v>47.0</v>
      </c>
      <c r="J749" s="45">
        <v>0.56</v>
      </c>
      <c r="K749" s="45">
        <v>41.0</v>
      </c>
      <c r="P749" s="141"/>
    </row>
    <row r="750">
      <c r="C750" s="133"/>
      <c r="H750" s="45">
        <v>48.0</v>
      </c>
      <c r="J750" s="45">
        <v>0.5</v>
      </c>
      <c r="K750" s="45">
        <v>44.0</v>
      </c>
      <c r="P750" s="141"/>
    </row>
    <row r="751">
      <c r="C751" s="133"/>
      <c r="H751" s="45">
        <v>49.0</v>
      </c>
      <c r="J751" s="45">
        <v>0.51</v>
      </c>
      <c r="K751" s="45">
        <v>45.0</v>
      </c>
      <c r="P751" s="141"/>
    </row>
    <row r="752">
      <c r="C752" s="133"/>
      <c r="H752" s="45">
        <v>48.0</v>
      </c>
      <c r="J752" s="45">
        <v>0.46</v>
      </c>
      <c r="K752" s="45">
        <v>40.0</v>
      </c>
      <c r="P752" s="141"/>
    </row>
    <row r="753">
      <c r="C753" s="133"/>
      <c r="H753" s="45">
        <v>50.0</v>
      </c>
      <c r="J753" s="45">
        <v>0.51</v>
      </c>
      <c r="K753" s="45">
        <v>40.0</v>
      </c>
      <c r="P753" s="141"/>
    </row>
    <row r="754">
      <c r="C754" s="133"/>
      <c r="H754" s="45">
        <v>40.0</v>
      </c>
      <c r="J754" s="45">
        <v>0.48</v>
      </c>
      <c r="K754" s="45">
        <v>43.0</v>
      </c>
      <c r="P754" s="141"/>
    </row>
    <row r="755">
      <c r="C755" s="133"/>
      <c r="H755" s="45">
        <v>47.0</v>
      </c>
      <c r="J755" s="45">
        <v>0.45</v>
      </c>
      <c r="K755" s="45">
        <v>43.0</v>
      </c>
      <c r="P755" s="141"/>
    </row>
    <row r="756">
      <c r="C756" s="133"/>
      <c r="H756" s="45">
        <v>43.0</v>
      </c>
      <c r="J756" s="45">
        <v>0.47</v>
      </c>
      <c r="K756" s="45">
        <v>49.0</v>
      </c>
      <c r="P756" s="141"/>
    </row>
    <row r="757">
      <c r="C757" s="133"/>
      <c r="H757" s="45">
        <v>48.0</v>
      </c>
      <c r="J757" s="45">
        <v>0.51</v>
      </c>
      <c r="K757" s="45">
        <v>41.0</v>
      </c>
      <c r="P757" s="141"/>
    </row>
    <row r="758">
      <c r="C758" s="133"/>
      <c r="H758" s="45">
        <v>49.0</v>
      </c>
      <c r="J758" s="45">
        <v>0.46</v>
      </c>
      <c r="K758" s="45">
        <v>42.0</v>
      </c>
      <c r="P758" s="141"/>
    </row>
    <row r="759">
      <c r="C759" s="133"/>
      <c r="H759" s="45">
        <v>45.0</v>
      </c>
      <c r="J759" s="45">
        <v>0.55</v>
      </c>
      <c r="K759" s="45">
        <v>45.0</v>
      </c>
      <c r="P759" s="141"/>
    </row>
    <row r="760">
      <c r="C760" s="133"/>
      <c r="H760" s="45">
        <v>45.0</v>
      </c>
      <c r="J760" s="45">
        <v>0.44</v>
      </c>
      <c r="K760" s="45">
        <v>39.0</v>
      </c>
      <c r="P760" s="141"/>
    </row>
    <row r="761">
      <c r="C761" s="133"/>
      <c r="H761" s="45">
        <v>51.0</v>
      </c>
      <c r="J761" s="45">
        <v>0.52</v>
      </c>
      <c r="K761" s="45">
        <v>40.0</v>
      </c>
      <c r="P761" s="141"/>
    </row>
    <row r="762">
      <c r="C762" s="133"/>
      <c r="H762" s="45">
        <v>52.0</v>
      </c>
      <c r="J762" s="45">
        <v>0.51</v>
      </c>
      <c r="K762" s="45">
        <v>45.0</v>
      </c>
      <c r="P762" s="141"/>
    </row>
    <row r="763">
      <c r="C763" s="133"/>
      <c r="H763" s="45">
        <v>39.0</v>
      </c>
      <c r="J763" s="45">
        <v>0.52</v>
      </c>
      <c r="K763" s="45">
        <v>43.0</v>
      </c>
      <c r="P763" s="141"/>
    </row>
    <row r="764">
      <c r="C764" s="133"/>
      <c r="H764" s="45">
        <v>45.0</v>
      </c>
      <c r="J764" s="45">
        <v>0.52</v>
      </c>
      <c r="K764" s="45">
        <v>44.0</v>
      </c>
      <c r="P764" s="141"/>
    </row>
    <row r="765">
      <c r="C765" s="133"/>
      <c r="H765" s="45">
        <v>44.0</v>
      </c>
      <c r="J765" s="45">
        <v>0.53</v>
      </c>
      <c r="K765" s="45">
        <v>44.0</v>
      </c>
      <c r="P765" s="141"/>
    </row>
    <row r="766">
      <c r="C766" s="133"/>
      <c r="H766" s="45">
        <v>47.0</v>
      </c>
      <c r="J766" s="45">
        <v>0.43</v>
      </c>
      <c r="K766" s="45">
        <v>42.0</v>
      </c>
      <c r="P766" s="141"/>
    </row>
    <row r="767">
      <c r="C767" s="133"/>
      <c r="H767" s="45">
        <v>46.0</v>
      </c>
      <c r="J767" s="45">
        <v>0.45</v>
      </c>
      <c r="K767" s="45">
        <v>40.0</v>
      </c>
      <c r="P767" s="141"/>
    </row>
    <row r="768">
      <c r="C768" s="133"/>
      <c r="H768" s="45">
        <v>46.0</v>
      </c>
      <c r="J768" s="45">
        <v>0.44</v>
      </c>
      <c r="K768" s="45">
        <v>43.0</v>
      </c>
      <c r="P768" s="141"/>
    </row>
    <row r="769">
      <c r="C769" s="133"/>
      <c r="H769" s="45">
        <v>46.0</v>
      </c>
      <c r="J769" s="45">
        <v>0.43</v>
      </c>
      <c r="K769" s="45">
        <v>44.0</v>
      </c>
      <c r="P769" s="141"/>
    </row>
    <row r="770">
      <c r="C770" s="133"/>
      <c r="H770" s="45">
        <v>45.0</v>
      </c>
      <c r="J770" s="45">
        <v>0.44</v>
      </c>
      <c r="K770" s="45">
        <v>40.0</v>
      </c>
      <c r="P770" s="141"/>
    </row>
    <row r="771">
      <c r="C771" s="133"/>
      <c r="H771" s="45">
        <v>40.0</v>
      </c>
      <c r="J771" s="45">
        <v>0.41</v>
      </c>
      <c r="K771" s="45">
        <v>40.0</v>
      </c>
      <c r="P771" s="141"/>
    </row>
    <row r="772">
      <c r="C772" s="133"/>
      <c r="H772" s="45">
        <v>46.0</v>
      </c>
      <c r="J772" s="45">
        <v>0.46</v>
      </c>
      <c r="K772" s="45">
        <v>44.0</v>
      </c>
      <c r="P772" s="141"/>
    </row>
    <row r="773">
      <c r="C773" s="133"/>
      <c r="H773" s="45">
        <v>42.0</v>
      </c>
      <c r="J773" s="45">
        <v>0.47</v>
      </c>
      <c r="K773" s="45">
        <v>43.0</v>
      </c>
      <c r="P773" s="141"/>
    </row>
    <row r="774">
      <c r="C774" s="133"/>
      <c r="H774" s="45">
        <v>42.0</v>
      </c>
      <c r="J774" s="45">
        <v>0.43</v>
      </c>
      <c r="K774" s="45">
        <v>51.0</v>
      </c>
      <c r="P774" s="141"/>
    </row>
    <row r="775">
      <c r="C775" s="133"/>
      <c r="H775" s="45">
        <v>40.0</v>
      </c>
      <c r="J775" s="45">
        <v>0.47</v>
      </c>
      <c r="K775" s="45">
        <v>48.0</v>
      </c>
      <c r="P775" s="141"/>
    </row>
    <row r="776">
      <c r="C776" s="133"/>
      <c r="H776" s="45">
        <v>44.0</v>
      </c>
      <c r="J776" s="45">
        <v>0.49</v>
      </c>
      <c r="K776" s="45">
        <v>43.0</v>
      </c>
      <c r="P776" s="141"/>
    </row>
    <row r="777">
      <c r="C777" s="133"/>
      <c r="H777" s="45">
        <v>42.0</v>
      </c>
      <c r="J777" s="45">
        <v>0.46</v>
      </c>
      <c r="K777" s="45">
        <v>42.0</v>
      </c>
      <c r="P777" s="141"/>
    </row>
    <row r="778">
      <c r="C778" s="133"/>
      <c r="H778" s="45">
        <v>41.0</v>
      </c>
      <c r="J778" s="45">
        <v>0.4</v>
      </c>
      <c r="K778" s="45">
        <v>42.0</v>
      </c>
      <c r="P778" s="141"/>
    </row>
    <row r="779">
      <c r="C779" s="133"/>
      <c r="H779" s="45">
        <v>43.0</v>
      </c>
      <c r="J779" s="45">
        <v>0.49</v>
      </c>
      <c r="K779" s="45">
        <v>42.0</v>
      </c>
      <c r="P779" s="141"/>
    </row>
    <row r="780">
      <c r="C780" s="133"/>
      <c r="H780" s="45">
        <v>41.0</v>
      </c>
      <c r="J780" s="45">
        <v>0.47</v>
      </c>
      <c r="K780" s="45">
        <v>44.0</v>
      </c>
      <c r="P780" s="141"/>
    </row>
    <row r="781">
      <c r="C781" s="133"/>
      <c r="H781" s="45">
        <v>42.0</v>
      </c>
      <c r="J781" s="45">
        <v>0.46</v>
      </c>
      <c r="K781" s="45">
        <v>42.0</v>
      </c>
      <c r="P781" s="141"/>
    </row>
    <row r="782">
      <c r="C782" s="133"/>
      <c r="H782" s="45">
        <v>40.0</v>
      </c>
      <c r="J782" s="45">
        <v>0.48</v>
      </c>
      <c r="K782" s="45">
        <v>45.0</v>
      </c>
      <c r="P782" s="141"/>
    </row>
    <row r="783">
      <c r="C783" s="133"/>
      <c r="H783" s="45">
        <v>39.0</v>
      </c>
      <c r="J783" s="45">
        <v>0.46</v>
      </c>
      <c r="K783" s="45">
        <v>44.0</v>
      </c>
      <c r="P783" s="141"/>
    </row>
    <row r="784">
      <c r="C784" s="133"/>
      <c r="H784" s="45">
        <v>44.0</v>
      </c>
      <c r="J784" s="45">
        <v>0.38</v>
      </c>
      <c r="K784" s="45">
        <v>42.0</v>
      </c>
      <c r="P784" s="141"/>
    </row>
    <row r="785">
      <c r="C785" s="133"/>
      <c r="H785" s="45">
        <v>46.0</v>
      </c>
      <c r="J785" s="45">
        <v>0.48</v>
      </c>
      <c r="K785" s="45">
        <v>40.0</v>
      </c>
      <c r="P785" s="141"/>
    </row>
    <row r="786">
      <c r="C786" s="133"/>
      <c r="H786" s="45">
        <v>42.0</v>
      </c>
      <c r="J786" s="45">
        <v>0.43</v>
      </c>
      <c r="K786" s="45">
        <v>42.0</v>
      </c>
      <c r="P786" s="141"/>
    </row>
    <row r="787">
      <c r="C787" s="133"/>
      <c r="H787" s="45">
        <v>44.0</v>
      </c>
      <c r="J787" s="45">
        <v>0.49</v>
      </c>
      <c r="K787" s="45">
        <v>43.0</v>
      </c>
      <c r="P787" s="141"/>
    </row>
    <row r="788">
      <c r="C788" s="133"/>
      <c r="H788" s="45">
        <v>42.0</v>
      </c>
      <c r="J788" s="45">
        <v>0.45</v>
      </c>
      <c r="K788" s="45">
        <v>44.0</v>
      </c>
      <c r="P788" s="141"/>
    </row>
    <row r="789">
      <c r="C789" s="133"/>
      <c r="H789" s="45">
        <v>42.0</v>
      </c>
      <c r="J789" s="45">
        <v>0.49</v>
      </c>
      <c r="K789" s="45">
        <v>43.0</v>
      </c>
      <c r="P789" s="141"/>
    </row>
    <row r="790">
      <c r="C790" s="133"/>
      <c r="H790" s="45">
        <v>44.0</v>
      </c>
      <c r="J790" s="45">
        <v>0.44</v>
      </c>
      <c r="K790" s="45">
        <v>42.0</v>
      </c>
      <c r="P790" s="141"/>
    </row>
    <row r="791">
      <c r="C791" s="133"/>
      <c r="H791" s="45">
        <v>42.0</v>
      </c>
      <c r="J791" s="45">
        <v>0.45</v>
      </c>
      <c r="K791" s="45">
        <v>42.0</v>
      </c>
      <c r="P791" s="141"/>
    </row>
    <row r="792">
      <c r="C792" s="133"/>
      <c r="H792" s="45">
        <v>43.0</v>
      </c>
      <c r="J792" s="45">
        <v>0.46</v>
      </c>
      <c r="K792" s="45">
        <v>40.0</v>
      </c>
      <c r="P792" s="141"/>
    </row>
    <row r="793">
      <c r="C793" s="133"/>
      <c r="H793" s="45">
        <v>41.0</v>
      </c>
      <c r="J793" s="45">
        <v>0.48</v>
      </c>
      <c r="K793" s="45">
        <v>43.0</v>
      </c>
      <c r="P793" s="141"/>
    </row>
    <row r="794">
      <c r="C794" s="133"/>
      <c r="H794" s="45">
        <v>38.0</v>
      </c>
      <c r="J794" s="45">
        <v>0.43</v>
      </c>
      <c r="K794" s="45">
        <v>46.0</v>
      </c>
      <c r="P794" s="141"/>
    </row>
    <row r="795">
      <c r="C795" s="133"/>
      <c r="H795" s="45">
        <v>41.0</v>
      </c>
      <c r="J795" s="45">
        <v>0.45</v>
      </c>
      <c r="K795" s="45">
        <v>45.0</v>
      </c>
      <c r="P795" s="141"/>
    </row>
    <row r="796">
      <c r="C796" s="133"/>
      <c r="H796" s="45">
        <v>46.0</v>
      </c>
      <c r="J796" s="45">
        <v>0.46</v>
      </c>
      <c r="K796" s="45">
        <v>45.0</v>
      </c>
      <c r="P796" s="141"/>
    </row>
    <row r="797">
      <c r="C797" s="133"/>
      <c r="H797" s="45">
        <v>49.0</v>
      </c>
      <c r="J797" s="45">
        <v>0.45</v>
      </c>
      <c r="K797" s="45">
        <v>43.0</v>
      </c>
      <c r="P797" s="141"/>
    </row>
    <row r="798">
      <c r="C798" s="133"/>
      <c r="H798" s="45">
        <v>43.0</v>
      </c>
      <c r="J798" s="45">
        <v>0.44</v>
      </c>
      <c r="K798" s="45">
        <v>49.0</v>
      </c>
      <c r="P798" s="141"/>
    </row>
    <row r="799">
      <c r="C799" s="133"/>
      <c r="H799" s="45">
        <v>44.0</v>
      </c>
      <c r="J799" s="45">
        <v>0.45</v>
      </c>
      <c r="K799" s="45">
        <v>43.0</v>
      </c>
      <c r="P799" s="141"/>
    </row>
    <row r="800">
      <c r="C800" s="133"/>
      <c r="H800" s="45">
        <v>50.0</v>
      </c>
      <c r="J800" s="45">
        <v>0.46</v>
      </c>
      <c r="K800" s="45">
        <v>39.0</v>
      </c>
      <c r="P800" s="141"/>
    </row>
    <row r="801">
      <c r="C801" s="133"/>
      <c r="H801" s="45">
        <v>47.0</v>
      </c>
      <c r="J801" s="45">
        <v>0.48</v>
      </c>
      <c r="K801" s="45">
        <v>44.0</v>
      </c>
      <c r="P801" s="141"/>
    </row>
    <row r="802">
      <c r="C802" s="133"/>
      <c r="H802" s="45">
        <v>42.0</v>
      </c>
      <c r="J802" s="45">
        <v>0.45</v>
      </c>
      <c r="K802" s="45">
        <v>41.0</v>
      </c>
      <c r="P802" s="141"/>
    </row>
    <row r="803">
      <c r="C803" s="133"/>
      <c r="H803" s="45">
        <v>48.0</v>
      </c>
      <c r="J803" s="45">
        <v>0.46</v>
      </c>
      <c r="K803" s="45">
        <v>49.0</v>
      </c>
      <c r="P803" s="141"/>
    </row>
    <row r="804">
      <c r="C804" s="133"/>
      <c r="H804" s="45">
        <v>46.0</v>
      </c>
      <c r="J804" s="45">
        <v>0.44</v>
      </c>
      <c r="K804" s="45">
        <v>44.0</v>
      </c>
      <c r="P804" s="141"/>
    </row>
    <row r="805">
      <c r="C805" s="133"/>
      <c r="H805" s="45">
        <v>47.0</v>
      </c>
      <c r="J805" s="45">
        <v>0.46</v>
      </c>
      <c r="K805" s="45">
        <v>40.0</v>
      </c>
      <c r="P805" s="141"/>
    </row>
    <row r="806">
      <c r="C806" s="133"/>
      <c r="H806" s="45">
        <v>42.0</v>
      </c>
      <c r="J806" s="45">
        <v>0.47</v>
      </c>
      <c r="K806" s="45">
        <v>47.0</v>
      </c>
      <c r="P806" s="141"/>
    </row>
    <row r="807">
      <c r="C807" s="133"/>
      <c r="H807" s="45">
        <v>42.0</v>
      </c>
      <c r="J807" s="45">
        <v>0.48</v>
      </c>
      <c r="K807" s="45">
        <v>48.0</v>
      </c>
      <c r="P807" s="141"/>
    </row>
    <row r="808">
      <c r="C808" s="133"/>
      <c r="H808" s="45">
        <v>49.0</v>
      </c>
      <c r="J808" s="45">
        <v>0.46</v>
      </c>
      <c r="K808" s="45">
        <v>47.0</v>
      </c>
      <c r="P808" s="141"/>
    </row>
    <row r="809">
      <c r="C809" s="133"/>
      <c r="H809" s="45">
        <v>50.0</v>
      </c>
      <c r="J809" s="45">
        <v>0.45</v>
      </c>
      <c r="K809" s="45">
        <v>41.0</v>
      </c>
      <c r="P809" s="141"/>
    </row>
    <row r="810">
      <c r="C810" s="133"/>
      <c r="H810" s="45">
        <v>45.0</v>
      </c>
      <c r="J810" s="45">
        <v>0.45</v>
      </c>
      <c r="K810" s="45">
        <v>42.0</v>
      </c>
      <c r="P810" s="141"/>
    </row>
    <row r="811">
      <c r="C811" s="133"/>
      <c r="H811" s="45">
        <v>40.0</v>
      </c>
      <c r="J811" s="45">
        <v>0.42</v>
      </c>
      <c r="K811" s="45">
        <v>46.0</v>
      </c>
      <c r="P811" s="141"/>
    </row>
    <row r="812">
      <c r="C812" s="133"/>
      <c r="H812" s="45">
        <v>49.0</v>
      </c>
      <c r="J812" s="45">
        <v>0.44</v>
      </c>
      <c r="K812" s="45">
        <v>48.0</v>
      </c>
      <c r="P812" s="141"/>
    </row>
    <row r="813">
      <c r="C813" s="133"/>
      <c r="H813" s="45">
        <v>49.0</v>
      </c>
      <c r="J813" s="45">
        <v>0.45</v>
      </c>
      <c r="K813" s="45">
        <v>38.0</v>
      </c>
      <c r="P813" s="141"/>
    </row>
    <row r="814">
      <c r="C814" s="133"/>
      <c r="H814" s="45">
        <v>45.0</v>
      </c>
      <c r="J814" s="45">
        <v>0.42</v>
      </c>
      <c r="K814" s="45">
        <v>47.0</v>
      </c>
      <c r="P814" s="141"/>
    </row>
    <row r="815">
      <c r="C815" s="133"/>
      <c r="H815" s="45">
        <v>46.0</v>
      </c>
      <c r="J815" s="45">
        <v>0.47</v>
      </c>
      <c r="K815" s="45">
        <v>42.0</v>
      </c>
      <c r="P815" s="141"/>
    </row>
    <row r="816">
      <c r="C816" s="133"/>
      <c r="H816" s="45">
        <v>49.0</v>
      </c>
      <c r="J816" s="45">
        <v>0.46</v>
      </c>
      <c r="K816" s="45">
        <v>40.0</v>
      </c>
      <c r="P816" s="141"/>
    </row>
    <row r="817">
      <c r="C817" s="133"/>
      <c r="H817" s="45">
        <v>49.0</v>
      </c>
      <c r="J817" s="45">
        <v>0.47</v>
      </c>
      <c r="K817" s="45">
        <v>39.0</v>
      </c>
      <c r="P817" s="141"/>
    </row>
    <row r="818">
      <c r="C818" s="133"/>
      <c r="H818" s="45">
        <v>44.0</v>
      </c>
      <c r="J818" s="45">
        <v>0.49</v>
      </c>
      <c r="K818" s="45">
        <v>47.0</v>
      </c>
      <c r="P818" s="141"/>
    </row>
    <row r="819">
      <c r="C819" s="133"/>
      <c r="H819" s="45">
        <v>46.0</v>
      </c>
      <c r="J819" s="45">
        <v>0.47</v>
      </c>
      <c r="K819" s="45">
        <v>47.0</v>
      </c>
      <c r="P819" s="141"/>
    </row>
    <row r="820">
      <c r="C820" s="133"/>
      <c r="H820" s="45">
        <v>47.0</v>
      </c>
      <c r="J820" s="45">
        <v>0.47</v>
      </c>
      <c r="K820" s="45">
        <v>44.0</v>
      </c>
      <c r="P820" s="141"/>
    </row>
    <row r="821">
      <c r="C821" s="133"/>
      <c r="H821" s="45">
        <v>51.0</v>
      </c>
      <c r="J821" s="45">
        <v>0.44</v>
      </c>
      <c r="K821" s="45">
        <v>41.0</v>
      </c>
      <c r="P821" s="141"/>
    </row>
    <row r="822">
      <c r="C822" s="133"/>
      <c r="H822" s="45">
        <v>44.0</v>
      </c>
      <c r="J822" s="45">
        <v>0.48</v>
      </c>
      <c r="K822" s="45">
        <v>50.0</v>
      </c>
      <c r="P822" s="141"/>
    </row>
    <row r="823">
      <c r="C823" s="133"/>
      <c r="H823" s="45">
        <v>41.0</v>
      </c>
      <c r="J823" s="45">
        <v>0.43</v>
      </c>
      <c r="K823" s="45">
        <v>46.0</v>
      </c>
      <c r="P823" s="141"/>
    </row>
    <row r="824">
      <c r="C824" s="133"/>
      <c r="H824" s="45">
        <v>52.0</v>
      </c>
      <c r="J824" s="45">
        <v>0.47</v>
      </c>
      <c r="K824" s="45">
        <v>47.0</v>
      </c>
      <c r="P824" s="141"/>
    </row>
    <row r="825">
      <c r="C825" s="133"/>
      <c r="H825" s="45">
        <v>48.0</v>
      </c>
      <c r="J825" s="45">
        <v>0.47</v>
      </c>
      <c r="K825" s="45">
        <v>39.0</v>
      </c>
      <c r="P825" s="141"/>
    </row>
    <row r="826">
      <c r="C826" s="133"/>
      <c r="H826" s="45">
        <v>47.0</v>
      </c>
      <c r="J826" s="45">
        <v>0.49</v>
      </c>
      <c r="K826" s="45">
        <v>47.0</v>
      </c>
      <c r="P826" s="141"/>
    </row>
    <row r="827">
      <c r="C827" s="133"/>
      <c r="H827" s="45">
        <v>45.0</v>
      </c>
      <c r="J827" s="45">
        <v>0.5</v>
      </c>
      <c r="K827" s="45">
        <v>43.0</v>
      </c>
      <c r="P827" s="141"/>
    </row>
    <row r="828">
      <c r="C828" s="133"/>
      <c r="H828" s="45">
        <v>46.0</v>
      </c>
      <c r="J828" s="45">
        <v>0.46</v>
      </c>
      <c r="K828" s="45">
        <v>46.0</v>
      </c>
      <c r="P828" s="141"/>
    </row>
    <row r="829">
      <c r="C829" s="133"/>
      <c r="H829" s="45">
        <v>46.0</v>
      </c>
      <c r="J829" s="45">
        <v>0.49</v>
      </c>
      <c r="K829" s="45">
        <v>43.0</v>
      </c>
      <c r="P829" s="141"/>
    </row>
    <row r="830">
      <c r="C830" s="133"/>
      <c r="H830" s="45">
        <v>44.0</v>
      </c>
      <c r="J830" s="45">
        <v>0.47</v>
      </c>
      <c r="K830" s="45">
        <v>51.0</v>
      </c>
      <c r="P830" s="141"/>
    </row>
    <row r="831">
      <c r="C831" s="133"/>
      <c r="H831" s="45">
        <v>45.0</v>
      </c>
      <c r="J831" s="45">
        <v>0.47</v>
      </c>
      <c r="K831" s="45">
        <v>47.0</v>
      </c>
      <c r="P831" s="141"/>
    </row>
    <row r="832">
      <c r="C832" s="133"/>
      <c r="H832" s="45">
        <v>48.0</v>
      </c>
      <c r="J832" s="45">
        <v>0.46</v>
      </c>
      <c r="K832" s="45">
        <v>42.0</v>
      </c>
      <c r="P832" s="141"/>
    </row>
    <row r="833">
      <c r="C833" s="133"/>
      <c r="H833" s="45">
        <v>49.0</v>
      </c>
      <c r="J833" s="45">
        <v>0.48</v>
      </c>
      <c r="K833" s="45">
        <v>38.0</v>
      </c>
      <c r="P833" s="141"/>
    </row>
    <row r="834">
      <c r="C834" s="133"/>
      <c r="H834" s="45">
        <v>53.0</v>
      </c>
      <c r="J834" s="45">
        <v>0.46</v>
      </c>
      <c r="K834" s="45">
        <v>47.0</v>
      </c>
      <c r="P834" s="141"/>
    </row>
    <row r="835">
      <c r="C835" s="133"/>
      <c r="H835" s="45">
        <v>41.0</v>
      </c>
      <c r="J835" s="45">
        <v>0.5</v>
      </c>
      <c r="K835" s="45">
        <v>43.0</v>
      </c>
      <c r="P835" s="141"/>
    </row>
    <row r="836">
      <c r="C836" s="133"/>
      <c r="H836" s="45">
        <v>48.0</v>
      </c>
      <c r="J836" s="45">
        <v>0.48</v>
      </c>
      <c r="K836" s="45">
        <v>47.0</v>
      </c>
      <c r="P836" s="141"/>
    </row>
    <row r="837">
      <c r="C837" s="133"/>
      <c r="H837" s="45">
        <v>47.0</v>
      </c>
      <c r="J837" s="45">
        <v>0.46</v>
      </c>
      <c r="K837" s="45">
        <v>44.0</v>
      </c>
      <c r="P837" s="141"/>
    </row>
    <row r="838">
      <c r="C838" s="133"/>
      <c r="H838" s="45">
        <v>45.0</v>
      </c>
      <c r="J838" s="45">
        <v>0.46</v>
      </c>
      <c r="K838" s="45">
        <v>43.0</v>
      </c>
      <c r="P838" s="141"/>
    </row>
    <row r="839">
      <c r="C839" s="133"/>
      <c r="H839" s="45">
        <v>42.0</v>
      </c>
      <c r="J839" s="45">
        <v>0.47</v>
      </c>
      <c r="K839" s="45">
        <v>43.0</v>
      </c>
      <c r="P839" s="141"/>
    </row>
    <row r="840">
      <c r="C840" s="133"/>
      <c r="H840" s="45">
        <v>41.0</v>
      </c>
      <c r="J840" s="45">
        <v>0.48</v>
      </c>
      <c r="K840" s="45">
        <v>40.0</v>
      </c>
      <c r="P840" s="141"/>
    </row>
    <row r="841">
      <c r="C841" s="133"/>
      <c r="H841" s="45">
        <v>40.0</v>
      </c>
      <c r="J841" s="45">
        <v>0.5</v>
      </c>
      <c r="K841" s="45">
        <v>40.0</v>
      </c>
      <c r="P841" s="141"/>
    </row>
    <row r="842">
      <c r="C842" s="133"/>
      <c r="H842" s="45">
        <v>41.0</v>
      </c>
      <c r="J842" s="45">
        <v>0.51</v>
      </c>
      <c r="K842" s="45">
        <v>44.0</v>
      </c>
      <c r="P842" s="141"/>
    </row>
    <row r="843">
      <c r="C843" s="133"/>
      <c r="H843" s="45">
        <v>44.0</v>
      </c>
      <c r="J843" s="45">
        <v>0.48</v>
      </c>
      <c r="K843" s="45">
        <v>47.0</v>
      </c>
      <c r="P843" s="141"/>
    </row>
    <row r="844">
      <c r="C844" s="133"/>
      <c r="H844" s="45">
        <v>43.0</v>
      </c>
      <c r="J844" s="45">
        <v>0.49</v>
      </c>
      <c r="K844" s="45">
        <v>40.0</v>
      </c>
      <c r="P844" s="141"/>
    </row>
    <row r="845">
      <c r="C845" s="133"/>
      <c r="H845" s="45">
        <v>42.0</v>
      </c>
      <c r="J845" s="45">
        <v>0.49</v>
      </c>
      <c r="K845" s="45">
        <v>40.0</v>
      </c>
      <c r="P845" s="141"/>
    </row>
    <row r="846">
      <c r="C846" s="133"/>
      <c r="H846" s="45">
        <v>44.0</v>
      </c>
      <c r="J846" s="45">
        <v>0.48</v>
      </c>
      <c r="K846" s="45">
        <v>45.0</v>
      </c>
      <c r="P846" s="141"/>
    </row>
    <row r="847">
      <c r="C847" s="133"/>
      <c r="H847" s="45">
        <v>41.0</v>
      </c>
      <c r="J847" s="45">
        <v>0.48</v>
      </c>
      <c r="K847" s="45">
        <v>42.0</v>
      </c>
      <c r="P847" s="141"/>
    </row>
    <row r="848">
      <c r="C848" s="133"/>
      <c r="H848" s="45">
        <v>49.0</v>
      </c>
      <c r="J848" s="45">
        <v>0.49</v>
      </c>
      <c r="K848" s="45">
        <v>43.0</v>
      </c>
      <c r="P848" s="141"/>
    </row>
    <row r="849">
      <c r="C849" s="133"/>
      <c r="H849" s="45">
        <v>45.0</v>
      </c>
      <c r="J849" s="45">
        <v>0.47</v>
      </c>
      <c r="K849" s="45">
        <v>44.0</v>
      </c>
      <c r="P849" s="141"/>
    </row>
    <row r="850">
      <c r="C850" s="133"/>
      <c r="H850" s="45">
        <v>46.0</v>
      </c>
      <c r="J850" s="45">
        <v>0.51</v>
      </c>
      <c r="K850" s="45">
        <v>44.0</v>
      </c>
      <c r="P850" s="141"/>
    </row>
    <row r="851">
      <c r="C851" s="133"/>
      <c r="H851" s="45">
        <v>43.0</v>
      </c>
      <c r="J851" s="45">
        <v>0.49</v>
      </c>
      <c r="K851" s="45">
        <v>43.0</v>
      </c>
      <c r="P851" s="141"/>
    </row>
    <row r="852">
      <c r="C852" s="133"/>
      <c r="H852" s="45">
        <v>47.0</v>
      </c>
      <c r="J852" s="45">
        <v>0.48</v>
      </c>
      <c r="K852" s="45">
        <v>41.0</v>
      </c>
      <c r="P852" s="141"/>
    </row>
    <row r="853">
      <c r="C853" s="133"/>
      <c r="H853" s="45">
        <v>44.0</v>
      </c>
      <c r="J853" s="45">
        <v>0.46</v>
      </c>
      <c r="K853" s="45">
        <v>43.0</v>
      </c>
      <c r="P853" s="141"/>
    </row>
    <row r="854">
      <c r="C854" s="133"/>
      <c r="H854" s="45">
        <v>46.0</v>
      </c>
      <c r="J854" s="45">
        <v>0.48</v>
      </c>
      <c r="K854" s="45">
        <v>43.0</v>
      </c>
      <c r="P854" s="141"/>
    </row>
    <row r="855">
      <c r="C855" s="133"/>
      <c r="H855" s="45">
        <v>41.0</v>
      </c>
      <c r="J855" s="45">
        <v>0.48</v>
      </c>
      <c r="K855" s="45">
        <v>42.0</v>
      </c>
      <c r="P855" s="141"/>
    </row>
    <row r="856">
      <c r="C856" s="133"/>
      <c r="H856" s="45">
        <v>40.0</v>
      </c>
      <c r="J856" s="45">
        <v>0.45</v>
      </c>
      <c r="K856" s="45">
        <v>41.0</v>
      </c>
      <c r="P856" s="141"/>
    </row>
    <row r="857">
      <c r="C857" s="133"/>
      <c r="H857" s="45">
        <v>47.0</v>
      </c>
      <c r="J857" s="45">
        <v>0.48</v>
      </c>
      <c r="K857" s="45">
        <v>40.0</v>
      </c>
      <c r="P857" s="141"/>
    </row>
    <row r="858">
      <c r="C858" s="133"/>
      <c r="H858" s="45">
        <v>45.0</v>
      </c>
      <c r="J858" s="45">
        <v>0.45</v>
      </c>
      <c r="K858" s="45">
        <v>44.0</v>
      </c>
      <c r="P858" s="141"/>
    </row>
    <row r="859">
      <c r="C859" s="133"/>
      <c r="H859" s="45">
        <v>38.0</v>
      </c>
      <c r="J859" s="45">
        <v>0.47</v>
      </c>
      <c r="K859" s="45">
        <v>47.0</v>
      </c>
      <c r="P859" s="141"/>
    </row>
    <row r="860">
      <c r="C860" s="133"/>
      <c r="H860" s="45">
        <v>51.0</v>
      </c>
      <c r="J860" s="45">
        <v>0.49</v>
      </c>
      <c r="K860" s="45">
        <v>43.0</v>
      </c>
      <c r="P860" s="141"/>
    </row>
    <row r="861">
      <c r="C861" s="133"/>
      <c r="H861" s="45">
        <v>48.0</v>
      </c>
      <c r="J861" s="45">
        <v>0.47</v>
      </c>
      <c r="K861" s="45">
        <v>40.0</v>
      </c>
      <c r="P861" s="141"/>
    </row>
    <row r="862">
      <c r="C862" s="133"/>
      <c r="H862" s="45">
        <v>43.0</v>
      </c>
      <c r="J862" s="45">
        <v>0.47</v>
      </c>
      <c r="K862" s="45">
        <v>42.0</v>
      </c>
      <c r="P862" s="141"/>
    </row>
    <row r="863">
      <c r="C863" s="133"/>
      <c r="H863" s="45">
        <v>45.0</v>
      </c>
      <c r="J863" s="45">
        <v>0.45</v>
      </c>
      <c r="K863" s="45">
        <v>41.0</v>
      </c>
      <c r="P863" s="141"/>
    </row>
    <row r="864">
      <c r="C864" s="133"/>
      <c r="H864" s="45">
        <v>41.0</v>
      </c>
      <c r="J864" s="45">
        <v>0.49</v>
      </c>
      <c r="K864" s="45">
        <v>40.0</v>
      </c>
      <c r="P864" s="141"/>
    </row>
    <row r="865">
      <c r="C865" s="133"/>
      <c r="H865" s="45">
        <v>44.0</v>
      </c>
      <c r="J865" s="45">
        <v>0.48</v>
      </c>
      <c r="K865" s="45">
        <v>41.0</v>
      </c>
      <c r="P865" s="141"/>
    </row>
    <row r="866">
      <c r="C866" s="133"/>
      <c r="H866" s="45">
        <v>44.0</v>
      </c>
      <c r="J866" s="45">
        <v>0.48</v>
      </c>
      <c r="K866" s="45">
        <v>44.0</v>
      </c>
      <c r="P866" s="141"/>
    </row>
    <row r="867">
      <c r="C867" s="133"/>
      <c r="H867" s="45">
        <v>41.0</v>
      </c>
      <c r="J867" s="45">
        <v>0.45</v>
      </c>
      <c r="K867" s="45">
        <v>46.0</v>
      </c>
      <c r="P867" s="141"/>
    </row>
    <row r="868">
      <c r="C868" s="133"/>
      <c r="H868" s="45">
        <v>45.0</v>
      </c>
      <c r="J868" s="45">
        <v>0.45</v>
      </c>
      <c r="K868" s="45">
        <v>43.0</v>
      </c>
      <c r="P868" s="141"/>
    </row>
    <row r="869">
      <c r="C869" s="133"/>
      <c r="H869" s="45">
        <v>48.0</v>
      </c>
      <c r="J869" s="45">
        <v>0.44</v>
      </c>
      <c r="K869" s="45">
        <v>39.0</v>
      </c>
      <c r="P869" s="141"/>
    </row>
    <row r="870">
      <c r="C870" s="133"/>
      <c r="H870" s="45">
        <v>39.0</v>
      </c>
      <c r="J870" s="45">
        <v>0.47</v>
      </c>
      <c r="K870" s="45">
        <v>50.0</v>
      </c>
      <c r="P870" s="141"/>
    </row>
    <row r="871">
      <c r="C871" s="133"/>
      <c r="H871" s="45">
        <v>38.0</v>
      </c>
      <c r="J871" s="45">
        <v>0.46</v>
      </c>
      <c r="K871" s="45">
        <v>50.0</v>
      </c>
      <c r="P871" s="141"/>
    </row>
    <row r="872">
      <c r="C872" s="133"/>
      <c r="H872" s="45">
        <v>46.0</v>
      </c>
      <c r="J872" s="45">
        <v>0.47</v>
      </c>
      <c r="K872" s="45">
        <v>45.0</v>
      </c>
      <c r="P872" s="141"/>
    </row>
    <row r="873">
      <c r="C873" s="133"/>
      <c r="H873" s="45">
        <v>50.0</v>
      </c>
      <c r="J873" s="45">
        <v>0.46</v>
      </c>
      <c r="K873" s="45">
        <v>42.0</v>
      </c>
      <c r="P873" s="141"/>
    </row>
    <row r="874">
      <c r="C874" s="133"/>
      <c r="H874" s="45">
        <v>48.0</v>
      </c>
      <c r="J874" s="45">
        <v>0.5</v>
      </c>
      <c r="K874" s="45">
        <v>47.0</v>
      </c>
      <c r="P874" s="141"/>
    </row>
    <row r="875">
      <c r="C875" s="133"/>
      <c r="H875" s="45">
        <v>50.0</v>
      </c>
      <c r="J875" s="45">
        <v>0.63</v>
      </c>
      <c r="K875" s="45">
        <v>40.0</v>
      </c>
      <c r="P875" s="141"/>
    </row>
    <row r="876">
      <c r="C876" s="133"/>
      <c r="H876" s="45">
        <v>40.0</v>
      </c>
      <c r="J876" s="45">
        <v>0.5</v>
      </c>
      <c r="K876" s="45">
        <v>44.0</v>
      </c>
      <c r="P876" s="141"/>
    </row>
    <row r="877">
      <c r="C877" s="133"/>
      <c r="H877" s="45">
        <v>45.0</v>
      </c>
      <c r="J877" s="45">
        <v>0.44</v>
      </c>
      <c r="K877" s="45">
        <v>40.0</v>
      </c>
      <c r="P877" s="141"/>
    </row>
    <row r="878">
      <c r="C878" s="133"/>
      <c r="H878" s="45">
        <v>45.0</v>
      </c>
      <c r="J878" s="45">
        <v>0.56</v>
      </c>
      <c r="K878" s="45">
        <v>43.0</v>
      </c>
      <c r="P878" s="141"/>
    </row>
    <row r="879">
      <c r="C879" s="133"/>
      <c r="H879" s="45">
        <v>43.0</v>
      </c>
      <c r="J879" s="45">
        <v>0.5</v>
      </c>
      <c r="K879" s="45">
        <v>46.0</v>
      </c>
      <c r="P879" s="141"/>
    </row>
    <row r="880">
      <c r="C880" s="133"/>
      <c r="H880" s="45">
        <v>42.0</v>
      </c>
      <c r="J880" s="45">
        <v>0.53</v>
      </c>
      <c r="K880" s="45">
        <v>48.0</v>
      </c>
      <c r="P880" s="141"/>
    </row>
    <row r="881">
      <c r="C881" s="133"/>
      <c r="H881" s="45">
        <v>48.0</v>
      </c>
      <c r="J881" s="45">
        <v>0.53</v>
      </c>
      <c r="K881" s="45">
        <v>49.0</v>
      </c>
      <c r="P881" s="141"/>
    </row>
    <row r="882">
      <c r="C882" s="133"/>
      <c r="H882" s="45">
        <v>48.0</v>
      </c>
      <c r="J882" s="45">
        <v>0.51</v>
      </c>
      <c r="K882" s="45">
        <v>47.0</v>
      </c>
      <c r="P882" s="141"/>
    </row>
    <row r="883">
      <c r="C883" s="133"/>
      <c r="H883" s="45">
        <v>46.0</v>
      </c>
      <c r="J883" s="45">
        <v>0.52</v>
      </c>
      <c r="K883" s="45">
        <v>41.0</v>
      </c>
      <c r="P883" s="141"/>
    </row>
    <row r="884">
      <c r="C884" s="133"/>
      <c r="H884" s="45">
        <v>40.0</v>
      </c>
      <c r="J884" s="45">
        <v>0.52</v>
      </c>
      <c r="K884" s="45">
        <v>40.0</v>
      </c>
      <c r="P884" s="141"/>
    </row>
    <row r="885">
      <c r="C885" s="133"/>
      <c r="H885" s="45">
        <v>40.0</v>
      </c>
      <c r="J885" s="45">
        <v>0.62</v>
      </c>
      <c r="K885" s="45">
        <v>40.0</v>
      </c>
      <c r="P885" s="141"/>
    </row>
    <row r="886">
      <c r="C886" s="133"/>
      <c r="H886" s="45">
        <v>37.0</v>
      </c>
      <c r="J886" s="45">
        <v>0.57</v>
      </c>
      <c r="K886" s="45">
        <v>41.0</v>
      </c>
      <c r="P886" s="141"/>
    </row>
    <row r="887">
      <c r="C887" s="133"/>
      <c r="H887" s="45">
        <v>42.0</v>
      </c>
      <c r="J887" s="45">
        <v>0.62</v>
      </c>
      <c r="K887" s="45">
        <v>46.0</v>
      </c>
      <c r="P887" s="141"/>
    </row>
    <row r="888">
      <c r="C888" s="133"/>
      <c r="H888" s="45">
        <v>46.0</v>
      </c>
      <c r="J888" s="45">
        <v>0.52</v>
      </c>
      <c r="K888" s="45">
        <v>46.0</v>
      </c>
      <c r="P888" s="141"/>
    </row>
    <row r="889">
      <c r="C889" s="133"/>
      <c r="H889" s="45">
        <v>46.0</v>
      </c>
      <c r="J889" s="45">
        <v>0.5</v>
      </c>
      <c r="K889" s="45">
        <v>43.0</v>
      </c>
      <c r="P889" s="141"/>
    </row>
    <row r="890">
      <c r="C890" s="133"/>
      <c r="H890" s="45">
        <v>44.0</v>
      </c>
      <c r="J890" s="45">
        <v>0.57</v>
      </c>
      <c r="K890" s="45">
        <v>46.0</v>
      </c>
      <c r="P890" s="141"/>
    </row>
    <row r="891">
      <c r="C891" s="133"/>
      <c r="H891" s="45">
        <v>38.0</v>
      </c>
      <c r="J891" s="45">
        <v>0.47</v>
      </c>
      <c r="K891" s="45">
        <v>40.0</v>
      </c>
      <c r="P891" s="141"/>
    </row>
    <row r="892">
      <c r="C892" s="133"/>
      <c r="H892" s="45">
        <v>46.0</v>
      </c>
      <c r="J892" s="45">
        <v>0.56</v>
      </c>
      <c r="K892" s="45">
        <v>44.0</v>
      </c>
      <c r="P892" s="141"/>
    </row>
    <row r="893">
      <c r="C893" s="133"/>
      <c r="H893" s="45">
        <v>49.0</v>
      </c>
      <c r="J893" s="45">
        <v>0.61</v>
      </c>
      <c r="K893" s="45">
        <v>43.0</v>
      </c>
      <c r="P893" s="141"/>
    </row>
    <row r="894">
      <c r="C894" s="133"/>
      <c r="H894" s="45">
        <v>47.0</v>
      </c>
      <c r="J894" s="45">
        <v>0.56</v>
      </c>
      <c r="K894" s="45">
        <v>47.0</v>
      </c>
      <c r="P894" s="141"/>
    </row>
    <row r="895">
      <c r="C895" s="133"/>
      <c r="H895" s="45">
        <v>50.0</v>
      </c>
      <c r="J895" s="45">
        <v>0.51</v>
      </c>
      <c r="K895" s="45">
        <v>48.0</v>
      </c>
      <c r="P895" s="141"/>
    </row>
    <row r="896">
      <c r="C896" s="133"/>
      <c r="H896" s="45">
        <v>50.0</v>
      </c>
      <c r="J896" s="45">
        <v>0.64</v>
      </c>
      <c r="K896" s="45">
        <v>46.0</v>
      </c>
      <c r="P896" s="141"/>
    </row>
    <row r="897">
      <c r="C897" s="133"/>
      <c r="H897" s="45">
        <v>45.0</v>
      </c>
      <c r="J897" s="45">
        <v>0.49</v>
      </c>
      <c r="K897" s="45">
        <v>48.0</v>
      </c>
      <c r="P897" s="141"/>
    </row>
    <row r="898">
      <c r="C898" s="133"/>
      <c r="H898" s="45">
        <v>52.0</v>
      </c>
      <c r="J898" s="45">
        <v>0.6</v>
      </c>
      <c r="K898" s="45">
        <v>41.0</v>
      </c>
      <c r="P898" s="141"/>
    </row>
    <row r="899">
      <c r="C899" s="133"/>
      <c r="H899" s="45">
        <v>50.0</v>
      </c>
      <c r="J899" s="45">
        <v>0.54</v>
      </c>
      <c r="K899" s="45">
        <v>42.0</v>
      </c>
      <c r="P899" s="141"/>
    </row>
    <row r="900">
      <c r="C900" s="133"/>
      <c r="H900" s="45">
        <v>47.0</v>
      </c>
      <c r="J900" s="45">
        <v>0.51</v>
      </c>
      <c r="K900" s="45">
        <v>38.0</v>
      </c>
      <c r="P900" s="141"/>
    </row>
    <row r="901">
      <c r="C901" s="133"/>
      <c r="H901" s="45">
        <v>43.0</v>
      </c>
      <c r="J901" s="45">
        <v>0.45</v>
      </c>
      <c r="K901" s="45">
        <v>46.0</v>
      </c>
      <c r="P901" s="141"/>
    </row>
    <row r="902">
      <c r="C902" s="133"/>
      <c r="H902" s="45">
        <v>46.0</v>
      </c>
      <c r="J902" s="45">
        <v>0.52</v>
      </c>
      <c r="K902" s="45">
        <v>41.0</v>
      </c>
      <c r="P902" s="141"/>
    </row>
    <row r="903">
      <c r="C903" s="133"/>
      <c r="H903" s="45">
        <v>49.0</v>
      </c>
      <c r="J903" s="45">
        <v>0.43</v>
      </c>
      <c r="K903" s="45">
        <v>46.0</v>
      </c>
      <c r="P903" s="141"/>
    </row>
    <row r="904">
      <c r="C904" s="133"/>
      <c r="H904" s="45">
        <v>46.0</v>
      </c>
      <c r="J904" s="45">
        <v>0.49</v>
      </c>
      <c r="K904" s="45">
        <v>44.0</v>
      </c>
      <c r="P904" s="141"/>
    </row>
    <row r="905">
      <c r="C905" s="133"/>
      <c r="H905" s="45">
        <v>44.0</v>
      </c>
      <c r="J905" s="45">
        <v>0.42</v>
      </c>
      <c r="K905" s="45">
        <v>49.0</v>
      </c>
      <c r="P905" s="141"/>
    </row>
    <row r="906">
      <c r="C906" s="133"/>
      <c r="H906" s="45">
        <v>44.0</v>
      </c>
      <c r="J906" s="45">
        <v>0.51</v>
      </c>
      <c r="K906" s="45">
        <v>49.0</v>
      </c>
      <c r="P906" s="141"/>
    </row>
    <row r="907">
      <c r="C907" s="133"/>
      <c r="H907" s="45">
        <v>40.0</v>
      </c>
      <c r="J907" s="45">
        <v>0.52</v>
      </c>
      <c r="K907" s="45">
        <v>48.0</v>
      </c>
      <c r="P907" s="141"/>
    </row>
    <row r="908">
      <c r="C908" s="133"/>
      <c r="H908" s="45">
        <v>38.0</v>
      </c>
      <c r="J908" s="45">
        <v>0.56</v>
      </c>
      <c r="K908" s="45">
        <v>48.0</v>
      </c>
      <c r="P908" s="141"/>
    </row>
    <row r="909">
      <c r="C909" s="133"/>
      <c r="H909" s="45">
        <v>42.0</v>
      </c>
      <c r="J909" s="45">
        <v>0.51</v>
      </c>
      <c r="K909" s="45">
        <v>46.0</v>
      </c>
      <c r="P909" s="141"/>
    </row>
    <row r="910">
      <c r="C910" s="133"/>
      <c r="H910" s="45">
        <v>46.0</v>
      </c>
      <c r="J910" s="45">
        <v>0.44</v>
      </c>
      <c r="K910" s="45">
        <v>46.0</v>
      </c>
      <c r="P910" s="141"/>
    </row>
    <row r="911">
      <c r="C911" s="133"/>
      <c r="H911" s="45">
        <v>43.0</v>
      </c>
      <c r="J911" s="45">
        <v>0.5</v>
      </c>
      <c r="K911" s="45">
        <v>46.0</v>
      </c>
      <c r="P911" s="141"/>
    </row>
    <row r="912">
      <c r="C912" s="133"/>
      <c r="H912" s="45">
        <v>47.0</v>
      </c>
      <c r="J912" s="45">
        <v>0.55</v>
      </c>
      <c r="K912" s="45">
        <v>45.0</v>
      </c>
      <c r="P912" s="141"/>
    </row>
    <row r="913">
      <c r="C913" s="133"/>
      <c r="H913" s="45">
        <v>47.0</v>
      </c>
      <c r="J913" s="45">
        <v>0.52</v>
      </c>
      <c r="K913" s="45">
        <v>46.0</v>
      </c>
      <c r="P913" s="141"/>
    </row>
    <row r="914">
      <c r="C914" s="133"/>
      <c r="H914" s="45">
        <v>47.0</v>
      </c>
      <c r="J914" s="45">
        <v>0.49</v>
      </c>
      <c r="K914" s="45">
        <v>43.0</v>
      </c>
      <c r="P914" s="141"/>
    </row>
    <row r="915">
      <c r="C915" s="133"/>
      <c r="H915" s="45">
        <v>38.0</v>
      </c>
      <c r="J915" s="45">
        <v>0.5</v>
      </c>
      <c r="K915" s="45">
        <v>48.0</v>
      </c>
      <c r="P915" s="141"/>
    </row>
    <row r="916">
      <c r="C916" s="133"/>
      <c r="H916" s="45">
        <v>41.0</v>
      </c>
      <c r="J916" s="45">
        <v>0.57</v>
      </c>
      <c r="K916" s="45">
        <v>42.0</v>
      </c>
      <c r="P916" s="141"/>
    </row>
    <row r="917">
      <c r="C917" s="133"/>
      <c r="H917" s="45">
        <v>44.0</v>
      </c>
      <c r="J917" s="45">
        <v>0.49</v>
      </c>
      <c r="K917" s="45">
        <v>49.0</v>
      </c>
      <c r="P917" s="141"/>
    </row>
    <row r="918">
      <c r="C918" s="133"/>
      <c r="H918" s="45">
        <v>43.0</v>
      </c>
      <c r="J918" s="45">
        <v>0.56</v>
      </c>
      <c r="K918" s="45">
        <v>42.0</v>
      </c>
      <c r="P918" s="141"/>
    </row>
    <row r="919">
      <c r="C919" s="133"/>
      <c r="H919" s="45">
        <v>45.0</v>
      </c>
      <c r="J919" s="45">
        <v>0.5</v>
      </c>
      <c r="K919" s="45">
        <v>44.0</v>
      </c>
      <c r="P919" s="141"/>
    </row>
    <row r="920">
      <c r="C920" s="133"/>
      <c r="H920" s="45">
        <v>44.0</v>
      </c>
      <c r="J920" s="45">
        <v>0.42</v>
      </c>
      <c r="K920" s="45">
        <v>48.0</v>
      </c>
      <c r="P920" s="141"/>
    </row>
    <row r="921">
      <c r="C921" s="133"/>
      <c r="H921" s="45">
        <v>44.0</v>
      </c>
      <c r="J921" s="45">
        <v>0.57</v>
      </c>
      <c r="K921" s="45">
        <v>49.0</v>
      </c>
      <c r="P921" s="141"/>
    </row>
    <row r="922">
      <c r="C922" s="133"/>
      <c r="H922" s="45">
        <v>43.0</v>
      </c>
      <c r="J922" s="45">
        <v>0.55</v>
      </c>
      <c r="K922" s="45">
        <v>38.0</v>
      </c>
      <c r="P922" s="141"/>
    </row>
    <row r="923">
      <c r="C923" s="133"/>
      <c r="H923" s="45">
        <v>41.0</v>
      </c>
      <c r="J923" s="45">
        <v>0.52</v>
      </c>
      <c r="K923" s="45">
        <v>45.0</v>
      </c>
      <c r="P923" s="141"/>
    </row>
    <row r="924">
      <c r="C924" s="133"/>
      <c r="H924" s="45">
        <v>41.0</v>
      </c>
      <c r="J924" s="45">
        <v>0.49</v>
      </c>
      <c r="K924" s="45">
        <v>53.0</v>
      </c>
      <c r="P924" s="141"/>
    </row>
    <row r="925">
      <c r="C925" s="133"/>
      <c r="H925" s="45">
        <v>45.0</v>
      </c>
      <c r="J925" s="45">
        <v>0.44</v>
      </c>
      <c r="K925" s="45">
        <v>43.0</v>
      </c>
      <c r="P925" s="141"/>
    </row>
    <row r="926">
      <c r="C926" s="133"/>
      <c r="H926" s="45">
        <v>37.0</v>
      </c>
      <c r="J926" s="45">
        <v>0.57</v>
      </c>
      <c r="K926" s="45">
        <v>39.0</v>
      </c>
      <c r="P926" s="141"/>
    </row>
    <row r="927">
      <c r="C927" s="133"/>
      <c r="H927" s="45">
        <v>45.0</v>
      </c>
      <c r="J927" s="45">
        <v>0.49</v>
      </c>
      <c r="K927" s="45">
        <v>44.0</v>
      </c>
      <c r="P927" s="141"/>
    </row>
    <row r="928">
      <c r="C928" s="133"/>
      <c r="H928" s="45">
        <v>41.0</v>
      </c>
      <c r="J928" s="45">
        <v>0.5</v>
      </c>
      <c r="K928" s="45">
        <v>48.0</v>
      </c>
      <c r="P928" s="141"/>
    </row>
    <row r="929">
      <c r="C929" s="133"/>
      <c r="H929" s="45">
        <v>42.0</v>
      </c>
      <c r="J929" s="45">
        <v>0.54</v>
      </c>
      <c r="K929" s="45">
        <v>43.0</v>
      </c>
      <c r="P929" s="141"/>
    </row>
    <row r="930">
      <c r="C930" s="133"/>
      <c r="H930" s="45">
        <v>44.0</v>
      </c>
      <c r="J930" s="45">
        <v>0.49</v>
      </c>
      <c r="K930" s="45">
        <v>43.0</v>
      </c>
      <c r="P930" s="141"/>
    </row>
    <row r="931">
      <c r="C931" s="133"/>
      <c r="H931" s="45">
        <v>45.0</v>
      </c>
      <c r="J931" s="45">
        <v>0.52</v>
      </c>
      <c r="K931" s="45">
        <v>47.0</v>
      </c>
      <c r="P931" s="141"/>
    </row>
    <row r="932">
      <c r="C932" s="133"/>
      <c r="H932" s="45">
        <v>40.0</v>
      </c>
      <c r="J932" s="45">
        <v>0.52</v>
      </c>
      <c r="K932" s="45">
        <v>41.0</v>
      </c>
      <c r="P932" s="141"/>
    </row>
    <row r="933">
      <c r="C933" s="133"/>
      <c r="H933" s="45">
        <v>42.0</v>
      </c>
      <c r="J933" s="45">
        <v>0.53</v>
      </c>
      <c r="K933" s="45">
        <v>48.0</v>
      </c>
      <c r="P933" s="141"/>
    </row>
    <row r="934">
      <c r="C934" s="133"/>
      <c r="H934" s="45">
        <v>48.0</v>
      </c>
      <c r="J934" s="45">
        <v>0.48</v>
      </c>
      <c r="K934" s="45">
        <v>45.0</v>
      </c>
      <c r="P934" s="141"/>
    </row>
    <row r="935">
      <c r="C935" s="133"/>
      <c r="H935" s="45">
        <v>48.0</v>
      </c>
      <c r="J935" s="45">
        <v>0.49</v>
      </c>
      <c r="K935" s="45">
        <v>45.0</v>
      </c>
      <c r="P935" s="141"/>
    </row>
    <row r="936">
      <c r="C936" s="133"/>
      <c r="H936" s="45">
        <v>45.0</v>
      </c>
      <c r="J936" s="45">
        <v>0.5</v>
      </c>
      <c r="K936" s="45">
        <v>41.0</v>
      </c>
      <c r="P936" s="141"/>
    </row>
    <row r="937">
      <c r="C937" s="133"/>
      <c r="H937" s="45">
        <v>42.0</v>
      </c>
      <c r="J937" s="45">
        <v>0.51</v>
      </c>
      <c r="K937" s="45">
        <v>48.0</v>
      </c>
      <c r="P937" s="141"/>
    </row>
    <row r="938">
      <c r="C938" s="133"/>
      <c r="H938" s="45">
        <v>49.0</v>
      </c>
      <c r="J938" s="45">
        <v>0.48</v>
      </c>
      <c r="K938" s="45">
        <v>43.0</v>
      </c>
      <c r="P938" s="141"/>
    </row>
    <row r="939">
      <c r="C939" s="133"/>
      <c r="H939" s="45">
        <v>45.0</v>
      </c>
      <c r="J939" s="45">
        <v>0.5</v>
      </c>
      <c r="K939" s="45">
        <v>42.0</v>
      </c>
      <c r="P939" s="141"/>
    </row>
    <row r="940">
      <c r="C940" s="133"/>
      <c r="H940" s="45">
        <v>43.0</v>
      </c>
      <c r="J940" s="45">
        <v>0.51</v>
      </c>
      <c r="K940" s="45">
        <v>41.0</v>
      </c>
      <c r="P940" s="141"/>
    </row>
    <row r="941">
      <c r="C941" s="133"/>
      <c r="H941" s="45">
        <v>44.0</v>
      </c>
      <c r="J941" s="45">
        <v>0.45</v>
      </c>
      <c r="K941" s="45">
        <v>37.0</v>
      </c>
      <c r="P941" s="141"/>
    </row>
    <row r="942">
      <c r="C942" s="133"/>
      <c r="H942" s="45">
        <v>43.0</v>
      </c>
      <c r="J942" s="45">
        <v>0.51</v>
      </c>
      <c r="K942" s="45">
        <v>37.0</v>
      </c>
      <c r="P942" s="141"/>
    </row>
    <row r="943">
      <c r="C943" s="133"/>
      <c r="H943" s="45">
        <v>44.0</v>
      </c>
      <c r="J943" s="45">
        <v>0.48</v>
      </c>
      <c r="K943" s="45">
        <v>47.0</v>
      </c>
      <c r="P943" s="141"/>
    </row>
    <row r="944">
      <c r="C944" s="133"/>
      <c r="H944" s="45">
        <v>44.0</v>
      </c>
      <c r="J944" s="45">
        <v>0.49</v>
      </c>
      <c r="K944" s="45">
        <v>45.0</v>
      </c>
      <c r="P944" s="141"/>
    </row>
    <row r="945">
      <c r="C945" s="133"/>
      <c r="H945" s="45">
        <v>46.0</v>
      </c>
      <c r="J945" s="45">
        <v>0.47</v>
      </c>
      <c r="K945" s="45">
        <v>42.0</v>
      </c>
      <c r="P945" s="141"/>
    </row>
    <row r="946">
      <c r="C946" s="133"/>
      <c r="H946" s="45">
        <v>45.0</v>
      </c>
      <c r="J946" s="45">
        <v>0.52</v>
      </c>
      <c r="K946" s="45">
        <v>45.0</v>
      </c>
      <c r="P946" s="141"/>
    </row>
    <row r="947">
      <c r="C947" s="133"/>
      <c r="H947" s="45">
        <v>48.0</v>
      </c>
      <c r="J947" s="45">
        <v>0.47</v>
      </c>
      <c r="K947" s="45">
        <v>42.0</v>
      </c>
      <c r="P947" s="141"/>
    </row>
    <row r="948">
      <c r="C948" s="133"/>
      <c r="H948" s="45">
        <v>45.0</v>
      </c>
      <c r="J948" s="45">
        <v>0.57</v>
      </c>
      <c r="K948" s="45">
        <v>43.0</v>
      </c>
      <c r="P948" s="141"/>
    </row>
    <row r="949">
      <c r="C949" s="133"/>
      <c r="H949" s="45">
        <v>41.0</v>
      </c>
      <c r="J949" s="45">
        <v>0.54</v>
      </c>
      <c r="K949" s="45">
        <v>42.0</v>
      </c>
      <c r="P949" s="141"/>
    </row>
    <row r="950">
      <c r="C950" s="133"/>
      <c r="H950" s="45">
        <v>45.0</v>
      </c>
      <c r="J950" s="45">
        <v>0.49</v>
      </c>
      <c r="K950" s="45">
        <v>40.0</v>
      </c>
      <c r="P950" s="141"/>
    </row>
    <row r="951">
      <c r="C951" s="133"/>
      <c r="H951" s="45">
        <v>39.0</v>
      </c>
      <c r="J951" s="45">
        <v>0.53</v>
      </c>
      <c r="K951" s="45">
        <v>53.0</v>
      </c>
      <c r="P951" s="141"/>
    </row>
    <row r="952">
      <c r="C952" s="133"/>
      <c r="H952" s="45">
        <v>52.0</v>
      </c>
      <c r="J952" s="45">
        <v>0.52</v>
      </c>
      <c r="K952" s="45">
        <v>40.0</v>
      </c>
      <c r="P952" s="141"/>
    </row>
    <row r="953">
      <c r="C953" s="133"/>
      <c r="H953" s="45">
        <v>55.0</v>
      </c>
      <c r="J953" s="45">
        <v>0.56</v>
      </c>
      <c r="K953" s="45">
        <v>45.0</v>
      </c>
      <c r="P953" s="141"/>
    </row>
    <row r="954">
      <c r="C954" s="133"/>
      <c r="H954" s="45">
        <v>44.0</v>
      </c>
      <c r="J954" s="45">
        <v>0.52</v>
      </c>
      <c r="K954" s="45">
        <v>46.0</v>
      </c>
      <c r="P954" s="141"/>
    </row>
    <row r="955">
      <c r="C955" s="133"/>
      <c r="H955" s="45">
        <v>45.0</v>
      </c>
      <c r="J955" s="45">
        <v>0.47</v>
      </c>
      <c r="K955" s="45">
        <v>48.0</v>
      </c>
      <c r="P955" s="141"/>
    </row>
    <row r="956">
      <c r="C956" s="133"/>
      <c r="H956" s="45">
        <v>45.0</v>
      </c>
      <c r="J956" s="45">
        <v>0.44</v>
      </c>
      <c r="K956" s="45">
        <v>46.0</v>
      </c>
      <c r="P956" s="141"/>
    </row>
    <row r="957">
      <c r="C957" s="133"/>
      <c r="H957" s="45">
        <v>47.0</v>
      </c>
      <c r="J957" s="45">
        <v>0.49</v>
      </c>
      <c r="K957" s="45">
        <v>43.0</v>
      </c>
      <c r="P957" s="141"/>
    </row>
    <row r="958">
      <c r="C958" s="133"/>
      <c r="H958" s="45">
        <v>43.0</v>
      </c>
      <c r="J958" s="45">
        <v>0.51</v>
      </c>
      <c r="K958" s="45">
        <v>43.0</v>
      </c>
      <c r="P958" s="141"/>
    </row>
    <row r="959">
      <c r="C959" s="133"/>
      <c r="H959" s="45">
        <v>45.0</v>
      </c>
      <c r="J959" s="45">
        <v>0.48</v>
      </c>
      <c r="K959" s="45">
        <v>48.0</v>
      </c>
      <c r="P959" s="141"/>
    </row>
    <row r="960">
      <c r="C960" s="133"/>
      <c r="H960" s="45">
        <v>50.0</v>
      </c>
      <c r="J960" s="45">
        <v>0.48</v>
      </c>
      <c r="K960" s="45">
        <v>51.0</v>
      </c>
      <c r="P960" s="141"/>
    </row>
    <row r="961">
      <c r="C961" s="133"/>
      <c r="H961" s="45">
        <v>44.0</v>
      </c>
      <c r="J961" s="45">
        <v>0.53</v>
      </c>
      <c r="K961" s="45">
        <v>49.0</v>
      </c>
      <c r="P961" s="141"/>
    </row>
    <row r="962">
      <c r="C962" s="133"/>
      <c r="H962" s="45">
        <v>44.0</v>
      </c>
      <c r="J962" s="45">
        <v>0.54</v>
      </c>
      <c r="K962" s="45">
        <v>42.0</v>
      </c>
      <c r="P962" s="141"/>
    </row>
    <row r="963">
      <c r="C963" s="133"/>
      <c r="H963" s="45">
        <v>42.0</v>
      </c>
      <c r="J963" s="45">
        <v>0.48</v>
      </c>
      <c r="K963" s="45">
        <v>40.0</v>
      </c>
      <c r="P963" s="141"/>
    </row>
    <row r="964">
      <c r="C964" s="133"/>
      <c r="H964" s="45">
        <v>41.0</v>
      </c>
      <c r="J964" s="45">
        <v>0.48</v>
      </c>
      <c r="K964" s="45">
        <v>45.0</v>
      </c>
      <c r="P964" s="141"/>
    </row>
    <row r="965">
      <c r="C965" s="133"/>
      <c r="H965" s="45">
        <v>49.0</v>
      </c>
      <c r="J965" s="45">
        <v>0.47</v>
      </c>
      <c r="K965" s="45">
        <v>45.0</v>
      </c>
      <c r="P965" s="141"/>
    </row>
    <row r="966">
      <c r="C966" s="133"/>
      <c r="H966" s="45">
        <v>44.0</v>
      </c>
      <c r="J966" s="45">
        <v>0.54</v>
      </c>
      <c r="K966" s="45">
        <v>42.0</v>
      </c>
      <c r="P966" s="141"/>
    </row>
    <row r="967">
      <c r="C967" s="133"/>
      <c r="H967" s="45">
        <v>44.0</v>
      </c>
      <c r="J967" s="45">
        <v>0.49</v>
      </c>
      <c r="K967" s="45">
        <v>47.0</v>
      </c>
      <c r="P967" s="141"/>
    </row>
    <row r="968">
      <c r="C968" s="133"/>
      <c r="H968" s="45">
        <v>45.0</v>
      </c>
      <c r="J968" s="45">
        <v>0.51</v>
      </c>
      <c r="K968" s="45">
        <v>53.0</v>
      </c>
      <c r="P968" s="141"/>
    </row>
    <row r="969">
      <c r="C969" s="133"/>
      <c r="H969" s="45">
        <v>47.0</v>
      </c>
      <c r="J969" s="45">
        <v>0.51</v>
      </c>
      <c r="K969" s="45">
        <v>44.0</v>
      </c>
      <c r="P969" s="141"/>
    </row>
    <row r="970">
      <c r="C970" s="133"/>
      <c r="H970" s="45">
        <v>45.0</v>
      </c>
      <c r="J970" s="45">
        <v>0.49</v>
      </c>
      <c r="K970" s="45">
        <v>48.0</v>
      </c>
      <c r="P970" s="141"/>
    </row>
    <row r="971">
      <c r="C971" s="133"/>
      <c r="H971" s="45">
        <v>43.0</v>
      </c>
      <c r="J971" s="45">
        <v>0.5</v>
      </c>
      <c r="K971" s="45">
        <v>45.0</v>
      </c>
      <c r="P971" s="141"/>
    </row>
    <row r="972">
      <c r="C972" s="133"/>
      <c r="H972" s="45">
        <v>44.0</v>
      </c>
      <c r="J972" s="45">
        <v>0.45</v>
      </c>
      <c r="K972" s="45">
        <v>47.0</v>
      </c>
      <c r="P972" s="141"/>
    </row>
    <row r="973">
      <c r="C973" s="133"/>
      <c r="H973" s="45">
        <v>43.0</v>
      </c>
      <c r="J973" s="45">
        <v>0.53</v>
      </c>
      <c r="K973" s="45">
        <v>45.0</v>
      </c>
      <c r="P973" s="141"/>
    </row>
    <row r="974">
      <c r="C974" s="133"/>
      <c r="H974" s="45">
        <v>45.0</v>
      </c>
      <c r="J974" s="45">
        <v>0.48</v>
      </c>
      <c r="K974" s="45">
        <v>41.0</v>
      </c>
      <c r="P974" s="141"/>
    </row>
    <row r="975">
      <c r="C975" s="133"/>
      <c r="H975" s="45">
        <v>43.0</v>
      </c>
      <c r="J975" s="45">
        <v>0.44</v>
      </c>
      <c r="K975" s="45">
        <v>50.0</v>
      </c>
      <c r="P975" s="141"/>
    </row>
    <row r="976">
      <c r="C976" s="133"/>
      <c r="H976" s="45">
        <v>48.0</v>
      </c>
      <c r="J976" s="45">
        <v>0.48</v>
      </c>
      <c r="K976" s="45">
        <v>49.0</v>
      </c>
      <c r="P976" s="141"/>
    </row>
    <row r="977">
      <c r="C977" s="133"/>
      <c r="H977" s="45">
        <v>46.0</v>
      </c>
      <c r="J977" s="45">
        <v>0.52</v>
      </c>
      <c r="K977" s="45">
        <v>43.0</v>
      </c>
      <c r="P977" s="141"/>
    </row>
    <row r="978">
      <c r="C978" s="133"/>
      <c r="H978" s="45">
        <v>49.0</v>
      </c>
      <c r="J978" s="45">
        <v>0.47</v>
      </c>
      <c r="K978" s="45">
        <v>40.0</v>
      </c>
      <c r="P978" s="141"/>
    </row>
    <row r="979">
      <c r="C979" s="133"/>
      <c r="H979" s="45">
        <v>47.0</v>
      </c>
      <c r="J979" s="45">
        <v>0.5</v>
      </c>
      <c r="K979" s="45">
        <v>41.0</v>
      </c>
      <c r="P979" s="141"/>
    </row>
    <row r="980">
      <c r="C980" s="133"/>
      <c r="H980" s="45">
        <v>44.0</v>
      </c>
      <c r="J980" s="45">
        <v>0.52</v>
      </c>
      <c r="K980" s="45">
        <v>41.0</v>
      </c>
      <c r="P980" s="141"/>
    </row>
    <row r="981">
      <c r="C981" s="133"/>
      <c r="H981" s="45">
        <v>48.0</v>
      </c>
      <c r="J981" s="45">
        <v>0.47</v>
      </c>
      <c r="K981" s="45">
        <v>47.0</v>
      </c>
      <c r="P981" s="141"/>
    </row>
    <row r="982">
      <c r="C982" s="133"/>
      <c r="H982" s="45">
        <v>44.0</v>
      </c>
      <c r="J982" s="45">
        <v>0.52</v>
      </c>
      <c r="K982" s="45">
        <v>45.0</v>
      </c>
      <c r="P982" s="141"/>
    </row>
    <row r="983">
      <c r="C983" s="133"/>
      <c r="H983" s="45">
        <v>45.0</v>
      </c>
      <c r="J983" s="45">
        <v>0.52</v>
      </c>
      <c r="K983" s="45">
        <v>48.0</v>
      </c>
      <c r="P983" s="141"/>
    </row>
    <row r="984">
      <c r="C984" s="133"/>
      <c r="H984" s="45">
        <v>45.0</v>
      </c>
      <c r="J984" s="45">
        <v>0.48</v>
      </c>
      <c r="K984" s="45">
        <v>43.0</v>
      </c>
      <c r="P984" s="141"/>
    </row>
    <row r="985">
      <c r="C985" s="133"/>
      <c r="H985" s="45">
        <v>42.0</v>
      </c>
      <c r="J985" s="45">
        <v>0.51</v>
      </c>
      <c r="K985" s="45">
        <v>48.0</v>
      </c>
      <c r="P985" s="141"/>
    </row>
    <row r="986">
      <c r="C986" s="133"/>
      <c r="H986" s="45">
        <v>45.0</v>
      </c>
      <c r="J986" s="45">
        <v>0.45</v>
      </c>
      <c r="K986" s="45">
        <v>45.0</v>
      </c>
      <c r="P986" s="141"/>
    </row>
    <row r="987">
      <c r="C987" s="133"/>
      <c r="H987" s="45">
        <v>40.0</v>
      </c>
      <c r="J987" s="45">
        <v>0.5</v>
      </c>
      <c r="K987" s="45">
        <v>41.0</v>
      </c>
      <c r="P987" s="141"/>
    </row>
    <row r="988">
      <c r="C988" s="133"/>
      <c r="H988" s="45">
        <v>46.0</v>
      </c>
      <c r="J988" s="45">
        <v>0.46</v>
      </c>
      <c r="K988" s="45">
        <v>45.0</v>
      </c>
      <c r="P988" s="141"/>
    </row>
    <row r="989">
      <c r="C989" s="133"/>
      <c r="H989" s="45">
        <v>48.0</v>
      </c>
      <c r="J989" s="45">
        <v>0.45</v>
      </c>
      <c r="K989" s="45">
        <v>43.0</v>
      </c>
      <c r="P989" s="141"/>
    </row>
    <row r="990">
      <c r="C990" s="133"/>
      <c r="H990" s="45">
        <v>47.0</v>
      </c>
      <c r="J990" s="45">
        <v>0.46</v>
      </c>
      <c r="K990" s="45">
        <v>43.0</v>
      </c>
      <c r="P990" s="141"/>
    </row>
    <row r="991">
      <c r="C991" s="133"/>
      <c r="H991" s="45">
        <v>48.0</v>
      </c>
      <c r="J991" s="45">
        <v>0.46</v>
      </c>
      <c r="K991" s="45">
        <v>39.0</v>
      </c>
      <c r="P991" s="141"/>
    </row>
    <row r="992">
      <c r="C992" s="133"/>
      <c r="H992" s="45">
        <v>44.0</v>
      </c>
      <c r="J992" s="45">
        <v>0.53</v>
      </c>
      <c r="K992" s="45">
        <v>41.0</v>
      </c>
      <c r="P992" s="141"/>
    </row>
    <row r="993">
      <c r="C993" s="133"/>
      <c r="H993" s="45">
        <v>43.0</v>
      </c>
      <c r="J993" s="45">
        <v>0.47</v>
      </c>
      <c r="K993" s="45">
        <v>44.0</v>
      </c>
      <c r="P993" s="141"/>
    </row>
    <row r="994">
      <c r="C994" s="133"/>
      <c r="H994" s="45">
        <v>39.0</v>
      </c>
      <c r="J994" s="45">
        <v>0.51</v>
      </c>
      <c r="K994" s="45">
        <v>44.0</v>
      </c>
      <c r="P994" s="141"/>
    </row>
    <row r="995">
      <c r="C995" s="133"/>
      <c r="H995" s="45">
        <v>39.0</v>
      </c>
      <c r="J995" s="45">
        <v>0.46</v>
      </c>
      <c r="K995" s="45">
        <v>45.0</v>
      </c>
      <c r="P995" s="141"/>
    </row>
    <row r="996">
      <c r="C996" s="133"/>
      <c r="H996" s="45">
        <v>43.0</v>
      </c>
      <c r="J996" s="45">
        <v>0.57</v>
      </c>
      <c r="K996" s="45">
        <v>42.0</v>
      </c>
      <c r="P996" s="141"/>
    </row>
    <row r="997">
      <c r="C997" s="133"/>
      <c r="H997" s="45">
        <v>42.0</v>
      </c>
      <c r="J997" s="45">
        <v>0.57</v>
      </c>
      <c r="K997" s="45">
        <v>39.0</v>
      </c>
      <c r="P997" s="141"/>
    </row>
    <row r="998">
      <c r="C998" s="133"/>
      <c r="H998" s="45">
        <v>48.0</v>
      </c>
      <c r="J998" s="45">
        <v>0.47</v>
      </c>
      <c r="K998" s="45">
        <v>46.0</v>
      </c>
      <c r="P998" s="141"/>
    </row>
    <row r="999">
      <c r="C999" s="133"/>
      <c r="H999" s="45">
        <v>43.0</v>
      </c>
      <c r="J999" s="45">
        <v>0.45</v>
      </c>
      <c r="K999" s="45">
        <v>45.0</v>
      </c>
      <c r="P999" s="141"/>
    </row>
    <row r="1000">
      <c r="C1000" s="133"/>
      <c r="H1000" s="45">
        <v>36.0</v>
      </c>
      <c r="J1000" s="45">
        <v>0.61</v>
      </c>
      <c r="K1000" s="45">
        <v>41.0</v>
      </c>
      <c r="P1000" s="141"/>
    </row>
    <row r="1001">
      <c r="C1001" s="133"/>
      <c r="H1001" s="45">
        <v>49.0</v>
      </c>
      <c r="J1001" s="45">
        <v>0.59</v>
      </c>
      <c r="K1001" s="45">
        <v>42.0</v>
      </c>
      <c r="P1001" s="141"/>
    </row>
    <row r="1002">
      <c r="C1002" s="133"/>
      <c r="H1002" s="45">
        <v>42.0</v>
      </c>
      <c r="J1002" s="45">
        <v>0.42</v>
      </c>
      <c r="K1002" s="45">
        <v>42.0</v>
      </c>
      <c r="P1002" s="141"/>
    </row>
    <row r="1003">
      <c r="C1003" s="133"/>
      <c r="H1003" s="45">
        <v>39.0</v>
      </c>
      <c r="J1003" s="45">
        <v>0.55</v>
      </c>
      <c r="K1003" s="45">
        <v>33.0</v>
      </c>
      <c r="P1003" s="141"/>
    </row>
    <row r="1004">
      <c r="C1004" s="133"/>
      <c r="H1004" s="45">
        <v>47.0</v>
      </c>
      <c r="J1004" s="45">
        <v>0.57</v>
      </c>
      <c r="K1004" s="45">
        <v>45.0</v>
      </c>
      <c r="P1004" s="141"/>
    </row>
    <row r="1005">
      <c r="C1005" s="133"/>
      <c r="H1005" s="45">
        <v>40.0</v>
      </c>
      <c r="J1005" s="45">
        <v>0.52</v>
      </c>
      <c r="K1005" s="45">
        <v>46.0</v>
      </c>
      <c r="P1005" s="141"/>
    </row>
    <row r="1006">
      <c r="C1006" s="133"/>
      <c r="H1006" s="45">
        <v>44.0</v>
      </c>
      <c r="J1006" s="45">
        <v>0.48</v>
      </c>
      <c r="K1006" s="45">
        <v>42.0</v>
      </c>
      <c r="P1006" s="141"/>
    </row>
    <row r="1007">
      <c r="C1007" s="133"/>
      <c r="H1007" s="45">
        <v>40.0</v>
      </c>
      <c r="J1007" s="45">
        <v>0.46</v>
      </c>
      <c r="K1007" s="45">
        <v>43.0</v>
      </c>
      <c r="P1007" s="141"/>
    </row>
    <row r="1008">
      <c r="C1008" s="133"/>
      <c r="H1008" s="45">
        <v>39.0</v>
      </c>
      <c r="J1008" s="45">
        <v>0.42</v>
      </c>
      <c r="K1008" s="45">
        <v>46.0</v>
      </c>
      <c r="P1008" s="141"/>
    </row>
    <row r="1009">
      <c r="C1009" s="133"/>
      <c r="H1009" s="45">
        <v>42.0</v>
      </c>
      <c r="J1009" s="45">
        <v>0.47</v>
      </c>
      <c r="K1009" s="45">
        <v>40.0</v>
      </c>
      <c r="P1009" s="141"/>
    </row>
    <row r="1010">
      <c r="C1010" s="133"/>
      <c r="H1010" s="45">
        <v>44.0</v>
      </c>
      <c r="J1010" s="45">
        <v>0.51</v>
      </c>
      <c r="K1010" s="45">
        <v>48.0</v>
      </c>
      <c r="P1010" s="141"/>
    </row>
    <row r="1011">
      <c r="C1011" s="133"/>
      <c r="H1011" s="45">
        <v>44.0</v>
      </c>
      <c r="J1011" s="45">
        <v>0.49</v>
      </c>
      <c r="K1011" s="45">
        <v>37.0</v>
      </c>
      <c r="P1011" s="141"/>
    </row>
    <row r="1012">
      <c r="C1012" s="133"/>
      <c r="H1012" s="45">
        <v>46.0</v>
      </c>
      <c r="J1012" s="45">
        <v>0.5</v>
      </c>
      <c r="K1012" s="45">
        <v>43.0</v>
      </c>
      <c r="P1012" s="141"/>
    </row>
    <row r="1013">
      <c r="C1013" s="133"/>
      <c r="H1013" s="45">
        <v>42.0</v>
      </c>
      <c r="J1013" s="45">
        <v>0.55</v>
      </c>
      <c r="K1013" s="45">
        <v>45.0</v>
      </c>
      <c r="P1013" s="141"/>
    </row>
    <row r="1014">
      <c r="C1014" s="133"/>
      <c r="H1014" s="45">
        <v>43.0</v>
      </c>
      <c r="J1014" s="45">
        <v>0.62</v>
      </c>
      <c r="K1014" s="45">
        <v>44.0</v>
      </c>
      <c r="P1014" s="141"/>
    </row>
    <row r="1015">
      <c r="C1015" s="133"/>
      <c r="H1015" s="45">
        <v>46.0</v>
      </c>
      <c r="J1015" s="45">
        <v>0.43</v>
      </c>
      <c r="K1015" s="45">
        <v>41.0</v>
      </c>
      <c r="P1015" s="141"/>
    </row>
    <row r="1016">
      <c r="C1016" s="133"/>
      <c r="H1016" s="45">
        <v>46.0</v>
      </c>
      <c r="J1016" s="45">
        <v>0.56</v>
      </c>
      <c r="K1016" s="45">
        <v>44.0</v>
      </c>
      <c r="P1016" s="141"/>
    </row>
    <row r="1017">
      <c r="C1017" s="133"/>
      <c r="H1017" s="45">
        <v>45.0</v>
      </c>
      <c r="J1017" s="45">
        <v>0.44</v>
      </c>
      <c r="K1017" s="45">
        <v>49.0</v>
      </c>
      <c r="P1017" s="141"/>
    </row>
    <row r="1018">
      <c r="C1018" s="133"/>
      <c r="H1018" s="45">
        <v>41.0</v>
      </c>
      <c r="J1018" s="45">
        <v>0.49</v>
      </c>
      <c r="K1018" s="45">
        <v>43.0</v>
      </c>
      <c r="P1018" s="141"/>
    </row>
    <row r="1019">
      <c r="C1019" s="133"/>
      <c r="H1019" s="45">
        <v>38.0</v>
      </c>
      <c r="J1019" s="45">
        <v>0.49</v>
      </c>
      <c r="K1019" s="45">
        <v>44.0</v>
      </c>
      <c r="P1019" s="141"/>
    </row>
    <row r="1020">
      <c r="C1020" s="133"/>
      <c r="H1020" s="45">
        <v>44.0</v>
      </c>
      <c r="J1020" s="45">
        <v>0.53</v>
      </c>
      <c r="K1020" s="45">
        <v>50.0</v>
      </c>
      <c r="P1020" s="141"/>
    </row>
    <row r="1021">
      <c r="C1021" s="133"/>
      <c r="H1021" s="45">
        <v>41.0</v>
      </c>
      <c r="J1021" s="45">
        <v>0.51</v>
      </c>
      <c r="K1021" s="45">
        <v>42.0</v>
      </c>
      <c r="P1021" s="141"/>
    </row>
    <row r="1022">
      <c r="C1022" s="133"/>
      <c r="H1022" s="45">
        <v>52.0</v>
      </c>
      <c r="J1022" s="45">
        <v>0.56</v>
      </c>
      <c r="K1022" s="45">
        <v>45.0</v>
      </c>
      <c r="P1022" s="141"/>
    </row>
    <row r="1023">
      <c r="C1023" s="133"/>
      <c r="H1023" s="45">
        <v>46.0</v>
      </c>
      <c r="J1023" s="45">
        <v>0.57</v>
      </c>
      <c r="K1023" s="45">
        <v>42.0</v>
      </c>
      <c r="P1023" s="141"/>
    </row>
    <row r="1024">
      <c r="C1024" s="133"/>
      <c r="H1024" s="45">
        <v>50.0</v>
      </c>
      <c r="J1024" s="45">
        <v>0.52</v>
      </c>
      <c r="K1024" s="45">
        <v>41.0</v>
      </c>
      <c r="P1024" s="141"/>
    </row>
    <row r="1025">
      <c r="C1025" s="133"/>
      <c r="H1025" s="45">
        <v>42.0</v>
      </c>
      <c r="J1025" s="45">
        <v>0.52</v>
      </c>
      <c r="K1025" s="45">
        <v>44.0</v>
      </c>
      <c r="P1025" s="141"/>
    </row>
    <row r="1026">
      <c r="C1026" s="133"/>
      <c r="H1026" s="45">
        <v>50.0</v>
      </c>
      <c r="J1026" s="45">
        <v>0.56</v>
      </c>
      <c r="K1026" s="45">
        <v>44.0</v>
      </c>
      <c r="P1026" s="141"/>
    </row>
    <row r="1027">
      <c r="C1027" s="133"/>
      <c r="H1027" s="45">
        <v>41.0</v>
      </c>
      <c r="J1027" s="45">
        <v>0.46</v>
      </c>
      <c r="K1027" s="45">
        <v>45.0</v>
      </c>
      <c r="P1027" s="141"/>
    </row>
    <row r="1028">
      <c r="C1028" s="133"/>
      <c r="H1028" s="45">
        <v>47.0</v>
      </c>
      <c r="J1028" s="45">
        <v>0.46</v>
      </c>
      <c r="K1028" s="45">
        <v>43.0</v>
      </c>
      <c r="P1028" s="141"/>
    </row>
    <row r="1029">
      <c r="C1029" s="133"/>
      <c r="H1029" s="45">
        <v>42.0</v>
      </c>
      <c r="J1029" s="45">
        <v>0.56</v>
      </c>
      <c r="K1029" s="45">
        <v>46.0</v>
      </c>
      <c r="P1029" s="141"/>
    </row>
    <row r="1030">
      <c r="C1030" s="133"/>
      <c r="H1030" s="45">
        <v>45.0</v>
      </c>
      <c r="J1030" s="45">
        <v>0.51</v>
      </c>
      <c r="K1030" s="45">
        <v>42.0</v>
      </c>
      <c r="P1030" s="141"/>
    </row>
    <row r="1031">
      <c r="C1031" s="133"/>
      <c r="H1031" s="45">
        <v>44.0</v>
      </c>
      <c r="J1031" s="45">
        <v>0.5</v>
      </c>
      <c r="K1031" s="45">
        <v>45.0</v>
      </c>
      <c r="P1031" s="141"/>
    </row>
    <row r="1032">
      <c r="C1032" s="133"/>
      <c r="H1032" s="45">
        <v>44.0</v>
      </c>
      <c r="J1032" s="45">
        <v>0.58</v>
      </c>
      <c r="K1032" s="45">
        <v>42.0</v>
      </c>
      <c r="P1032" s="141"/>
    </row>
    <row r="1033">
      <c r="C1033" s="133"/>
      <c r="H1033" s="45">
        <v>45.0</v>
      </c>
      <c r="J1033" s="45">
        <v>0.53</v>
      </c>
      <c r="K1033" s="45">
        <v>39.0</v>
      </c>
      <c r="P1033" s="141"/>
    </row>
    <row r="1034">
      <c r="C1034" s="133"/>
      <c r="H1034" s="45">
        <v>43.0</v>
      </c>
      <c r="J1034" s="45">
        <v>0.45</v>
      </c>
      <c r="K1034" s="45">
        <v>36.0</v>
      </c>
      <c r="P1034" s="141"/>
    </row>
    <row r="1035">
      <c r="C1035" s="133"/>
      <c r="H1035" s="45">
        <v>46.0</v>
      </c>
      <c r="J1035" s="45">
        <v>0.52</v>
      </c>
      <c r="K1035" s="45">
        <v>45.0</v>
      </c>
      <c r="P1035" s="141"/>
    </row>
    <row r="1036">
      <c r="C1036" s="133"/>
      <c r="H1036" s="45">
        <v>47.0</v>
      </c>
      <c r="J1036" s="45">
        <v>0.53</v>
      </c>
      <c r="K1036" s="45">
        <v>45.0</v>
      </c>
      <c r="P1036" s="141"/>
    </row>
    <row r="1037">
      <c r="C1037" s="133"/>
      <c r="H1037" s="45">
        <v>43.0</v>
      </c>
      <c r="J1037" s="45">
        <v>0.55</v>
      </c>
      <c r="K1037" s="45">
        <v>45.0</v>
      </c>
      <c r="P1037" s="141"/>
    </row>
    <row r="1038">
      <c r="C1038" s="133"/>
      <c r="H1038" s="45">
        <v>46.0</v>
      </c>
      <c r="J1038" s="45">
        <v>0.48</v>
      </c>
      <c r="K1038" s="45">
        <v>40.0</v>
      </c>
      <c r="P1038" s="141"/>
    </row>
    <row r="1039">
      <c r="C1039" s="133"/>
      <c r="H1039" s="45">
        <v>48.0</v>
      </c>
      <c r="J1039" s="45">
        <v>0.51</v>
      </c>
      <c r="K1039" s="45">
        <v>42.0</v>
      </c>
      <c r="P1039" s="141"/>
    </row>
    <row r="1040">
      <c r="C1040" s="133"/>
      <c r="H1040" s="45">
        <v>44.0</v>
      </c>
      <c r="J1040" s="45">
        <v>0.53</v>
      </c>
      <c r="K1040" s="45">
        <v>44.0</v>
      </c>
      <c r="P1040" s="141"/>
    </row>
    <row r="1041">
      <c r="C1041" s="133"/>
      <c r="H1041" s="45">
        <v>43.0</v>
      </c>
      <c r="J1041" s="45">
        <v>0.5</v>
      </c>
      <c r="K1041" s="45">
        <v>43.0</v>
      </c>
      <c r="P1041" s="141"/>
    </row>
    <row r="1042">
      <c r="C1042" s="133"/>
      <c r="H1042" s="45">
        <v>42.0</v>
      </c>
      <c r="J1042" s="45">
        <v>0.53</v>
      </c>
      <c r="K1042" s="45">
        <v>42.0</v>
      </c>
      <c r="P1042" s="141"/>
    </row>
    <row r="1043">
      <c r="C1043" s="133"/>
      <c r="H1043" s="45">
        <v>45.0</v>
      </c>
      <c r="J1043" s="45">
        <v>0.46</v>
      </c>
      <c r="K1043" s="45">
        <v>39.0</v>
      </c>
      <c r="P1043" s="141"/>
    </row>
    <row r="1044">
      <c r="C1044" s="133"/>
      <c r="H1044" s="45">
        <v>42.0</v>
      </c>
      <c r="J1044" s="45">
        <v>0.48</v>
      </c>
      <c r="K1044" s="45">
        <v>38.0</v>
      </c>
      <c r="P1044" s="141"/>
    </row>
    <row r="1045">
      <c r="C1045" s="133"/>
      <c r="H1045" s="45">
        <v>46.0</v>
      </c>
      <c r="J1045" s="45">
        <v>0.53</v>
      </c>
      <c r="K1045" s="45">
        <v>45.0</v>
      </c>
      <c r="P1045" s="141"/>
    </row>
    <row r="1046">
      <c r="C1046" s="133"/>
      <c r="H1046" s="45">
        <v>44.0</v>
      </c>
      <c r="J1046" s="45">
        <v>0.52</v>
      </c>
      <c r="K1046" s="45">
        <v>43.0</v>
      </c>
      <c r="P1046" s="141"/>
    </row>
    <row r="1047">
      <c r="C1047" s="133"/>
      <c r="H1047" s="45">
        <v>41.0</v>
      </c>
      <c r="J1047" s="45">
        <v>0.52</v>
      </c>
      <c r="K1047" s="45">
        <v>38.0</v>
      </c>
      <c r="P1047" s="141"/>
    </row>
    <row r="1048">
      <c r="C1048" s="133"/>
      <c r="H1048" s="45">
        <v>52.0</v>
      </c>
      <c r="J1048" s="45">
        <v>0.59</v>
      </c>
      <c r="K1048" s="45">
        <v>38.0</v>
      </c>
      <c r="P1048" s="141"/>
    </row>
    <row r="1049">
      <c r="C1049" s="133"/>
      <c r="H1049" s="45">
        <v>48.0</v>
      </c>
      <c r="J1049" s="45">
        <v>0.5</v>
      </c>
      <c r="K1049" s="45">
        <v>43.0</v>
      </c>
      <c r="P1049" s="141"/>
    </row>
    <row r="1050">
      <c r="C1050" s="133"/>
      <c r="H1050" s="45">
        <v>46.0</v>
      </c>
      <c r="J1050" s="45">
        <v>0.48</v>
      </c>
      <c r="K1050" s="45">
        <v>41.0</v>
      </c>
      <c r="P1050" s="141"/>
    </row>
    <row r="1051">
      <c r="C1051" s="133"/>
      <c r="H1051" s="45">
        <v>48.0</v>
      </c>
      <c r="J1051" s="45">
        <v>0.5</v>
      </c>
      <c r="K1051" s="45">
        <v>38.0</v>
      </c>
      <c r="P1051" s="141"/>
    </row>
    <row r="1052">
      <c r="C1052" s="133"/>
      <c r="H1052" s="45">
        <v>48.0</v>
      </c>
      <c r="J1052" s="45">
        <v>0.54</v>
      </c>
      <c r="K1052" s="45">
        <v>37.0</v>
      </c>
      <c r="P1052" s="141"/>
    </row>
    <row r="1053">
      <c r="C1053" s="133"/>
      <c r="H1053" s="45">
        <v>42.0</v>
      </c>
      <c r="J1053" s="45">
        <v>0.51</v>
      </c>
      <c r="K1053" s="45">
        <v>41.0</v>
      </c>
      <c r="P1053" s="141"/>
    </row>
    <row r="1054">
      <c r="C1054" s="133"/>
      <c r="H1054" s="45">
        <v>41.0</v>
      </c>
      <c r="J1054" s="45">
        <v>0.51</v>
      </c>
      <c r="K1054" s="45">
        <v>44.0</v>
      </c>
      <c r="P1054" s="141"/>
    </row>
    <row r="1055">
      <c r="C1055" s="133"/>
      <c r="H1055" s="45">
        <v>44.0</v>
      </c>
      <c r="J1055" s="45">
        <v>0.48</v>
      </c>
      <c r="K1055" s="45">
        <v>40.0</v>
      </c>
      <c r="P1055" s="141"/>
    </row>
    <row r="1056">
      <c r="C1056" s="133"/>
      <c r="H1056" s="45">
        <v>40.0</v>
      </c>
      <c r="J1056" s="45">
        <v>0.49</v>
      </c>
      <c r="K1056" s="45">
        <v>45.0</v>
      </c>
      <c r="P1056" s="141"/>
    </row>
    <row r="1057">
      <c r="C1057" s="133"/>
      <c r="H1057" s="45">
        <v>49.0</v>
      </c>
      <c r="J1057" s="45">
        <v>0.51</v>
      </c>
      <c r="K1057" s="45">
        <v>46.0</v>
      </c>
      <c r="P1057" s="141"/>
    </row>
    <row r="1058">
      <c r="C1058" s="133"/>
      <c r="H1058" s="45">
        <v>48.0</v>
      </c>
      <c r="J1058" s="45">
        <v>0.53</v>
      </c>
      <c r="K1058" s="45">
        <v>41.0</v>
      </c>
      <c r="P1058" s="141"/>
    </row>
    <row r="1059">
      <c r="C1059" s="133"/>
      <c r="H1059" s="45">
        <v>38.0</v>
      </c>
      <c r="J1059" s="45">
        <v>0.51</v>
      </c>
      <c r="K1059" s="45">
        <v>47.0</v>
      </c>
      <c r="P1059" s="141"/>
    </row>
    <row r="1060">
      <c r="C1060" s="133"/>
      <c r="H1060" s="45">
        <v>44.0</v>
      </c>
      <c r="J1060" s="45">
        <v>0.53</v>
      </c>
      <c r="K1060" s="45">
        <v>38.0</v>
      </c>
      <c r="P1060" s="141"/>
    </row>
    <row r="1061">
      <c r="C1061" s="133"/>
      <c r="H1061" s="45">
        <v>45.0</v>
      </c>
      <c r="J1061" s="45">
        <v>0.53</v>
      </c>
      <c r="K1061" s="45">
        <v>42.0</v>
      </c>
      <c r="P1061" s="141"/>
    </row>
    <row r="1062">
      <c r="C1062" s="133"/>
      <c r="H1062" s="45">
        <v>41.0</v>
      </c>
      <c r="J1062" s="45">
        <v>0.49</v>
      </c>
      <c r="K1062" s="45">
        <v>44.0</v>
      </c>
      <c r="P1062" s="141"/>
    </row>
    <row r="1063">
      <c r="C1063" s="133"/>
      <c r="H1063" s="45">
        <v>40.0</v>
      </c>
      <c r="J1063" s="45">
        <v>0.53</v>
      </c>
      <c r="K1063" s="45">
        <v>40.0</v>
      </c>
      <c r="P1063" s="141"/>
    </row>
    <row r="1064">
      <c r="C1064" s="133"/>
      <c r="H1064" s="45">
        <v>46.0</v>
      </c>
      <c r="J1064" s="45">
        <v>0.61</v>
      </c>
      <c r="K1064" s="45">
        <v>38.0</v>
      </c>
      <c r="P1064" s="141"/>
    </row>
    <row r="1065">
      <c r="C1065" s="133"/>
      <c r="H1065" s="45">
        <v>41.0</v>
      </c>
      <c r="J1065" s="45">
        <v>0.47</v>
      </c>
      <c r="K1065" s="45">
        <v>43.0</v>
      </c>
      <c r="P1065" s="141"/>
    </row>
    <row r="1066">
      <c r="C1066" s="133"/>
      <c r="H1066" s="45">
        <v>46.0</v>
      </c>
      <c r="J1066" s="45">
        <v>0.5</v>
      </c>
      <c r="K1066" s="45">
        <v>40.0</v>
      </c>
      <c r="P1066" s="141"/>
    </row>
    <row r="1067">
      <c r="C1067" s="133"/>
      <c r="H1067" s="45">
        <v>41.0</v>
      </c>
      <c r="J1067" s="45">
        <v>0.55</v>
      </c>
      <c r="K1067" s="45">
        <v>41.0</v>
      </c>
      <c r="P1067" s="141"/>
    </row>
    <row r="1068">
      <c r="C1068" s="133"/>
      <c r="H1068" s="45">
        <v>43.0</v>
      </c>
      <c r="J1068" s="45">
        <v>0.52</v>
      </c>
      <c r="K1068" s="45">
        <v>39.0</v>
      </c>
      <c r="P1068" s="141"/>
    </row>
    <row r="1069">
      <c r="C1069" s="133"/>
      <c r="H1069" s="45">
        <v>44.0</v>
      </c>
      <c r="J1069" s="45">
        <v>0.5</v>
      </c>
      <c r="K1069" s="45">
        <v>39.0</v>
      </c>
      <c r="P1069" s="141"/>
    </row>
    <row r="1070">
      <c r="C1070" s="133"/>
      <c r="H1070" s="45">
        <v>44.0</v>
      </c>
      <c r="J1070" s="45">
        <v>0.53</v>
      </c>
      <c r="K1070" s="45">
        <v>44.0</v>
      </c>
      <c r="P1070" s="141"/>
    </row>
    <row r="1071">
      <c r="C1071" s="133"/>
      <c r="H1071" s="45">
        <v>42.0</v>
      </c>
      <c r="J1071" s="45">
        <v>0.53</v>
      </c>
      <c r="K1071" s="45">
        <v>41.0</v>
      </c>
      <c r="P1071" s="141"/>
    </row>
    <row r="1072">
      <c r="C1072" s="133"/>
      <c r="H1072" s="45">
        <v>42.0</v>
      </c>
      <c r="J1072" s="45">
        <v>0.51</v>
      </c>
      <c r="K1072" s="45">
        <v>36.0</v>
      </c>
      <c r="P1072" s="141"/>
    </row>
    <row r="1073">
      <c r="C1073" s="133"/>
      <c r="H1073" s="45">
        <v>48.0</v>
      </c>
      <c r="J1073" s="45">
        <v>0.49</v>
      </c>
      <c r="K1073" s="45">
        <v>44.0</v>
      </c>
      <c r="P1073" s="141"/>
    </row>
    <row r="1074">
      <c r="C1074" s="133"/>
      <c r="H1074" s="45">
        <v>45.0</v>
      </c>
      <c r="J1074" s="45">
        <v>0.5</v>
      </c>
      <c r="K1074" s="45">
        <v>42.0</v>
      </c>
      <c r="P1074" s="141"/>
    </row>
    <row r="1075">
      <c r="C1075" s="133"/>
      <c r="H1075" s="45">
        <v>44.0</v>
      </c>
      <c r="J1075" s="45">
        <v>0.45</v>
      </c>
      <c r="K1075" s="45">
        <v>36.0</v>
      </c>
      <c r="P1075" s="141"/>
    </row>
    <row r="1076">
      <c r="C1076" s="133"/>
      <c r="H1076" s="45">
        <v>45.0</v>
      </c>
      <c r="J1076" s="45">
        <v>0.51</v>
      </c>
      <c r="K1076" s="45">
        <v>42.0</v>
      </c>
      <c r="P1076" s="141"/>
    </row>
    <row r="1077">
      <c r="C1077" s="133"/>
      <c r="H1077" s="45">
        <v>44.0</v>
      </c>
      <c r="J1077" s="45">
        <v>0.51</v>
      </c>
      <c r="K1077" s="45">
        <v>48.0</v>
      </c>
      <c r="P1077" s="141"/>
    </row>
    <row r="1078">
      <c r="C1078" s="133"/>
      <c r="H1078" s="45">
        <v>44.0</v>
      </c>
      <c r="J1078" s="45">
        <v>0.56</v>
      </c>
      <c r="K1078" s="45">
        <v>37.0</v>
      </c>
      <c r="P1078" s="141"/>
    </row>
    <row r="1079">
      <c r="C1079" s="133"/>
      <c r="H1079" s="45">
        <v>45.0</v>
      </c>
      <c r="J1079" s="45">
        <v>0.53</v>
      </c>
      <c r="K1079" s="45">
        <v>46.0</v>
      </c>
      <c r="P1079" s="141"/>
    </row>
    <row r="1080">
      <c r="C1080" s="133"/>
      <c r="H1080" s="45">
        <v>44.0</v>
      </c>
      <c r="J1080" s="45">
        <v>0.51</v>
      </c>
      <c r="K1080" s="45">
        <v>41.0</v>
      </c>
      <c r="P1080" s="141"/>
    </row>
    <row r="1081">
      <c r="C1081" s="133"/>
      <c r="H1081" s="45">
        <v>40.0</v>
      </c>
      <c r="J1081" s="45">
        <v>0.49</v>
      </c>
      <c r="K1081" s="45">
        <v>41.0</v>
      </c>
      <c r="P1081" s="141"/>
    </row>
    <row r="1082">
      <c r="C1082" s="133"/>
      <c r="H1082" s="45">
        <v>45.0</v>
      </c>
      <c r="J1082" s="45">
        <v>0.5</v>
      </c>
      <c r="K1082" s="45">
        <v>43.0</v>
      </c>
      <c r="P1082" s="141"/>
    </row>
    <row r="1083">
      <c r="C1083" s="133"/>
      <c r="H1083" s="45">
        <v>46.0</v>
      </c>
      <c r="J1083" s="45">
        <v>0.53</v>
      </c>
      <c r="K1083" s="45">
        <v>44.0</v>
      </c>
      <c r="P1083" s="141"/>
    </row>
    <row r="1084">
      <c r="C1084" s="133"/>
      <c r="H1084" s="45">
        <v>43.0</v>
      </c>
      <c r="J1084" s="45">
        <v>0.47</v>
      </c>
      <c r="K1084" s="45">
        <v>39.0</v>
      </c>
      <c r="P1084" s="141"/>
    </row>
    <row r="1085">
      <c r="C1085" s="133"/>
      <c r="H1085" s="45">
        <v>48.0</v>
      </c>
      <c r="J1085" s="45">
        <v>0.55</v>
      </c>
      <c r="K1085" s="45">
        <v>44.0</v>
      </c>
      <c r="P1085" s="141"/>
    </row>
    <row r="1086">
      <c r="C1086" s="133"/>
      <c r="H1086" s="45">
        <v>41.0</v>
      </c>
      <c r="J1086" s="45">
        <v>0.5</v>
      </c>
      <c r="K1086" s="45">
        <v>48.0</v>
      </c>
      <c r="P1086" s="141"/>
    </row>
    <row r="1087">
      <c r="C1087" s="133"/>
      <c r="H1087" s="45">
        <v>48.0</v>
      </c>
      <c r="J1087" s="45">
        <v>0.52</v>
      </c>
      <c r="K1087" s="45">
        <v>42.0</v>
      </c>
      <c r="P1087" s="141"/>
    </row>
    <row r="1088">
      <c r="C1088" s="133"/>
      <c r="H1088" s="45">
        <v>46.0</v>
      </c>
      <c r="J1088" s="45">
        <v>0.56</v>
      </c>
      <c r="K1088" s="45">
        <v>43.0</v>
      </c>
      <c r="P1088" s="141"/>
    </row>
    <row r="1089">
      <c r="C1089" s="133"/>
      <c r="H1089" s="45">
        <v>42.0</v>
      </c>
      <c r="J1089" s="45">
        <v>0.49</v>
      </c>
      <c r="K1089" s="45">
        <v>46.0</v>
      </c>
      <c r="P1089" s="141"/>
    </row>
    <row r="1090">
      <c r="C1090" s="133"/>
      <c r="H1090" s="45">
        <v>47.0</v>
      </c>
      <c r="J1090" s="45">
        <v>0.52</v>
      </c>
      <c r="K1090" s="45">
        <v>43.0</v>
      </c>
      <c r="P1090" s="141"/>
    </row>
    <row r="1091">
      <c r="C1091" s="133"/>
      <c r="H1091" s="45">
        <v>41.0</v>
      </c>
      <c r="J1091" s="45">
        <v>0.52</v>
      </c>
      <c r="K1091" s="45">
        <v>45.0</v>
      </c>
      <c r="P1091" s="141"/>
    </row>
    <row r="1092">
      <c r="C1092" s="133"/>
      <c r="H1092" s="45">
        <v>40.0</v>
      </c>
      <c r="J1092" s="45">
        <v>0.54</v>
      </c>
      <c r="K1092" s="45">
        <v>40.0</v>
      </c>
      <c r="P1092" s="141"/>
    </row>
    <row r="1093">
      <c r="C1093" s="133"/>
      <c r="H1093" s="45">
        <v>46.0</v>
      </c>
      <c r="J1093" s="45">
        <v>0.53</v>
      </c>
      <c r="K1093" s="45">
        <v>45.0</v>
      </c>
      <c r="P1093" s="141"/>
    </row>
    <row r="1094">
      <c r="C1094" s="133"/>
      <c r="H1094" s="45">
        <v>47.0</v>
      </c>
      <c r="J1094" s="45">
        <v>0.48</v>
      </c>
      <c r="K1094" s="45">
        <v>41.0</v>
      </c>
      <c r="P1094" s="141"/>
    </row>
    <row r="1095">
      <c r="C1095" s="133"/>
      <c r="H1095" s="45">
        <v>36.0</v>
      </c>
      <c r="J1095" s="45">
        <v>0.55</v>
      </c>
      <c r="K1095" s="45">
        <v>45.0</v>
      </c>
      <c r="P1095" s="141"/>
    </row>
    <row r="1096">
      <c r="C1096" s="133"/>
      <c r="H1096" s="45">
        <v>46.0</v>
      </c>
      <c r="J1096" s="45">
        <v>0.5</v>
      </c>
      <c r="K1096" s="45">
        <v>37.0</v>
      </c>
      <c r="P1096" s="141"/>
    </row>
    <row r="1097">
      <c r="C1097" s="133"/>
      <c r="H1097" s="45">
        <v>44.0</v>
      </c>
      <c r="J1097" s="45">
        <v>0.52</v>
      </c>
      <c r="K1097" s="45">
        <v>46.0</v>
      </c>
      <c r="P1097" s="141"/>
    </row>
    <row r="1098">
      <c r="C1098" s="133"/>
      <c r="H1098" s="45">
        <v>48.0</v>
      </c>
      <c r="J1098" s="45">
        <v>0.5</v>
      </c>
      <c r="K1098" s="45">
        <v>48.0</v>
      </c>
      <c r="P1098" s="141"/>
    </row>
    <row r="1099">
      <c r="C1099" s="133"/>
      <c r="H1099" s="45">
        <v>46.0</v>
      </c>
      <c r="J1099" s="45">
        <v>0.51</v>
      </c>
      <c r="K1099" s="45">
        <v>43.0</v>
      </c>
      <c r="P1099" s="141"/>
    </row>
    <row r="1100">
      <c r="C1100" s="133"/>
      <c r="H1100" s="45">
        <v>47.0</v>
      </c>
      <c r="J1100" s="45">
        <v>0.51</v>
      </c>
      <c r="K1100" s="45">
        <v>42.0</v>
      </c>
      <c r="P1100" s="141"/>
    </row>
    <row r="1101">
      <c r="C1101" s="133"/>
      <c r="H1101" s="45">
        <v>43.0</v>
      </c>
      <c r="J1101" s="45">
        <v>0.47</v>
      </c>
      <c r="K1101" s="45">
        <v>45.0</v>
      </c>
      <c r="P1101" s="141"/>
    </row>
    <row r="1102">
      <c r="C1102" s="133"/>
      <c r="H1102" s="45">
        <v>46.0</v>
      </c>
      <c r="J1102" s="45">
        <v>0.52</v>
      </c>
      <c r="K1102" s="45">
        <v>48.0</v>
      </c>
      <c r="P1102" s="141"/>
    </row>
    <row r="1103">
      <c r="C1103" s="133"/>
      <c r="H1103" s="45">
        <v>46.0</v>
      </c>
      <c r="J1103" s="45">
        <v>0.49</v>
      </c>
      <c r="K1103" s="45">
        <v>44.0</v>
      </c>
      <c r="P1103" s="141"/>
    </row>
    <row r="1104">
      <c r="C1104" s="133"/>
      <c r="H1104" s="45">
        <v>47.0</v>
      </c>
      <c r="J1104" s="45">
        <v>0.51</v>
      </c>
      <c r="K1104" s="45">
        <v>41.0</v>
      </c>
      <c r="P1104" s="141"/>
    </row>
    <row r="1105">
      <c r="C1105" s="133"/>
      <c r="H1105" s="45">
        <v>47.0</v>
      </c>
      <c r="J1105" s="45">
        <v>0.52</v>
      </c>
      <c r="K1105" s="45">
        <v>46.0</v>
      </c>
      <c r="P1105" s="141"/>
    </row>
    <row r="1106">
      <c r="C1106" s="133"/>
      <c r="H1106" s="45">
        <v>47.0</v>
      </c>
      <c r="J1106" s="45">
        <v>0.55</v>
      </c>
      <c r="K1106" s="45">
        <v>40.0</v>
      </c>
      <c r="P1106" s="141"/>
    </row>
    <row r="1107">
      <c r="C1107" s="133"/>
      <c r="H1107" s="45">
        <v>39.0</v>
      </c>
      <c r="J1107" s="45">
        <v>0.52</v>
      </c>
      <c r="K1107" s="45">
        <v>41.0</v>
      </c>
      <c r="P1107" s="141"/>
    </row>
    <row r="1108">
      <c r="C1108" s="133"/>
      <c r="H1108" s="45">
        <v>44.0</v>
      </c>
      <c r="J1108" s="45">
        <v>0.52</v>
      </c>
      <c r="K1108" s="45">
        <v>40.0</v>
      </c>
      <c r="P1108" s="141"/>
    </row>
    <row r="1109">
      <c r="C1109" s="133"/>
      <c r="H1109" s="45">
        <v>48.0</v>
      </c>
      <c r="J1109" s="45">
        <v>0.51</v>
      </c>
      <c r="K1109" s="45">
        <v>52.0</v>
      </c>
      <c r="P1109" s="141"/>
    </row>
    <row r="1110">
      <c r="C1110" s="133"/>
      <c r="H1110" s="45">
        <v>48.0</v>
      </c>
      <c r="J1110" s="45">
        <v>0.56</v>
      </c>
      <c r="K1110" s="45">
        <v>46.0</v>
      </c>
      <c r="P1110" s="141"/>
    </row>
    <row r="1111">
      <c r="C1111" s="133"/>
      <c r="H1111" s="45">
        <v>45.0</v>
      </c>
      <c r="J1111" s="45">
        <v>0.52</v>
      </c>
      <c r="K1111" s="45">
        <v>38.0</v>
      </c>
      <c r="P1111" s="141"/>
    </row>
    <row r="1112">
      <c r="C1112" s="133"/>
      <c r="H1112" s="45">
        <v>46.0</v>
      </c>
      <c r="J1112" s="45">
        <v>0.52</v>
      </c>
      <c r="K1112" s="45">
        <v>45.0</v>
      </c>
      <c r="P1112" s="141"/>
    </row>
    <row r="1113">
      <c r="C1113" s="133"/>
      <c r="H1113" s="45">
        <v>43.0</v>
      </c>
      <c r="J1113" s="45">
        <v>0.57</v>
      </c>
      <c r="K1113" s="45">
        <v>47.0</v>
      </c>
      <c r="P1113" s="141"/>
    </row>
    <row r="1114">
      <c r="C1114" s="133"/>
      <c r="H1114" s="45">
        <v>43.0</v>
      </c>
      <c r="J1114" s="45">
        <v>0.51</v>
      </c>
      <c r="K1114" s="45">
        <v>47.0</v>
      </c>
      <c r="P1114" s="141"/>
    </row>
    <row r="1115">
      <c r="C1115" s="133"/>
      <c r="H1115" s="45">
        <v>39.0</v>
      </c>
      <c r="J1115" s="45">
        <v>0.51</v>
      </c>
      <c r="K1115" s="45">
        <v>48.0</v>
      </c>
      <c r="P1115" s="141"/>
    </row>
    <row r="1116">
      <c r="C1116" s="133"/>
      <c r="H1116" s="45">
        <v>39.0</v>
      </c>
      <c r="J1116" s="45">
        <v>0.51</v>
      </c>
      <c r="K1116" s="45">
        <v>44.0</v>
      </c>
      <c r="P1116" s="141"/>
    </row>
    <row r="1117">
      <c r="C1117" s="133"/>
      <c r="H1117" s="45">
        <v>44.0</v>
      </c>
      <c r="J1117" s="45">
        <v>0.45</v>
      </c>
      <c r="K1117" s="45">
        <v>44.0</v>
      </c>
      <c r="P1117" s="141"/>
    </row>
    <row r="1118">
      <c r="C1118" s="133"/>
      <c r="H1118" s="45">
        <v>44.0</v>
      </c>
      <c r="J1118" s="45">
        <v>0.46</v>
      </c>
      <c r="K1118" s="45">
        <v>43.0</v>
      </c>
      <c r="P1118" s="141"/>
    </row>
    <row r="1119">
      <c r="C1119" s="133"/>
      <c r="H1119" s="45">
        <v>41.0</v>
      </c>
      <c r="J1119" s="45">
        <v>0.48</v>
      </c>
      <c r="K1119" s="45">
        <v>43.0</v>
      </c>
      <c r="P1119" s="141"/>
    </row>
    <row r="1120">
      <c r="C1120" s="133"/>
      <c r="H1120" s="45">
        <v>45.0</v>
      </c>
      <c r="J1120" s="45">
        <v>0.44</v>
      </c>
      <c r="K1120" s="45">
        <v>42.0</v>
      </c>
      <c r="P1120" s="141"/>
    </row>
    <row r="1121">
      <c r="C1121" s="133"/>
      <c r="H1121" s="45">
        <v>46.0</v>
      </c>
      <c r="J1121" s="45">
        <v>0.43</v>
      </c>
      <c r="K1121" s="45">
        <v>42.0</v>
      </c>
      <c r="P1121" s="141"/>
    </row>
    <row r="1122">
      <c r="C1122" s="133"/>
      <c r="H1122" s="45">
        <v>39.0</v>
      </c>
      <c r="J1122" s="45">
        <v>0.52</v>
      </c>
      <c r="K1122" s="45">
        <v>36.0</v>
      </c>
      <c r="P1122" s="141"/>
    </row>
    <row r="1123">
      <c r="C1123" s="133"/>
      <c r="H1123" s="45">
        <v>45.0</v>
      </c>
      <c r="J1123" s="45">
        <v>0.47</v>
      </c>
      <c r="K1123" s="45">
        <v>40.0</v>
      </c>
      <c r="P1123" s="141"/>
    </row>
    <row r="1124">
      <c r="C1124" s="133"/>
      <c r="H1124" s="45">
        <v>45.0</v>
      </c>
      <c r="J1124" s="45">
        <v>0.46</v>
      </c>
      <c r="K1124" s="45">
        <v>40.0</v>
      </c>
      <c r="P1124" s="141"/>
    </row>
    <row r="1125">
      <c r="C1125" s="133"/>
      <c r="H1125" s="45">
        <v>45.0</v>
      </c>
      <c r="J1125" s="45">
        <v>0.49</v>
      </c>
      <c r="K1125" s="45">
        <v>39.0</v>
      </c>
      <c r="P1125" s="141"/>
    </row>
    <row r="1126">
      <c r="C1126" s="133"/>
      <c r="H1126" s="45">
        <v>41.0</v>
      </c>
      <c r="J1126" s="45">
        <v>0.44</v>
      </c>
      <c r="K1126" s="45">
        <v>42.0</v>
      </c>
      <c r="P1126" s="141"/>
    </row>
    <row r="1127">
      <c r="C1127" s="133"/>
      <c r="H1127" s="45">
        <v>41.0</v>
      </c>
      <c r="J1127" s="45">
        <v>0.48</v>
      </c>
      <c r="K1127" s="45">
        <v>42.0</v>
      </c>
      <c r="P1127" s="141"/>
    </row>
    <row r="1128">
      <c r="C1128" s="133"/>
      <c r="H1128" s="45">
        <v>37.0</v>
      </c>
      <c r="J1128" s="45">
        <v>0.52</v>
      </c>
      <c r="K1128" s="45">
        <v>44.0</v>
      </c>
      <c r="P1128" s="141"/>
    </row>
    <row r="1129">
      <c r="C1129" s="133"/>
      <c r="H1129" s="45">
        <v>40.0</v>
      </c>
      <c r="J1129" s="45">
        <v>0.48</v>
      </c>
      <c r="K1129" s="45">
        <v>44.0</v>
      </c>
      <c r="P1129" s="141"/>
    </row>
    <row r="1130">
      <c r="C1130" s="133"/>
      <c r="H1130" s="45">
        <v>43.0</v>
      </c>
      <c r="J1130" s="45">
        <v>0.51</v>
      </c>
      <c r="K1130" s="45">
        <v>45.0</v>
      </c>
      <c r="P1130" s="141"/>
    </row>
    <row r="1131">
      <c r="C1131" s="133"/>
      <c r="H1131" s="45">
        <v>41.0</v>
      </c>
      <c r="J1131" s="45">
        <v>0.51</v>
      </c>
      <c r="K1131" s="45">
        <v>48.0</v>
      </c>
      <c r="P1131" s="141"/>
    </row>
    <row r="1132">
      <c r="C1132" s="133"/>
      <c r="H1132" s="45">
        <v>46.0</v>
      </c>
      <c r="J1132" s="45">
        <v>0.49</v>
      </c>
      <c r="K1132" s="45">
        <v>38.0</v>
      </c>
      <c r="P1132" s="141"/>
    </row>
    <row r="1133">
      <c r="C1133" s="133"/>
      <c r="H1133" s="45">
        <v>44.0</v>
      </c>
      <c r="J1133" s="45">
        <v>0.51</v>
      </c>
      <c r="K1133" s="45">
        <v>38.0</v>
      </c>
      <c r="P1133" s="141"/>
    </row>
    <row r="1134">
      <c r="C1134" s="133"/>
      <c r="H1134" s="45">
        <v>42.0</v>
      </c>
      <c r="J1134" s="45">
        <v>0.46</v>
      </c>
      <c r="K1134" s="45">
        <v>38.0</v>
      </c>
      <c r="P1134" s="141"/>
    </row>
    <row r="1135">
      <c r="C1135" s="133"/>
      <c r="H1135" s="45">
        <v>46.0</v>
      </c>
      <c r="J1135" s="45">
        <v>0.47</v>
      </c>
      <c r="K1135" s="45">
        <v>45.0</v>
      </c>
      <c r="P1135" s="141"/>
    </row>
    <row r="1136">
      <c r="C1136" s="133"/>
      <c r="H1136" s="45">
        <v>43.0</v>
      </c>
      <c r="J1136" s="45">
        <v>0.57</v>
      </c>
      <c r="K1136" s="45">
        <v>45.0</v>
      </c>
      <c r="P1136" s="141"/>
    </row>
    <row r="1137">
      <c r="C1137" s="133"/>
      <c r="H1137" s="45">
        <v>41.0</v>
      </c>
      <c r="J1137" s="45">
        <v>0.56</v>
      </c>
      <c r="K1137" s="45">
        <v>45.0</v>
      </c>
      <c r="P1137" s="141"/>
    </row>
    <row r="1138">
      <c r="C1138" s="133"/>
      <c r="H1138" s="45">
        <v>44.0</v>
      </c>
      <c r="J1138" s="45">
        <v>0.48</v>
      </c>
      <c r="K1138" s="45">
        <v>41.0</v>
      </c>
      <c r="P1138" s="141"/>
    </row>
    <row r="1139">
      <c r="C1139" s="133"/>
      <c r="H1139" s="45">
        <v>48.0</v>
      </c>
      <c r="J1139" s="45">
        <v>0.44</v>
      </c>
      <c r="K1139" s="45">
        <v>37.0</v>
      </c>
      <c r="P1139" s="141"/>
    </row>
    <row r="1140">
      <c r="C1140" s="133"/>
      <c r="H1140" s="45">
        <v>41.0</v>
      </c>
      <c r="J1140" s="45">
        <v>0.48</v>
      </c>
      <c r="K1140" s="45">
        <v>44.0</v>
      </c>
      <c r="P1140" s="141"/>
    </row>
    <row r="1141">
      <c r="C1141" s="133"/>
      <c r="H1141" s="45">
        <v>41.0</v>
      </c>
      <c r="J1141" s="45">
        <v>0.47</v>
      </c>
      <c r="K1141" s="45">
        <v>37.0</v>
      </c>
      <c r="P1141" s="141"/>
    </row>
    <row r="1142">
      <c r="C1142" s="133"/>
      <c r="H1142" s="45">
        <v>41.0</v>
      </c>
      <c r="J1142" s="45">
        <v>0.41</v>
      </c>
      <c r="K1142" s="45">
        <v>39.0</v>
      </c>
      <c r="P1142" s="141"/>
    </row>
    <row r="1143">
      <c r="C1143" s="133"/>
      <c r="H1143" s="45">
        <v>42.0</v>
      </c>
      <c r="J1143" s="45">
        <v>0.46</v>
      </c>
      <c r="K1143" s="45">
        <v>47.0</v>
      </c>
      <c r="P1143" s="141"/>
    </row>
    <row r="1144">
      <c r="C1144" s="133"/>
      <c r="H1144" s="45">
        <v>41.0</v>
      </c>
      <c r="J1144" s="45">
        <v>0.44</v>
      </c>
      <c r="K1144" s="45">
        <v>38.0</v>
      </c>
      <c r="P1144" s="141"/>
    </row>
    <row r="1145">
      <c r="C1145" s="133"/>
      <c r="H1145" s="45">
        <v>43.0</v>
      </c>
      <c r="J1145" s="45">
        <v>0.48</v>
      </c>
      <c r="K1145" s="45">
        <v>38.0</v>
      </c>
      <c r="P1145" s="141"/>
    </row>
    <row r="1146">
      <c r="C1146" s="133"/>
      <c r="H1146" s="45">
        <v>40.0</v>
      </c>
      <c r="J1146" s="45">
        <v>0.5</v>
      </c>
      <c r="K1146" s="45">
        <v>39.0</v>
      </c>
      <c r="P1146" s="141"/>
    </row>
    <row r="1147">
      <c r="C1147" s="133"/>
      <c r="H1147" s="45">
        <v>41.0</v>
      </c>
      <c r="J1147" s="45">
        <v>0.47</v>
      </c>
      <c r="K1147" s="45">
        <v>41.0</v>
      </c>
      <c r="P1147" s="141"/>
    </row>
    <row r="1148">
      <c r="C1148" s="133"/>
      <c r="H1148" s="45">
        <v>47.0</v>
      </c>
      <c r="J1148" s="45">
        <v>0.49</v>
      </c>
      <c r="K1148" s="45">
        <v>41.0</v>
      </c>
      <c r="P1148" s="141"/>
    </row>
    <row r="1149">
      <c r="C1149" s="133"/>
      <c r="H1149" s="45">
        <v>42.0</v>
      </c>
      <c r="J1149" s="45">
        <v>0.48</v>
      </c>
      <c r="K1149" s="45">
        <v>38.0</v>
      </c>
      <c r="P1149" s="141"/>
    </row>
    <row r="1150">
      <c r="C1150" s="133"/>
      <c r="H1150" s="45">
        <v>45.0</v>
      </c>
      <c r="J1150" s="45">
        <v>0.5</v>
      </c>
      <c r="K1150" s="45">
        <v>42.0</v>
      </c>
      <c r="P1150" s="141"/>
    </row>
    <row r="1151">
      <c r="C1151" s="133"/>
      <c r="H1151" s="45">
        <v>44.0</v>
      </c>
      <c r="J1151" s="45">
        <v>0.47</v>
      </c>
      <c r="K1151" s="45">
        <v>46.0</v>
      </c>
      <c r="P1151" s="141"/>
    </row>
    <row r="1152">
      <c r="C1152" s="133"/>
      <c r="H1152" s="45">
        <v>39.0</v>
      </c>
      <c r="J1152" s="45">
        <v>0.48</v>
      </c>
      <c r="K1152" s="45">
        <v>45.0</v>
      </c>
      <c r="P1152" s="141"/>
    </row>
    <row r="1153">
      <c r="C1153" s="133"/>
      <c r="H1153" s="45">
        <v>47.0</v>
      </c>
      <c r="J1153" s="45">
        <v>0.45</v>
      </c>
      <c r="K1153" s="45">
        <v>46.0</v>
      </c>
      <c r="P1153" s="141"/>
    </row>
    <row r="1154">
      <c r="C1154" s="133"/>
      <c r="H1154" s="45">
        <v>46.0</v>
      </c>
      <c r="J1154" s="45">
        <v>0.42</v>
      </c>
      <c r="K1154" s="45">
        <v>44.0</v>
      </c>
      <c r="P1154" s="141"/>
    </row>
    <row r="1155">
      <c r="C1155" s="133"/>
      <c r="H1155" s="45">
        <v>50.0</v>
      </c>
      <c r="J1155" s="45">
        <v>0.42</v>
      </c>
      <c r="K1155" s="45">
        <v>48.0</v>
      </c>
      <c r="P1155" s="141"/>
    </row>
    <row r="1156">
      <c r="C1156" s="133"/>
      <c r="H1156" s="45">
        <v>50.0</v>
      </c>
      <c r="J1156" s="45">
        <v>0.44</v>
      </c>
      <c r="K1156" s="45">
        <v>42.0</v>
      </c>
      <c r="P1156" s="141"/>
    </row>
    <row r="1157">
      <c r="C1157" s="133"/>
      <c r="H1157" s="45">
        <v>48.0</v>
      </c>
      <c r="J1157" s="45">
        <v>0.48</v>
      </c>
      <c r="K1157" s="45">
        <v>51.0</v>
      </c>
      <c r="P1157" s="141"/>
    </row>
    <row r="1158">
      <c r="C1158" s="133"/>
      <c r="H1158" s="45">
        <v>51.0</v>
      </c>
      <c r="J1158" s="45">
        <v>0.43</v>
      </c>
      <c r="K1158" s="45">
        <v>40.0</v>
      </c>
      <c r="P1158" s="141"/>
    </row>
    <row r="1159">
      <c r="C1159" s="133"/>
      <c r="H1159" s="45">
        <v>51.0</v>
      </c>
      <c r="J1159" s="45">
        <v>0.49</v>
      </c>
      <c r="K1159" s="45">
        <v>43.0</v>
      </c>
      <c r="P1159" s="141"/>
    </row>
    <row r="1160">
      <c r="C1160" s="133"/>
      <c r="H1160" s="45">
        <v>43.0</v>
      </c>
      <c r="J1160" s="45">
        <v>0.46</v>
      </c>
      <c r="K1160" s="45">
        <v>45.0</v>
      </c>
      <c r="P1160" s="141"/>
    </row>
    <row r="1161">
      <c r="C1161" s="133"/>
      <c r="H1161" s="45">
        <v>42.0</v>
      </c>
      <c r="J1161" s="45">
        <v>0.56</v>
      </c>
      <c r="K1161" s="45">
        <v>44.0</v>
      </c>
      <c r="P1161" s="141"/>
    </row>
    <row r="1162">
      <c r="C1162" s="133"/>
      <c r="H1162" s="45">
        <v>42.0</v>
      </c>
      <c r="J1162" s="45">
        <v>0.47</v>
      </c>
      <c r="K1162" s="45">
        <v>38.0</v>
      </c>
      <c r="P1162" s="141"/>
    </row>
    <row r="1163">
      <c r="C1163" s="133"/>
      <c r="H1163" s="45">
        <v>47.0</v>
      </c>
      <c r="J1163" s="45">
        <v>0.44</v>
      </c>
      <c r="K1163" s="45">
        <v>49.0</v>
      </c>
      <c r="P1163" s="141"/>
    </row>
    <row r="1164">
      <c r="C1164" s="133"/>
      <c r="H1164" s="45">
        <v>44.0</v>
      </c>
      <c r="J1164" s="45">
        <v>0.43</v>
      </c>
      <c r="K1164" s="45">
        <v>46.0</v>
      </c>
      <c r="P1164" s="141"/>
    </row>
    <row r="1165">
      <c r="C1165" s="133"/>
      <c r="H1165" s="45">
        <v>48.0</v>
      </c>
      <c r="J1165" s="45">
        <v>0.44</v>
      </c>
      <c r="K1165" s="45">
        <v>43.0</v>
      </c>
      <c r="P1165" s="141"/>
    </row>
    <row r="1166">
      <c r="C1166" s="133"/>
      <c r="H1166" s="45">
        <v>46.0</v>
      </c>
      <c r="J1166" s="45">
        <v>0.48</v>
      </c>
      <c r="K1166" s="45">
        <v>44.0</v>
      </c>
      <c r="P1166" s="141"/>
    </row>
    <row r="1167">
      <c r="C1167" s="133"/>
      <c r="H1167" s="45">
        <v>42.0</v>
      </c>
      <c r="J1167" s="45">
        <v>0.49</v>
      </c>
      <c r="K1167" s="45">
        <v>47.0</v>
      </c>
      <c r="P1167" s="141"/>
    </row>
    <row r="1168">
      <c r="C1168" s="133"/>
      <c r="H1168" s="45">
        <v>41.0</v>
      </c>
      <c r="J1168" s="45">
        <v>0.48</v>
      </c>
      <c r="K1168" s="45">
        <v>45.0</v>
      </c>
      <c r="P1168" s="141"/>
    </row>
    <row r="1169">
      <c r="C1169" s="133"/>
      <c r="H1169" s="45">
        <v>43.0</v>
      </c>
      <c r="J1169" s="45">
        <v>0.48</v>
      </c>
      <c r="K1169" s="45">
        <v>38.0</v>
      </c>
      <c r="P1169" s="141"/>
    </row>
    <row r="1170">
      <c r="C1170" s="133"/>
      <c r="H1170" s="45">
        <v>53.0</v>
      </c>
      <c r="J1170" s="45">
        <v>0.44</v>
      </c>
      <c r="K1170" s="45">
        <v>47.0</v>
      </c>
      <c r="P1170" s="141"/>
    </row>
    <row r="1171">
      <c r="C1171" s="133"/>
      <c r="H1171" s="45">
        <v>48.0</v>
      </c>
      <c r="J1171" s="45">
        <v>0.47</v>
      </c>
      <c r="K1171" s="45">
        <v>45.0</v>
      </c>
      <c r="P1171" s="141"/>
    </row>
    <row r="1172">
      <c r="C1172" s="133"/>
      <c r="H1172" s="45">
        <v>47.0</v>
      </c>
      <c r="J1172" s="45">
        <v>0.45</v>
      </c>
      <c r="K1172" s="45">
        <v>41.0</v>
      </c>
      <c r="P1172" s="141"/>
    </row>
    <row r="1173">
      <c r="C1173" s="133"/>
      <c r="H1173" s="45">
        <v>45.0</v>
      </c>
      <c r="J1173" s="45">
        <v>0.46</v>
      </c>
      <c r="K1173" s="45">
        <v>49.0</v>
      </c>
      <c r="P1173" s="141"/>
    </row>
    <row r="1174">
      <c r="C1174" s="133"/>
      <c r="H1174" s="45">
        <v>45.0</v>
      </c>
      <c r="J1174" s="45">
        <v>0.48</v>
      </c>
      <c r="K1174" s="45">
        <v>45.0</v>
      </c>
      <c r="P1174" s="141"/>
    </row>
    <row r="1175">
      <c r="C1175" s="133"/>
      <c r="H1175" s="45">
        <v>45.0</v>
      </c>
      <c r="J1175" s="45">
        <v>0.46</v>
      </c>
      <c r="K1175" s="45">
        <v>40.0</v>
      </c>
      <c r="P1175" s="141"/>
    </row>
    <row r="1176">
      <c r="C1176" s="133"/>
      <c r="H1176" s="45">
        <v>48.0</v>
      </c>
      <c r="J1176" s="45">
        <v>0.49</v>
      </c>
      <c r="K1176" s="45">
        <v>42.0</v>
      </c>
      <c r="P1176" s="141"/>
    </row>
    <row r="1177">
      <c r="C1177" s="133"/>
      <c r="H1177" s="45">
        <v>46.0</v>
      </c>
      <c r="J1177" s="45">
        <v>0.45</v>
      </c>
      <c r="K1177" s="45">
        <v>48.0</v>
      </c>
      <c r="P1177" s="141"/>
    </row>
    <row r="1178">
      <c r="C1178" s="133"/>
      <c r="H1178" s="45">
        <v>45.0</v>
      </c>
      <c r="J1178" s="45">
        <v>0.47</v>
      </c>
      <c r="K1178" s="45">
        <v>46.0</v>
      </c>
      <c r="P1178" s="141"/>
    </row>
    <row r="1179">
      <c r="C1179" s="133"/>
      <c r="H1179" s="45">
        <v>47.0</v>
      </c>
      <c r="J1179" s="45">
        <v>0.44</v>
      </c>
      <c r="K1179" s="45">
        <v>45.0</v>
      </c>
      <c r="P1179" s="141"/>
    </row>
    <row r="1180">
      <c r="C1180" s="133"/>
      <c r="H1180" s="45">
        <v>42.0</v>
      </c>
      <c r="J1180" s="45">
        <v>0.51</v>
      </c>
      <c r="K1180" s="45">
        <v>46.0</v>
      </c>
      <c r="P1180" s="141"/>
    </row>
    <row r="1181">
      <c r="C1181" s="133"/>
      <c r="H1181" s="45">
        <v>44.0</v>
      </c>
      <c r="J1181" s="45">
        <v>0.47</v>
      </c>
      <c r="K1181" s="45">
        <v>46.0</v>
      </c>
      <c r="P1181" s="141"/>
    </row>
    <row r="1182">
      <c r="C1182" s="133"/>
      <c r="H1182" s="45">
        <v>49.0</v>
      </c>
      <c r="J1182" s="45">
        <v>0.47</v>
      </c>
      <c r="K1182" s="45">
        <v>39.0</v>
      </c>
      <c r="P1182" s="141"/>
    </row>
    <row r="1183">
      <c r="C1183" s="133"/>
      <c r="H1183" s="45">
        <v>48.0</v>
      </c>
      <c r="J1183" s="45">
        <v>0.47</v>
      </c>
      <c r="K1183" s="45">
        <v>50.0</v>
      </c>
      <c r="P1183" s="141"/>
    </row>
    <row r="1184">
      <c r="C1184" s="133"/>
      <c r="H1184" s="45">
        <v>42.0</v>
      </c>
      <c r="J1184" s="45">
        <v>0.52</v>
      </c>
      <c r="K1184" s="45">
        <v>39.0</v>
      </c>
      <c r="P1184" s="141"/>
    </row>
    <row r="1185">
      <c r="C1185" s="133"/>
      <c r="H1185" s="45">
        <v>44.0</v>
      </c>
      <c r="J1185" s="45">
        <v>0.5</v>
      </c>
      <c r="K1185" s="45">
        <v>46.0</v>
      </c>
      <c r="P1185" s="141"/>
    </row>
    <row r="1186">
      <c r="C1186" s="133"/>
      <c r="H1186" s="45">
        <v>47.0</v>
      </c>
      <c r="J1186" s="45">
        <v>0.51</v>
      </c>
      <c r="K1186" s="45">
        <v>45.0</v>
      </c>
      <c r="P1186" s="141"/>
    </row>
    <row r="1187">
      <c r="C1187" s="133"/>
      <c r="H1187" s="45">
        <v>41.0</v>
      </c>
      <c r="J1187" s="45">
        <v>0.48</v>
      </c>
      <c r="K1187" s="45">
        <v>48.0</v>
      </c>
      <c r="P1187" s="141"/>
    </row>
    <row r="1188">
      <c r="C1188" s="133"/>
      <c r="H1188" s="45">
        <v>44.0</v>
      </c>
      <c r="J1188" s="45">
        <v>0.39</v>
      </c>
      <c r="K1188" s="45">
        <v>41.0</v>
      </c>
      <c r="P1188" s="141"/>
    </row>
    <row r="1189">
      <c r="C1189" s="133"/>
      <c r="H1189" s="45">
        <v>43.0</v>
      </c>
      <c r="J1189" s="45">
        <v>0.45</v>
      </c>
      <c r="K1189" s="45">
        <v>39.0</v>
      </c>
      <c r="P1189" s="141"/>
    </row>
    <row r="1190">
      <c r="C1190" s="133"/>
      <c r="H1190" s="45">
        <v>47.0</v>
      </c>
      <c r="J1190" s="45">
        <v>0.49</v>
      </c>
      <c r="K1190" s="45">
        <v>41.0</v>
      </c>
      <c r="P1190" s="141"/>
    </row>
    <row r="1191">
      <c r="C1191" s="133"/>
      <c r="H1191" s="45">
        <v>45.0</v>
      </c>
      <c r="J1191" s="45">
        <v>0.47</v>
      </c>
      <c r="K1191" s="45">
        <v>41.0</v>
      </c>
      <c r="P1191" s="141"/>
    </row>
    <row r="1192">
      <c r="C1192" s="133"/>
      <c r="H1192" s="45">
        <v>45.0</v>
      </c>
      <c r="J1192" s="45">
        <v>0.46</v>
      </c>
      <c r="K1192" s="45">
        <v>46.0</v>
      </c>
      <c r="P1192" s="141"/>
    </row>
    <row r="1193">
      <c r="C1193" s="133"/>
      <c r="H1193" s="45">
        <v>46.0</v>
      </c>
      <c r="J1193" s="45">
        <v>0.46</v>
      </c>
      <c r="K1193" s="45">
        <v>41.0</v>
      </c>
      <c r="P1193" s="141"/>
    </row>
    <row r="1194">
      <c r="C1194" s="133"/>
      <c r="H1194" s="45">
        <v>46.0</v>
      </c>
      <c r="J1194" s="45">
        <v>0.43</v>
      </c>
      <c r="K1194" s="45">
        <v>43.0</v>
      </c>
      <c r="P1194" s="141"/>
    </row>
    <row r="1195">
      <c r="C1195" s="133"/>
      <c r="H1195" s="45">
        <v>46.0</v>
      </c>
      <c r="J1195" s="45">
        <v>0.47</v>
      </c>
      <c r="K1195" s="45">
        <v>44.0</v>
      </c>
      <c r="P1195" s="141"/>
    </row>
    <row r="1196">
      <c r="C1196" s="133"/>
      <c r="H1196" s="45">
        <v>42.0</v>
      </c>
      <c r="J1196" s="45">
        <v>0.43</v>
      </c>
      <c r="K1196" s="45">
        <v>42.0</v>
      </c>
      <c r="P1196" s="141"/>
    </row>
    <row r="1197">
      <c r="C1197" s="133"/>
      <c r="H1197" s="45">
        <v>45.0</v>
      </c>
      <c r="J1197" s="45">
        <v>0.49</v>
      </c>
      <c r="K1197" s="45">
        <v>43.0</v>
      </c>
      <c r="P1197" s="141"/>
    </row>
    <row r="1198">
      <c r="C1198" s="133"/>
      <c r="H1198" s="45">
        <v>45.0</v>
      </c>
      <c r="J1198" s="45">
        <v>0.47</v>
      </c>
      <c r="K1198" s="45">
        <v>45.0</v>
      </c>
      <c r="P1198" s="141"/>
    </row>
    <row r="1199">
      <c r="C1199" s="133"/>
      <c r="H1199" s="45">
        <v>43.0</v>
      </c>
      <c r="J1199" s="45">
        <v>0.42</v>
      </c>
      <c r="K1199" s="45">
        <v>45.0</v>
      </c>
      <c r="P1199" s="141"/>
    </row>
    <row r="1200">
      <c r="C1200" s="133"/>
      <c r="H1200" s="45">
        <v>49.0</v>
      </c>
      <c r="J1200" s="45">
        <v>0.47</v>
      </c>
      <c r="K1200" s="45">
        <v>39.0</v>
      </c>
      <c r="P1200" s="141"/>
    </row>
    <row r="1201">
      <c r="C1201" s="133"/>
      <c r="H1201" s="45">
        <v>45.0</v>
      </c>
      <c r="J1201" s="45">
        <v>0.46</v>
      </c>
      <c r="K1201" s="45">
        <v>42.0</v>
      </c>
      <c r="P1201" s="141"/>
    </row>
    <row r="1202">
      <c r="C1202" s="133"/>
      <c r="H1202" s="45">
        <v>41.0</v>
      </c>
      <c r="J1202" s="45">
        <v>0.45</v>
      </c>
      <c r="K1202" s="45">
        <v>36.0</v>
      </c>
      <c r="P1202" s="141"/>
    </row>
    <row r="1203">
      <c r="C1203" s="133"/>
      <c r="H1203" s="45">
        <v>45.0</v>
      </c>
      <c r="J1203" s="45">
        <v>0.51</v>
      </c>
      <c r="K1203" s="45">
        <v>40.0</v>
      </c>
      <c r="P1203" s="141"/>
    </row>
    <row r="1204">
      <c r="C1204" s="133"/>
      <c r="H1204" s="45">
        <v>42.0</v>
      </c>
      <c r="J1204" s="45">
        <v>0.46</v>
      </c>
      <c r="K1204" s="45">
        <v>38.0</v>
      </c>
      <c r="P1204" s="141"/>
    </row>
    <row r="1205">
      <c r="C1205" s="133"/>
      <c r="H1205" s="45">
        <v>45.0</v>
      </c>
      <c r="J1205" s="45">
        <v>0.46</v>
      </c>
      <c r="K1205" s="45">
        <v>41.0</v>
      </c>
      <c r="P1205" s="141"/>
    </row>
    <row r="1206">
      <c r="C1206" s="133"/>
      <c r="H1206" s="45">
        <v>41.0</v>
      </c>
      <c r="J1206" s="45">
        <v>0.5</v>
      </c>
      <c r="K1206" s="45">
        <v>46.0</v>
      </c>
      <c r="P1206" s="141"/>
    </row>
    <row r="1207">
      <c r="C1207" s="133"/>
      <c r="H1207" s="45">
        <v>45.0</v>
      </c>
      <c r="J1207" s="45">
        <v>0.45</v>
      </c>
      <c r="K1207" s="45">
        <v>44.0</v>
      </c>
      <c r="P1207" s="141"/>
    </row>
    <row r="1208">
      <c r="C1208" s="133"/>
      <c r="H1208" s="45">
        <v>42.0</v>
      </c>
      <c r="J1208" s="45">
        <v>0.48</v>
      </c>
      <c r="K1208" s="45">
        <v>45.0</v>
      </c>
      <c r="P1208" s="141"/>
    </row>
    <row r="1209">
      <c r="C1209" s="133"/>
      <c r="H1209" s="45">
        <v>41.0</v>
      </c>
      <c r="J1209" s="45">
        <v>0.48</v>
      </c>
      <c r="K1209" s="45">
        <v>48.0</v>
      </c>
      <c r="P1209" s="141"/>
    </row>
    <row r="1210">
      <c r="C1210" s="133"/>
      <c r="H1210" s="45">
        <v>45.0</v>
      </c>
      <c r="J1210" s="45">
        <v>0.45</v>
      </c>
      <c r="K1210" s="45">
        <v>50.0</v>
      </c>
      <c r="P1210" s="141"/>
    </row>
    <row r="1211">
      <c r="C1211" s="133"/>
      <c r="H1211" s="45">
        <v>44.0</v>
      </c>
      <c r="J1211" s="45">
        <v>0.47</v>
      </c>
      <c r="K1211" s="45">
        <v>50.0</v>
      </c>
      <c r="P1211" s="141"/>
    </row>
    <row r="1212">
      <c r="C1212" s="133"/>
      <c r="H1212" s="45">
        <v>46.0</v>
      </c>
      <c r="J1212" s="45">
        <v>0.47</v>
      </c>
      <c r="K1212" s="45">
        <v>43.0</v>
      </c>
      <c r="P1212" s="141"/>
    </row>
    <row r="1213">
      <c r="C1213" s="133"/>
      <c r="H1213" s="45">
        <v>45.0</v>
      </c>
      <c r="J1213" s="45">
        <v>0.46</v>
      </c>
      <c r="K1213" s="45">
        <v>39.0</v>
      </c>
      <c r="P1213" s="141"/>
    </row>
    <row r="1214">
      <c r="C1214" s="133"/>
      <c r="H1214" s="45">
        <v>44.0</v>
      </c>
      <c r="J1214" s="45">
        <v>0.48</v>
      </c>
      <c r="K1214" s="45">
        <v>44.0</v>
      </c>
      <c r="P1214" s="141"/>
    </row>
    <row r="1215">
      <c r="C1215" s="133"/>
      <c r="H1215" s="45">
        <v>47.0</v>
      </c>
      <c r="J1215" s="45">
        <v>0.49</v>
      </c>
      <c r="K1215" s="45">
        <v>41.0</v>
      </c>
      <c r="P1215" s="141"/>
    </row>
    <row r="1216">
      <c r="C1216" s="133"/>
      <c r="H1216" s="45">
        <v>40.0</v>
      </c>
      <c r="J1216" s="45">
        <v>0.48</v>
      </c>
      <c r="K1216" s="45">
        <v>38.0</v>
      </c>
      <c r="P1216" s="141"/>
    </row>
    <row r="1217">
      <c r="C1217" s="133"/>
      <c r="H1217" s="45">
        <v>46.0</v>
      </c>
      <c r="J1217" s="45">
        <v>0.46</v>
      </c>
      <c r="K1217" s="45">
        <v>44.0</v>
      </c>
      <c r="P1217" s="141"/>
    </row>
    <row r="1218">
      <c r="C1218" s="133"/>
      <c r="H1218" s="45">
        <v>43.0</v>
      </c>
      <c r="J1218" s="45">
        <v>0.49</v>
      </c>
      <c r="K1218" s="45">
        <v>44.0</v>
      </c>
      <c r="P1218" s="141"/>
    </row>
    <row r="1219">
      <c r="C1219" s="133"/>
      <c r="H1219" s="45">
        <v>51.0</v>
      </c>
      <c r="J1219" s="45">
        <v>0.47</v>
      </c>
      <c r="K1219" s="45">
        <v>45.0</v>
      </c>
      <c r="P1219" s="141"/>
    </row>
    <row r="1220">
      <c r="C1220" s="133"/>
      <c r="H1220" s="45">
        <v>42.0</v>
      </c>
      <c r="J1220" s="45">
        <v>0.47</v>
      </c>
      <c r="K1220" s="45">
        <v>45.0</v>
      </c>
      <c r="P1220" s="141"/>
    </row>
    <row r="1221">
      <c r="C1221" s="133"/>
      <c r="H1221" s="45">
        <v>40.0</v>
      </c>
      <c r="J1221" s="45">
        <v>0.48</v>
      </c>
      <c r="K1221" s="45">
        <v>43.0</v>
      </c>
      <c r="P1221" s="141"/>
    </row>
    <row r="1222">
      <c r="C1222" s="133"/>
      <c r="H1222" s="45">
        <v>41.0</v>
      </c>
      <c r="J1222" s="45">
        <v>0.49</v>
      </c>
      <c r="K1222" s="45">
        <v>49.0</v>
      </c>
      <c r="P1222" s="141"/>
    </row>
    <row r="1223">
      <c r="C1223" s="133"/>
      <c r="H1223" s="45">
        <v>46.0</v>
      </c>
      <c r="J1223" s="45">
        <v>0.46</v>
      </c>
      <c r="K1223" s="45">
        <v>48.0</v>
      </c>
      <c r="P1223" s="141"/>
    </row>
    <row r="1224">
      <c r="C1224" s="133"/>
      <c r="H1224" s="45">
        <v>39.0</v>
      </c>
      <c r="J1224" s="45">
        <v>0.47</v>
      </c>
      <c r="K1224" s="45">
        <v>43.0</v>
      </c>
      <c r="P1224" s="141"/>
    </row>
    <row r="1225">
      <c r="C1225" s="133"/>
      <c r="H1225" s="45">
        <v>42.0</v>
      </c>
      <c r="J1225" s="45">
        <v>0.46</v>
      </c>
      <c r="K1225" s="45">
        <v>39.0</v>
      </c>
      <c r="P1225" s="141"/>
    </row>
    <row r="1226">
      <c r="C1226" s="133"/>
      <c r="H1226" s="45">
        <v>43.0</v>
      </c>
      <c r="J1226" s="45">
        <v>0.45</v>
      </c>
      <c r="K1226" s="45">
        <v>40.0</v>
      </c>
      <c r="P1226" s="141"/>
    </row>
    <row r="1227">
      <c r="C1227" s="133"/>
      <c r="H1227" s="45">
        <v>39.0</v>
      </c>
      <c r="J1227" s="45">
        <v>0.49</v>
      </c>
      <c r="K1227" s="45">
        <v>38.0</v>
      </c>
      <c r="P1227" s="141"/>
    </row>
    <row r="1228">
      <c r="C1228" s="133"/>
      <c r="H1228" s="45">
        <v>43.0</v>
      </c>
      <c r="J1228" s="45">
        <v>0.46</v>
      </c>
      <c r="K1228" s="45">
        <v>39.0</v>
      </c>
      <c r="P1228" s="141"/>
    </row>
    <row r="1229">
      <c r="C1229" s="133"/>
      <c r="H1229" s="45">
        <v>48.0</v>
      </c>
      <c r="J1229" s="45">
        <v>0.45</v>
      </c>
      <c r="K1229" s="45">
        <v>36.0</v>
      </c>
      <c r="P1229" s="141"/>
    </row>
    <row r="1230">
      <c r="C1230" s="133"/>
      <c r="H1230" s="45">
        <v>45.0</v>
      </c>
      <c r="J1230" s="45">
        <v>0.49</v>
      </c>
      <c r="K1230" s="45">
        <v>42.0</v>
      </c>
      <c r="P1230" s="141"/>
    </row>
    <row r="1231">
      <c r="C1231" s="133"/>
      <c r="H1231" s="45">
        <v>42.0</v>
      </c>
      <c r="J1231" s="45">
        <v>0.47</v>
      </c>
      <c r="K1231" s="45">
        <v>38.0</v>
      </c>
      <c r="P1231" s="141"/>
    </row>
    <row r="1232">
      <c r="C1232" s="133"/>
      <c r="H1232" s="45">
        <v>41.0</v>
      </c>
      <c r="J1232" s="45">
        <v>0.45</v>
      </c>
      <c r="K1232" s="45">
        <v>37.0</v>
      </c>
      <c r="P1232" s="141"/>
    </row>
    <row r="1233">
      <c r="C1233" s="133"/>
      <c r="H1233" s="45">
        <v>43.0</v>
      </c>
      <c r="J1233" s="45">
        <v>0.46</v>
      </c>
      <c r="K1233" s="45">
        <v>43.0</v>
      </c>
      <c r="P1233" s="141"/>
    </row>
    <row r="1234">
      <c r="C1234" s="133"/>
      <c r="H1234" s="45">
        <v>41.0</v>
      </c>
      <c r="J1234" s="45">
        <v>0.5</v>
      </c>
      <c r="K1234" s="45">
        <v>42.0</v>
      </c>
      <c r="P1234" s="141"/>
    </row>
    <row r="1235">
      <c r="C1235" s="133"/>
      <c r="H1235" s="45">
        <v>45.0</v>
      </c>
      <c r="J1235" s="45">
        <v>0.48</v>
      </c>
      <c r="K1235" s="45">
        <v>42.0</v>
      </c>
      <c r="P1235" s="141"/>
    </row>
    <row r="1236">
      <c r="C1236" s="133"/>
      <c r="H1236" s="45">
        <v>42.0</v>
      </c>
      <c r="J1236" s="45">
        <v>0.46</v>
      </c>
      <c r="K1236" s="45">
        <v>43.0</v>
      </c>
      <c r="P1236" s="141"/>
    </row>
    <row r="1237">
      <c r="C1237" s="133"/>
      <c r="H1237" s="45">
        <v>43.0</v>
      </c>
      <c r="J1237" s="45">
        <v>0.5</v>
      </c>
      <c r="K1237" s="45">
        <v>38.0</v>
      </c>
      <c r="P1237" s="141"/>
    </row>
    <row r="1238">
      <c r="C1238" s="133"/>
      <c r="H1238" s="45">
        <v>44.0</v>
      </c>
      <c r="J1238" s="45">
        <v>0.47</v>
      </c>
      <c r="K1238" s="45">
        <v>40.0</v>
      </c>
      <c r="P1238" s="141"/>
    </row>
    <row r="1239">
      <c r="C1239" s="133"/>
      <c r="H1239" s="45">
        <v>42.0</v>
      </c>
      <c r="J1239" s="45">
        <v>0.48</v>
      </c>
      <c r="K1239" s="45">
        <v>39.0</v>
      </c>
      <c r="P1239" s="141"/>
    </row>
    <row r="1240">
      <c r="C1240" s="133"/>
      <c r="H1240" s="45">
        <v>46.0</v>
      </c>
      <c r="J1240" s="45">
        <v>0.46</v>
      </c>
      <c r="K1240" s="45">
        <v>37.0</v>
      </c>
      <c r="P1240" s="141"/>
    </row>
    <row r="1241">
      <c r="C1241" s="133"/>
      <c r="H1241" s="45">
        <v>45.0</v>
      </c>
      <c r="J1241" s="45">
        <v>0.48</v>
      </c>
      <c r="K1241" s="45">
        <v>43.0</v>
      </c>
      <c r="P1241" s="141"/>
    </row>
    <row r="1242">
      <c r="C1242" s="133"/>
      <c r="H1242" s="45">
        <v>44.0</v>
      </c>
      <c r="J1242" s="45">
        <v>0.49</v>
      </c>
      <c r="K1242" s="45">
        <v>40.0</v>
      </c>
      <c r="P1242" s="141"/>
    </row>
    <row r="1243">
      <c r="C1243" s="133"/>
      <c r="H1243" s="45">
        <v>45.0</v>
      </c>
      <c r="J1243" s="45">
        <v>0.46</v>
      </c>
      <c r="K1243" s="45">
        <v>37.0</v>
      </c>
      <c r="P1243" s="141"/>
    </row>
    <row r="1244">
      <c r="C1244" s="133"/>
      <c r="H1244" s="45">
        <v>42.0</v>
      </c>
      <c r="J1244" s="45">
        <v>0.47</v>
      </c>
      <c r="K1244" s="45">
        <v>37.0</v>
      </c>
      <c r="P1244" s="141"/>
    </row>
    <row r="1245">
      <c r="C1245" s="133"/>
      <c r="H1245" s="45">
        <v>44.0</v>
      </c>
      <c r="J1245" s="45">
        <v>0.49</v>
      </c>
      <c r="K1245" s="45">
        <v>42.0</v>
      </c>
      <c r="P1245" s="141"/>
    </row>
    <row r="1246">
      <c r="C1246" s="133"/>
      <c r="H1246" s="45">
        <v>43.0</v>
      </c>
      <c r="J1246" s="45">
        <v>0.49</v>
      </c>
      <c r="K1246" s="45">
        <v>45.0</v>
      </c>
      <c r="P1246" s="141"/>
    </row>
    <row r="1247">
      <c r="C1247" s="133"/>
      <c r="H1247" s="45">
        <v>40.0</v>
      </c>
      <c r="J1247" s="45">
        <v>0.45</v>
      </c>
      <c r="K1247" s="45">
        <v>51.0</v>
      </c>
      <c r="P1247" s="141"/>
    </row>
    <row r="1248">
      <c r="C1248" s="133"/>
      <c r="H1248" s="45">
        <v>42.0</v>
      </c>
      <c r="J1248" s="45">
        <v>0.5</v>
      </c>
      <c r="K1248" s="45">
        <v>47.0</v>
      </c>
      <c r="P1248" s="141"/>
    </row>
    <row r="1249">
      <c r="C1249" s="133"/>
      <c r="H1249" s="45">
        <v>42.0</v>
      </c>
      <c r="J1249" s="45">
        <v>0.48</v>
      </c>
      <c r="K1249" s="45">
        <v>41.0</v>
      </c>
      <c r="P1249" s="141"/>
    </row>
    <row r="1250">
      <c r="C1250" s="133"/>
      <c r="H1250" s="45">
        <v>43.0</v>
      </c>
      <c r="J1250" s="45">
        <v>0.47</v>
      </c>
      <c r="K1250" s="45">
        <v>38.0</v>
      </c>
      <c r="P1250" s="141"/>
    </row>
    <row r="1251">
      <c r="C1251" s="133"/>
      <c r="H1251" s="45">
        <v>44.0</v>
      </c>
      <c r="J1251" s="45">
        <v>0.48</v>
      </c>
      <c r="K1251" s="45">
        <v>39.0</v>
      </c>
      <c r="P1251" s="141"/>
    </row>
    <row r="1252">
      <c r="C1252" s="133"/>
      <c r="H1252" s="45">
        <v>44.0</v>
      </c>
      <c r="J1252" s="45">
        <v>0.47</v>
      </c>
      <c r="K1252" s="45">
        <v>38.0</v>
      </c>
      <c r="P1252" s="141"/>
    </row>
    <row r="1253">
      <c r="C1253" s="133"/>
      <c r="H1253" s="45">
        <v>43.0</v>
      </c>
      <c r="J1253" s="45">
        <v>0.49</v>
      </c>
      <c r="K1253" s="45">
        <v>36.0</v>
      </c>
      <c r="P1253" s="141"/>
    </row>
    <row r="1254">
      <c r="C1254" s="133"/>
      <c r="H1254" s="45">
        <v>46.0</v>
      </c>
      <c r="J1254" s="45">
        <v>0.45</v>
      </c>
      <c r="K1254" s="45">
        <v>38.0</v>
      </c>
      <c r="P1254" s="141"/>
    </row>
    <row r="1255">
      <c r="C1255" s="133"/>
      <c r="H1255" s="45">
        <v>48.0</v>
      </c>
      <c r="J1255" s="45">
        <v>0.49</v>
      </c>
      <c r="K1255" s="45">
        <v>40.0</v>
      </c>
      <c r="P1255" s="141"/>
    </row>
    <row r="1256">
      <c r="C1256" s="133"/>
      <c r="H1256" s="45">
        <v>40.0</v>
      </c>
      <c r="J1256" s="45">
        <v>0.48</v>
      </c>
      <c r="K1256" s="45">
        <v>35.0</v>
      </c>
      <c r="P1256" s="141"/>
    </row>
    <row r="1257">
      <c r="C1257" s="133"/>
      <c r="H1257" s="45">
        <v>38.0</v>
      </c>
      <c r="J1257" s="45">
        <v>0.45</v>
      </c>
      <c r="K1257" s="45">
        <v>41.0</v>
      </c>
      <c r="P1257" s="141"/>
    </row>
    <row r="1258">
      <c r="C1258" s="133"/>
      <c r="H1258" s="45">
        <v>44.0</v>
      </c>
      <c r="J1258" s="45">
        <v>0.47</v>
      </c>
      <c r="K1258" s="45">
        <v>44.0</v>
      </c>
      <c r="P1258" s="141"/>
    </row>
    <row r="1259">
      <c r="C1259" s="133"/>
      <c r="H1259" s="45">
        <v>44.0</v>
      </c>
      <c r="J1259" s="45">
        <v>0.48</v>
      </c>
      <c r="K1259" s="45">
        <v>43.0</v>
      </c>
      <c r="P1259" s="141"/>
    </row>
    <row r="1260">
      <c r="C1260" s="133"/>
      <c r="H1260" s="45">
        <v>43.0</v>
      </c>
      <c r="J1260" s="45">
        <v>0.48</v>
      </c>
      <c r="K1260" s="45">
        <v>44.0</v>
      </c>
      <c r="P1260" s="141"/>
    </row>
    <row r="1261">
      <c r="C1261" s="133"/>
      <c r="H1261" s="45">
        <v>41.0</v>
      </c>
      <c r="J1261" s="45">
        <v>0.49</v>
      </c>
      <c r="K1261" s="45">
        <v>43.0</v>
      </c>
      <c r="P1261" s="141"/>
    </row>
    <row r="1262">
      <c r="C1262" s="133"/>
      <c r="H1262" s="45">
        <v>44.0</v>
      </c>
      <c r="J1262" s="45">
        <v>0.62</v>
      </c>
      <c r="K1262" s="45">
        <v>39.0</v>
      </c>
      <c r="P1262" s="141"/>
    </row>
    <row r="1263">
      <c r="C1263" s="133"/>
      <c r="H1263" s="45">
        <v>43.0</v>
      </c>
      <c r="J1263" s="45">
        <v>0.53</v>
      </c>
      <c r="K1263" s="45">
        <v>43.0</v>
      </c>
      <c r="P1263" s="141"/>
    </row>
    <row r="1264">
      <c r="C1264" s="133"/>
      <c r="H1264" s="45">
        <v>44.0</v>
      </c>
      <c r="J1264" s="45">
        <v>0.48</v>
      </c>
      <c r="K1264" s="45">
        <v>37.0</v>
      </c>
      <c r="P1264" s="141"/>
    </row>
    <row r="1265">
      <c r="C1265" s="133"/>
      <c r="H1265" s="45">
        <v>36.0</v>
      </c>
      <c r="J1265" s="45">
        <v>0.55</v>
      </c>
      <c r="K1265" s="45">
        <v>45.0</v>
      </c>
      <c r="P1265" s="141"/>
    </row>
    <row r="1266">
      <c r="C1266" s="133"/>
      <c r="H1266" s="45">
        <v>45.0</v>
      </c>
      <c r="J1266" s="45">
        <v>0.57</v>
      </c>
      <c r="K1266" s="45">
        <v>46.0</v>
      </c>
      <c r="P1266" s="141"/>
    </row>
    <row r="1267">
      <c r="C1267" s="133"/>
      <c r="H1267" s="45">
        <v>47.0</v>
      </c>
      <c r="J1267" s="45">
        <v>0.42</v>
      </c>
      <c r="K1267" s="45">
        <v>44.0</v>
      </c>
      <c r="P1267" s="141"/>
    </row>
    <row r="1268">
      <c r="C1268" s="133"/>
      <c r="H1268" s="45">
        <v>45.0</v>
      </c>
      <c r="J1268" s="45">
        <v>0.55</v>
      </c>
      <c r="K1268" s="45">
        <v>42.0</v>
      </c>
      <c r="P1268" s="141"/>
    </row>
    <row r="1269">
      <c r="C1269" s="133"/>
      <c r="H1269" s="45">
        <v>40.0</v>
      </c>
      <c r="J1269" s="45">
        <v>0.57</v>
      </c>
      <c r="K1269" s="45">
        <v>39.0</v>
      </c>
      <c r="P1269" s="141"/>
    </row>
    <row r="1270">
      <c r="C1270" s="133"/>
      <c r="H1270" s="45">
        <v>43.0</v>
      </c>
      <c r="J1270" s="45">
        <v>0.6</v>
      </c>
      <c r="K1270" s="45">
        <v>43.0</v>
      </c>
      <c r="P1270" s="141"/>
    </row>
    <row r="1271">
      <c r="C1271" s="133"/>
      <c r="H1271" s="45">
        <v>45.0</v>
      </c>
      <c r="J1271" s="45">
        <v>0.43</v>
      </c>
      <c r="K1271" s="45">
        <v>49.0</v>
      </c>
      <c r="P1271" s="141"/>
    </row>
    <row r="1272">
      <c r="C1272" s="133"/>
      <c r="H1272" s="45">
        <v>41.0</v>
      </c>
      <c r="J1272" s="45">
        <v>0.45</v>
      </c>
      <c r="K1272" s="45">
        <v>42.0</v>
      </c>
      <c r="P1272" s="141"/>
    </row>
    <row r="1273">
      <c r="C1273" s="133"/>
      <c r="H1273" s="45">
        <v>40.0</v>
      </c>
      <c r="J1273" s="45">
        <v>0.52</v>
      </c>
      <c r="K1273" s="45">
        <v>43.0</v>
      </c>
      <c r="P1273" s="141"/>
    </row>
    <row r="1274">
      <c r="C1274" s="133"/>
      <c r="H1274" s="45">
        <v>45.0</v>
      </c>
      <c r="J1274" s="45">
        <v>0.41</v>
      </c>
      <c r="K1274" s="45">
        <v>42.0</v>
      </c>
      <c r="P1274" s="141"/>
    </row>
    <row r="1275">
      <c r="C1275" s="133"/>
      <c r="H1275" s="45">
        <v>50.0</v>
      </c>
      <c r="J1275" s="45">
        <v>0.52</v>
      </c>
      <c r="K1275" s="45">
        <v>41.0</v>
      </c>
      <c r="P1275" s="141"/>
    </row>
    <row r="1276">
      <c r="C1276" s="133"/>
      <c r="H1276" s="45">
        <v>54.0</v>
      </c>
      <c r="J1276" s="45">
        <v>0.49</v>
      </c>
      <c r="K1276" s="45">
        <v>40.0</v>
      </c>
      <c r="P1276" s="141"/>
    </row>
    <row r="1277">
      <c r="C1277" s="133"/>
      <c r="H1277" s="45">
        <v>43.0</v>
      </c>
      <c r="J1277" s="45">
        <v>0.55</v>
      </c>
      <c r="K1277" s="45">
        <v>43.0</v>
      </c>
      <c r="P1277" s="141"/>
    </row>
    <row r="1278">
      <c r="C1278" s="133"/>
      <c r="H1278" s="45">
        <v>45.0</v>
      </c>
      <c r="J1278" s="45">
        <v>0.58</v>
      </c>
      <c r="K1278" s="45">
        <v>36.0</v>
      </c>
      <c r="P1278" s="141"/>
    </row>
    <row r="1279">
      <c r="C1279" s="133"/>
      <c r="H1279" s="45">
        <v>43.0</v>
      </c>
      <c r="J1279" s="45">
        <v>0.57</v>
      </c>
      <c r="K1279" s="45">
        <v>46.0</v>
      </c>
      <c r="P1279" s="141"/>
    </row>
    <row r="1280">
      <c r="C1280" s="133"/>
      <c r="H1280" s="45">
        <v>39.0</v>
      </c>
      <c r="J1280" s="45">
        <v>0.56</v>
      </c>
      <c r="K1280" s="45">
        <v>38.0</v>
      </c>
      <c r="P1280" s="141"/>
    </row>
    <row r="1281">
      <c r="C1281" s="133"/>
      <c r="H1281" s="45">
        <v>41.0</v>
      </c>
      <c r="J1281" s="45">
        <v>0.56</v>
      </c>
      <c r="K1281" s="45">
        <v>46.0</v>
      </c>
      <c r="P1281" s="141"/>
    </row>
    <row r="1282">
      <c r="C1282" s="133"/>
      <c r="H1282" s="45">
        <v>38.0</v>
      </c>
      <c r="J1282" s="45">
        <v>0.47</v>
      </c>
      <c r="K1282" s="45">
        <v>39.0</v>
      </c>
      <c r="P1282" s="141"/>
    </row>
    <row r="1283">
      <c r="C1283" s="133"/>
      <c r="H1283" s="45">
        <v>49.0</v>
      </c>
      <c r="J1283" s="45">
        <v>0.45</v>
      </c>
      <c r="K1283" s="45">
        <v>44.0</v>
      </c>
      <c r="P1283" s="141"/>
    </row>
    <row r="1284">
      <c r="C1284" s="133"/>
      <c r="H1284" s="45">
        <v>50.0</v>
      </c>
      <c r="J1284" s="45">
        <v>0.5</v>
      </c>
      <c r="K1284" s="45">
        <v>41.0</v>
      </c>
      <c r="P1284" s="141"/>
    </row>
    <row r="1285">
      <c r="C1285" s="133"/>
      <c r="H1285" s="45">
        <v>49.0</v>
      </c>
      <c r="J1285" s="45">
        <v>0.51</v>
      </c>
      <c r="K1285" s="45">
        <v>44.0</v>
      </c>
      <c r="P1285" s="141"/>
    </row>
    <row r="1286">
      <c r="C1286" s="133"/>
      <c r="H1286" s="45">
        <v>43.0</v>
      </c>
      <c r="J1286" s="45">
        <v>0.56</v>
      </c>
      <c r="K1286" s="45">
        <v>45.0</v>
      </c>
      <c r="P1286" s="141"/>
    </row>
    <row r="1287">
      <c r="C1287" s="133"/>
      <c r="H1287" s="45">
        <v>46.0</v>
      </c>
      <c r="J1287" s="45">
        <v>0.47</v>
      </c>
      <c r="K1287" s="45">
        <v>45.0</v>
      </c>
      <c r="P1287" s="141"/>
    </row>
    <row r="1288">
      <c r="C1288" s="133"/>
      <c r="H1288" s="45">
        <v>47.0</v>
      </c>
      <c r="J1288" s="45">
        <v>0.45</v>
      </c>
      <c r="K1288" s="45">
        <v>42.0</v>
      </c>
      <c r="P1288" s="141"/>
    </row>
    <row r="1289">
      <c r="C1289" s="133"/>
      <c r="H1289" s="45">
        <v>45.0</v>
      </c>
      <c r="J1289" s="45">
        <v>0.58</v>
      </c>
      <c r="K1289" s="45">
        <v>42.0</v>
      </c>
      <c r="P1289" s="141"/>
    </row>
    <row r="1290">
      <c r="C1290" s="133"/>
      <c r="H1290" s="45">
        <v>43.0</v>
      </c>
      <c r="J1290" s="45">
        <v>0.53</v>
      </c>
      <c r="K1290" s="45">
        <v>41.0</v>
      </c>
      <c r="P1290" s="141"/>
    </row>
    <row r="1291">
      <c r="C1291" s="133"/>
      <c r="H1291" s="45">
        <v>47.0</v>
      </c>
      <c r="J1291" s="45">
        <v>0.55</v>
      </c>
      <c r="K1291" s="45">
        <v>41.0</v>
      </c>
      <c r="P1291" s="141"/>
    </row>
    <row r="1292">
      <c r="C1292" s="133"/>
      <c r="H1292" s="45">
        <v>50.0</v>
      </c>
      <c r="J1292" s="45">
        <v>0.54</v>
      </c>
      <c r="K1292" s="45">
        <v>47.0</v>
      </c>
      <c r="P1292" s="141"/>
    </row>
    <row r="1293">
      <c r="C1293" s="133"/>
      <c r="H1293" s="45">
        <v>44.0</v>
      </c>
      <c r="J1293" s="45">
        <v>0.49</v>
      </c>
      <c r="K1293" s="45">
        <v>50.0</v>
      </c>
      <c r="P1293" s="141"/>
    </row>
    <row r="1294">
      <c r="C1294" s="133"/>
      <c r="H1294" s="45">
        <v>44.0</v>
      </c>
      <c r="J1294" s="45">
        <v>0.58</v>
      </c>
      <c r="K1294" s="45">
        <v>47.0</v>
      </c>
      <c r="P1294" s="141"/>
    </row>
    <row r="1295">
      <c r="C1295" s="133"/>
      <c r="H1295" s="45">
        <v>42.0</v>
      </c>
      <c r="J1295" s="45">
        <v>0.61</v>
      </c>
      <c r="K1295" s="45">
        <v>43.0</v>
      </c>
      <c r="P1295" s="141"/>
    </row>
    <row r="1296">
      <c r="C1296" s="133"/>
      <c r="H1296" s="45">
        <v>45.0</v>
      </c>
      <c r="J1296" s="45">
        <v>0.5</v>
      </c>
      <c r="K1296" s="45">
        <v>45.0</v>
      </c>
      <c r="P1296" s="141"/>
    </row>
    <row r="1297">
      <c r="C1297" s="133"/>
      <c r="H1297" s="45">
        <v>42.0</v>
      </c>
      <c r="J1297" s="45">
        <v>0.46</v>
      </c>
      <c r="K1297" s="45">
        <v>46.0</v>
      </c>
      <c r="P1297" s="141"/>
    </row>
    <row r="1298">
      <c r="C1298" s="133"/>
      <c r="H1298" s="45">
        <v>41.0</v>
      </c>
      <c r="J1298" s="45">
        <v>0.5</v>
      </c>
      <c r="K1298" s="45">
        <v>45.0</v>
      </c>
      <c r="P1298" s="141"/>
    </row>
    <row r="1299">
      <c r="C1299" s="133"/>
      <c r="H1299" s="45">
        <v>44.0</v>
      </c>
      <c r="J1299" s="45">
        <v>0.51</v>
      </c>
      <c r="K1299" s="45">
        <v>40.0</v>
      </c>
      <c r="P1299" s="141"/>
    </row>
    <row r="1300">
      <c r="C1300" s="133"/>
      <c r="H1300" s="45">
        <v>44.0</v>
      </c>
      <c r="J1300" s="45">
        <v>0.49</v>
      </c>
      <c r="K1300" s="45">
        <v>51.0</v>
      </c>
      <c r="P1300" s="141"/>
    </row>
    <row r="1301">
      <c r="C1301" s="133"/>
      <c r="H1301" s="45">
        <v>41.0</v>
      </c>
      <c r="J1301" s="45">
        <v>0.44</v>
      </c>
      <c r="K1301" s="45">
        <v>48.0</v>
      </c>
      <c r="P1301" s="141"/>
    </row>
    <row r="1302">
      <c r="C1302" s="133"/>
      <c r="H1302" s="45">
        <v>42.0</v>
      </c>
      <c r="J1302" s="45">
        <v>0.46</v>
      </c>
      <c r="K1302" s="45">
        <v>41.0</v>
      </c>
      <c r="P1302" s="141"/>
    </row>
    <row r="1303">
      <c r="C1303" s="133"/>
      <c r="H1303" s="45">
        <v>47.0</v>
      </c>
      <c r="J1303" s="45">
        <v>0.52</v>
      </c>
      <c r="K1303" s="45">
        <v>50.0</v>
      </c>
      <c r="P1303" s="141"/>
    </row>
    <row r="1304">
      <c r="C1304" s="133"/>
      <c r="H1304" s="45">
        <v>47.0</v>
      </c>
      <c r="J1304" s="45">
        <v>0.63</v>
      </c>
      <c r="K1304" s="45">
        <v>50.0</v>
      </c>
      <c r="P1304" s="141"/>
    </row>
    <row r="1305">
      <c r="C1305" s="133"/>
      <c r="H1305" s="45">
        <v>39.0</v>
      </c>
      <c r="J1305" s="45">
        <v>0.54</v>
      </c>
      <c r="K1305" s="45">
        <v>45.0</v>
      </c>
      <c r="P1305" s="141"/>
    </row>
    <row r="1306">
      <c r="C1306" s="133"/>
      <c r="H1306" s="45">
        <v>45.0</v>
      </c>
      <c r="J1306" s="45">
        <v>0.51</v>
      </c>
      <c r="K1306" s="45">
        <v>43.0</v>
      </c>
      <c r="P1306" s="141"/>
    </row>
    <row r="1307">
      <c r="C1307" s="133"/>
      <c r="H1307" s="45">
        <v>48.0</v>
      </c>
      <c r="J1307" s="45">
        <v>0.53</v>
      </c>
      <c r="K1307" s="45">
        <v>48.0</v>
      </c>
      <c r="P1307" s="141"/>
    </row>
    <row r="1308">
      <c r="C1308" s="133"/>
      <c r="H1308" s="45">
        <v>43.0</v>
      </c>
      <c r="J1308" s="45">
        <v>0.57</v>
      </c>
      <c r="K1308" s="45">
        <v>42.0</v>
      </c>
      <c r="P1308" s="141"/>
    </row>
    <row r="1309">
      <c r="C1309" s="133"/>
      <c r="H1309" s="45">
        <v>42.0</v>
      </c>
      <c r="J1309" s="45">
        <v>0.53</v>
      </c>
      <c r="K1309" s="45">
        <v>48.0</v>
      </c>
      <c r="P1309" s="141"/>
    </row>
    <row r="1310">
      <c r="C1310" s="133"/>
      <c r="H1310" s="45">
        <v>47.0</v>
      </c>
      <c r="J1310" s="45">
        <v>0.48</v>
      </c>
      <c r="K1310" s="45">
        <v>43.0</v>
      </c>
      <c r="P1310" s="141"/>
    </row>
    <row r="1311">
      <c r="C1311" s="133"/>
      <c r="H1311" s="45">
        <v>49.0</v>
      </c>
      <c r="J1311" s="45">
        <v>0.51</v>
      </c>
      <c r="K1311" s="45">
        <v>46.0</v>
      </c>
      <c r="P1311" s="141"/>
    </row>
    <row r="1312">
      <c r="C1312" s="133"/>
      <c r="H1312" s="45">
        <v>43.0</v>
      </c>
      <c r="J1312" s="45">
        <v>0.51</v>
      </c>
      <c r="K1312" s="45">
        <v>49.0</v>
      </c>
      <c r="P1312" s="141"/>
    </row>
    <row r="1313">
      <c r="C1313" s="133"/>
      <c r="H1313" s="45">
        <v>45.0</v>
      </c>
      <c r="J1313" s="45">
        <v>0.56</v>
      </c>
      <c r="K1313" s="45">
        <v>45.0</v>
      </c>
      <c r="P1313" s="141"/>
    </row>
    <row r="1314">
      <c r="C1314" s="133"/>
      <c r="H1314" s="45">
        <v>46.0</v>
      </c>
      <c r="J1314" s="45">
        <v>0.52</v>
      </c>
      <c r="K1314" s="45">
        <v>48.0</v>
      </c>
      <c r="P1314" s="141"/>
    </row>
    <row r="1315">
      <c r="C1315" s="133"/>
      <c r="H1315" s="45">
        <v>45.0</v>
      </c>
      <c r="J1315" s="45">
        <v>0.49</v>
      </c>
      <c r="K1315" s="45">
        <v>46.0</v>
      </c>
      <c r="P1315" s="141"/>
    </row>
    <row r="1316">
      <c r="C1316" s="133"/>
      <c r="H1316" s="45">
        <v>39.0</v>
      </c>
      <c r="J1316" s="45">
        <v>0.43</v>
      </c>
      <c r="K1316" s="45">
        <v>49.0</v>
      </c>
      <c r="P1316" s="141"/>
    </row>
    <row r="1317">
      <c r="C1317" s="133"/>
      <c r="H1317" s="45">
        <v>43.0</v>
      </c>
      <c r="J1317" s="45">
        <v>0.47</v>
      </c>
      <c r="K1317" s="45">
        <v>52.0</v>
      </c>
      <c r="P1317" s="141"/>
    </row>
    <row r="1318">
      <c r="C1318" s="133"/>
      <c r="H1318" s="45">
        <v>45.0</v>
      </c>
      <c r="J1318" s="45">
        <v>0.52</v>
      </c>
      <c r="K1318" s="45">
        <v>43.0</v>
      </c>
      <c r="P1318" s="141"/>
    </row>
    <row r="1319">
      <c r="C1319" s="133"/>
      <c r="H1319" s="45">
        <v>44.0</v>
      </c>
      <c r="J1319" s="45">
        <v>0.55</v>
      </c>
      <c r="K1319" s="45">
        <v>40.0</v>
      </c>
      <c r="P1319" s="141"/>
    </row>
    <row r="1320">
      <c r="C1320" s="133"/>
      <c r="H1320" s="45">
        <v>49.0</v>
      </c>
      <c r="J1320" s="45">
        <v>0.5</v>
      </c>
      <c r="K1320" s="45">
        <v>54.0</v>
      </c>
      <c r="P1320" s="141"/>
    </row>
    <row r="1321">
      <c r="C1321" s="133"/>
      <c r="H1321" s="45">
        <v>42.0</v>
      </c>
      <c r="J1321" s="45">
        <v>0.57</v>
      </c>
      <c r="K1321" s="45">
        <v>50.0</v>
      </c>
      <c r="P1321" s="141"/>
    </row>
    <row r="1322">
      <c r="C1322" s="133"/>
      <c r="H1322" s="45">
        <v>41.0</v>
      </c>
      <c r="J1322" s="45">
        <v>0.58</v>
      </c>
      <c r="K1322" s="45">
        <v>46.0</v>
      </c>
      <c r="P1322" s="141"/>
    </row>
    <row r="1323">
      <c r="C1323" s="133"/>
      <c r="H1323" s="45">
        <v>47.0</v>
      </c>
      <c r="J1323" s="45">
        <v>0.55</v>
      </c>
      <c r="K1323" s="45">
        <v>43.0</v>
      </c>
      <c r="P1323" s="141"/>
    </row>
    <row r="1324">
      <c r="C1324" s="133"/>
      <c r="H1324" s="45">
        <v>41.0</v>
      </c>
      <c r="J1324" s="45">
        <v>0.54</v>
      </c>
      <c r="K1324" s="45">
        <v>41.0</v>
      </c>
      <c r="P1324" s="141"/>
    </row>
    <row r="1325">
      <c r="C1325" s="133"/>
      <c r="H1325" s="45">
        <v>43.0</v>
      </c>
      <c r="J1325" s="45">
        <v>0.49</v>
      </c>
      <c r="K1325" s="45">
        <v>45.0</v>
      </c>
      <c r="P1325" s="141"/>
    </row>
    <row r="1326">
      <c r="C1326" s="133"/>
      <c r="H1326" s="45">
        <v>50.0</v>
      </c>
      <c r="J1326" s="45">
        <v>0.52</v>
      </c>
      <c r="K1326" s="45">
        <v>41.0</v>
      </c>
      <c r="P1326" s="141"/>
    </row>
    <row r="1327">
      <c r="C1327" s="133"/>
      <c r="H1327" s="45">
        <v>41.0</v>
      </c>
      <c r="J1327" s="45">
        <v>0.49</v>
      </c>
      <c r="K1327" s="45">
        <v>43.0</v>
      </c>
      <c r="P1327" s="141"/>
    </row>
    <row r="1328">
      <c r="C1328" s="133"/>
      <c r="H1328" s="45">
        <v>51.0</v>
      </c>
      <c r="J1328" s="45">
        <v>0.48</v>
      </c>
      <c r="K1328" s="45">
        <v>44.0</v>
      </c>
      <c r="P1328" s="141"/>
    </row>
    <row r="1329">
      <c r="C1329" s="133"/>
      <c r="H1329" s="45">
        <v>47.0</v>
      </c>
      <c r="J1329" s="45">
        <v>0.52</v>
      </c>
      <c r="K1329" s="45">
        <v>42.0</v>
      </c>
      <c r="P1329" s="141"/>
    </row>
    <row r="1330">
      <c r="C1330" s="133"/>
      <c r="H1330" s="45">
        <v>45.0</v>
      </c>
      <c r="J1330" s="45">
        <v>0.55</v>
      </c>
      <c r="K1330" s="45">
        <v>44.0</v>
      </c>
      <c r="P1330" s="141"/>
    </row>
    <row r="1331">
      <c r="C1331" s="133"/>
      <c r="H1331" s="45">
        <v>43.0</v>
      </c>
      <c r="J1331" s="45">
        <v>0.43</v>
      </c>
      <c r="K1331" s="45">
        <v>41.0</v>
      </c>
      <c r="P1331" s="141"/>
    </row>
    <row r="1332">
      <c r="C1332" s="133"/>
      <c r="H1332" s="45">
        <v>42.0</v>
      </c>
      <c r="J1332" s="45">
        <v>0.52</v>
      </c>
      <c r="K1332" s="45">
        <v>46.0</v>
      </c>
      <c r="P1332" s="141"/>
    </row>
    <row r="1333">
      <c r="C1333" s="133"/>
      <c r="H1333" s="45">
        <v>43.0</v>
      </c>
      <c r="J1333" s="45">
        <v>0.49</v>
      </c>
      <c r="K1333" s="45">
        <v>44.0</v>
      </c>
      <c r="P1333" s="141"/>
    </row>
    <row r="1334">
      <c r="C1334" s="133"/>
      <c r="H1334" s="45">
        <v>44.0</v>
      </c>
      <c r="J1334" s="45">
        <v>0.56</v>
      </c>
      <c r="K1334" s="45">
        <v>41.0</v>
      </c>
      <c r="P1334" s="141"/>
    </row>
    <row r="1335">
      <c r="C1335" s="133"/>
      <c r="H1335" s="45">
        <v>45.0</v>
      </c>
      <c r="J1335" s="45">
        <v>0.44</v>
      </c>
      <c r="K1335" s="45">
        <v>47.0</v>
      </c>
      <c r="P1335" s="141"/>
    </row>
    <row r="1336">
      <c r="C1336" s="133"/>
      <c r="H1336" s="45">
        <v>42.0</v>
      </c>
      <c r="J1336" s="45">
        <v>0.55</v>
      </c>
      <c r="K1336" s="45">
        <v>41.0</v>
      </c>
      <c r="P1336" s="141"/>
    </row>
    <row r="1337">
      <c r="C1337" s="133"/>
      <c r="H1337" s="45">
        <v>44.0</v>
      </c>
      <c r="J1337" s="45">
        <v>0.48</v>
      </c>
      <c r="K1337" s="45">
        <v>45.0</v>
      </c>
      <c r="P1337" s="141"/>
    </row>
    <row r="1338">
      <c r="C1338" s="133"/>
      <c r="H1338" s="45">
        <v>43.0</v>
      </c>
      <c r="J1338" s="45">
        <v>0.49</v>
      </c>
      <c r="K1338" s="45">
        <v>42.0</v>
      </c>
      <c r="P1338" s="141"/>
    </row>
    <row r="1339">
      <c r="C1339" s="133"/>
      <c r="H1339" s="45">
        <v>47.0</v>
      </c>
      <c r="J1339" s="45">
        <v>0.52</v>
      </c>
      <c r="K1339" s="45">
        <v>48.0</v>
      </c>
      <c r="P1339" s="141"/>
    </row>
    <row r="1340">
      <c r="C1340" s="133"/>
      <c r="H1340" s="45">
        <v>44.0</v>
      </c>
      <c r="J1340" s="45">
        <v>0.51</v>
      </c>
      <c r="K1340" s="45">
        <v>45.0</v>
      </c>
      <c r="P1340" s="141"/>
    </row>
    <row r="1341">
      <c r="C1341" s="133"/>
      <c r="H1341" s="45">
        <v>43.0</v>
      </c>
      <c r="J1341" s="45">
        <v>0.57</v>
      </c>
      <c r="K1341" s="45">
        <v>42.0</v>
      </c>
      <c r="P1341" s="141"/>
    </row>
    <row r="1342">
      <c r="C1342" s="133"/>
      <c r="H1342" s="45">
        <v>45.0</v>
      </c>
      <c r="J1342" s="45">
        <v>0.51</v>
      </c>
      <c r="K1342" s="45">
        <v>42.0</v>
      </c>
      <c r="P1342" s="141"/>
    </row>
    <row r="1343">
      <c r="C1343" s="133"/>
      <c r="H1343" s="45">
        <v>46.0</v>
      </c>
      <c r="J1343" s="45">
        <v>0.58</v>
      </c>
      <c r="K1343" s="45">
        <v>40.0</v>
      </c>
      <c r="P1343" s="141"/>
    </row>
    <row r="1344">
      <c r="C1344" s="133"/>
      <c r="H1344" s="45">
        <v>39.0</v>
      </c>
      <c r="J1344" s="45">
        <v>0.55</v>
      </c>
      <c r="K1344" s="45">
        <v>44.0</v>
      </c>
      <c r="P1344" s="141"/>
    </row>
    <row r="1345">
      <c r="C1345" s="133"/>
      <c r="H1345" s="45">
        <v>40.0</v>
      </c>
      <c r="J1345" s="45">
        <v>0.49</v>
      </c>
      <c r="K1345" s="45">
        <v>43.0</v>
      </c>
      <c r="P1345" s="141"/>
    </row>
    <row r="1346">
      <c r="C1346" s="133"/>
      <c r="H1346" s="45">
        <v>41.0</v>
      </c>
      <c r="J1346" s="45">
        <v>0.49</v>
      </c>
      <c r="K1346" s="45">
        <v>39.0</v>
      </c>
      <c r="P1346" s="141"/>
    </row>
    <row r="1347">
      <c r="C1347" s="133"/>
      <c r="H1347" s="45">
        <v>46.0</v>
      </c>
      <c r="J1347" s="45">
        <v>0.5</v>
      </c>
      <c r="K1347" s="45">
        <v>43.0</v>
      </c>
      <c r="P1347" s="141"/>
    </row>
    <row r="1348">
      <c r="C1348" s="133"/>
      <c r="H1348" s="45">
        <v>39.0</v>
      </c>
      <c r="J1348" s="45">
        <v>0.5</v>
      </c>
      <c r="K1348" s="45">
        <v>41.0</v>
      </c>
      <c r="P1348" s="141"/>
    </row>
    <row r="1349">
      <c r="C1349" s="133"/>
      <c r="H1349" s="45">
        <v>46.0</v>
      </c>
      <c r="J1349" s="45">
        <v>0.49</v>
      </c>
      <c r="K1349" s="45">
        <v>42.0</v>
      </c>
      <c r="P1349" s="141"/>
    </row>
    <row r="1350">
      <c r="C1350" s="133"/>
      <c r="H1350" s="45">
        <v>45.0</v>
      </c>
      <c r="J1350" s="45">
        <v>0.53</v>
      </c>
      <c r="K1350" s="45">
        <v>39.0</v>
      </c>
      <c r="P1350" s="141"/>
    </row>
    <row r="1351">
      <c r="C1351" s="133"/>
      <c r="H1351" s="45">
        <v>49.0</v>
      </c>
      <c r="J1351" s="45">
        <v>0.49</v>
      </c>
      <c r="K1351" s="45">
        <v>44.0</v>
      </c>
      <c r="P1351" s="141"/>
    </row>
    <row r="1352">
      <c r="C1352" s="133"/>
      <c r="H1352" s="45">
        <v>45.0</v>
      </c>
      <c r="J1352" s="45">
        <v>0.54</v>
      </c>
      <c r="K1352" s="45">
        <v>38.0</v>
      </c>
      <c r="P1352" s="141"/>
    </row>
    <row r="1353">
      <c r="C1353" s="133"/>
      <c r="H1353" s="45">
        <v>43.0</v>
      </c>
      <c r="J1353" s="45">
        <v>0.47</v>
      </c>
      <c r="K1353" s="45">
        <v>41.0</v>
      </c>
      <c r="P1353" s="141"/>
    </row>
    <row r="1354">
      <c r="C1354" s="133"/>
      <c r="H1354" s="45">
        <v>48.0</v>
      </c>
      <c r="J1354" s="45">
        <v>0.56</v>
      </c>
      <c r="K1354" s="45">
        <v>37.0</v>
      </c>
      <c r="P1354" s="141"/>
    </row>
    <row r="1355">
      <c r="C1355" s="133"/>
      <c r="H1355" s="45">
        <v>42.0</v>
      </c>
      <c r="J1355" s="45">
        <v>0.54</v>
      </c>
      <c r="K1355" s="45">
        <v>47.0</v>
      </c>
      <c r="P1355" s="141"/>
    </row>
    <row r="1356">
      <c r="C1356" s="133"/>
      <c r="H1356" s="45">
        <v>45.0</v>
      </c>
      <c r="J1356" s="45">
        <v>0.54</v>
      </c>
      <c r="K1356" s="45">
        <v>40.0</v>
      </c>
      <c r="P1356" s="141"/>
    </row>
    <row r="1357">
      <c r="C1357" s="133"/>
      <c r="H1357" s="45">
        <v>46.0</v>
      </c>
      <c r="J1357" s="45">
        <v>0.51</v>
      </c>
      <c r="K1357" s="45">
        <v>45.0</v>
      </c>
      <c r="P1357" s="141"/>
    </row>
    <row r="1358">
      <c r="C1358" s="133"/>
      <c r="H1358" s="45">
        <v>42.0</v>
      </c>
      <c r="J1358" s="45">
        <v>0.59</v>
      </c>
      <c r="K1358" s="45">
        <v>41.0</v>
      </c>
      <c r="P1358" s="141"/>
    </row>
    <row r="1359">
      <c r="C1359" s="133"/>
      <c r="H1359" s="45">
        <v>47.0</v>
      </c>
      <c r="J1359" s="45">
        <v>0.48</v>
      </c>
      <c r="K1359" s="45">
        <v>44.0</v>
      </c>
      <c r="P1359" s="141"/>
    </row>
    <row r="1360">
      <c r="C1360" s="133"/>
      <c r="H1360" s="45">
        <v>44.0</v>
      </c>
      <c r="J1360" s="45">
        <v>0.53</v>
      </c>
      <c r="K1360" s="45">
        <v>48.0</v>
      </c>
      <c r="P1360" s="141"/>
    </row>
    <row r="1361">
      <c r="C1361" s="133"/>
      <c r="H1361" s="45">
        <v>43.0</v>
      </c>
      <c r="J1361" s="45">
        <v>0.51</v>
      </c>
      <c r="K1361" s="45">
        <v>49.0</v>
      </c>
      <c r="P1361" s="141"/>
    </row>
    <row r="1362">
      <c r="C1362" s="133"/>
      <c r="H1362" s="45">
        <v>43.0</v>
      </c>
      <c r="J1362" s="45">
        <v>0.57</v>
      </c>
      <c r="K1362" s="45">
        <v>41.0</v>
      </c>
      <c r="P1362" s="141"/>
    </row>
    <row r="1363">
      <c r="C1363" s="133"/>
      <c r="H1363" s="45">
        <v>46.0</v>
      </c>
      <c r="J1363" s="45">
        <v>0.5</v>
      </c>
      <c r="K1363" s="45">
        <v>42.0</v>
      </c>
      <c r="P1363" s="141"/>
    </row>
    <row r="1364">
      <c r="C1364" s="133"/>
      <c r="H1364" s="45">
        <v>51.0</v>
      </c>
      <c r="J1364" s="45">
        <v>0.47</v>
      </c>
      <c r="K1364" s="45">
        <v>39.0</v>
      </c>
      <c r="P1364" s="141"/>
    </row>
    <row r="1365">
      <c r="C1365" s="133"/>
      <c r="H1365" s="45">
        <v>44.0</v>
      </c>
      <c r="J1365" s="45">
        <v>0.47</v>
      </c>
      <c r="K1365" s="45">
        <v>46.0</v>
      </c>
      <c r="P1365" s="141"/>
    </row>
    <row r="1366">
      <c r="C1366" s="133"/>
      <c r="H1366" s="45">
        <v>46.0</v>
      </c>
      <c r="J1366" s="45">
        <v>0.5</v>
      </c>
      <c r="K1366" s="45">
        <v>42.0</v>
      </c>
      <c r="P1366" s="141"/>
    </row>
    <row r="1367">
      <c r="C1367" s="133"/>
      <c r="H1367" s="45">
        <v>45.0</v>
      </c>
      <c r="J1367" s="45">
        <v>0.48</v>
      </c>
      <c r="K1367" s="45">
        <v>45.0</v>
      </c>
      <c r="P1367" s="141"/>
    </row>
    <row r="1368">
      <c r="C1368" s="133"/>
      <c r="H1368" s="45">
        <v>44.0</v>
      </c>
      <c r="J1368" s="45">
        <v>0.5</v>
      </c>
      <c r="K1368" s="45">
        <v>46.0</v>
      </c>
      <c r="P1368" s="141"/>
    </row>
    <row r="1369">
      <c r="C1369" s="133"/>
      <c r="H1369" s="45">
        <v>42.0</v>
      </c>
      <c r="J1369" s="45">
        <v>0.51</v>
      </c>
      <c r="K1369" s="45">
        <v>43.0</v>
      </c>
      <c r="P1369" s="141"/>
    </row>
    <row r="1370">
      <c r="C1370" s="133"/>
      <c r="H1370" s="45">
        <v>47.0</v>
      </c>
      <c r="J1370" s="45">
        <v>0.51</v>
      </c>
      <c r="K1370" s="45">
        <v>41.0</v>
      </c>
      <c r="P1370" s="141"/>
    </row>
    <row r="1371">
      <c r="C1371" s="133"/>
      <c r="H1371" s="45">
        <v>47.0</v>
      </c>
      <c r="J1371" s="45">
        <v>0.5</v>
      </c>
      <c r="K1371" s="45">
        <v>46.0</v>
      </c>
      <c r="P1371" s="141"/>
    </row>
    <row r="1372">
      <c r="C1372" s="133"/>
      <c r="H1372" s="45">
        <v>45.0</v>
      </c>
      <c r="J1372" s="45">
        <v>0.51</v>
      </c>
      <c r="K1372" s="45">
        <v>45.0</v>
      </c>
      <c r="P1372" s="141"/>
    </row>
    <row r="1373">
      <c r="C1373" s="133"/>
      <c r="H1373" s="45">
        <v>42.0</v>
      </c>
      <c r="J1373" s="45">
        <v>0.51</v>
      </c>
      <c r="K1373" s="45">
        <v>40.0</v>
      </c>
      <c r="P1373" s="141"/>
    </row>
    <row r="1374">
      <c r="C1374" s="133"/>
      <c r="H1374" s="45">
        <v>40.0</v>
      </c>
      <c r="J1374" s="45">
        <v>0.48</v>
      </c>
      <c r="K1374" s="45">
        <v>40.0</v>
      </c>
      <c r="P1374" s="141"/>
    </row>
    <row r="1375">
      <c r="C1375" s="133"/>
      <c r="H1375" s="45">
        <v>45.0</v>
      </c>
      <c r="J1375" s="45">
        <v>0.47</v>
      </c>
      <c r="K1375" s="45">
        <v>44.0</v>
      </c>
      <c r="P1375" s="141"/>
    </row>
    <row r="1376">
      <c r="C1376" s="133"/>
      <c r="H1376" s="45">
        <v>50.0</v>
      </c>
      <c r="J1376" s="45">
        <v>0.5</v>
      </c>
      <c r="K1376" s="45">
        <v>43.0</v>
      </c>
      <c r="P1376" s="141"/>
    </row>
    <row r="1377">
      <c r="C1377" s="133"/>
      <c r="H1377" s="45">
        <v>51.0</v>
      </c>
      <c r="J1377" s="45">
        <v>0.51</v>
      </c>
      <c r="K1377" s="45">
        <v>42.0</v>
      </c>
      <c r="P1377" s="141"/>
    </row>
    <row r="1378">
      <c r="C1378" s="133"/>
      <c r="H1378" s="45">
        <v>45.0</v>
      </c>
      <c r="J1378" s="45">
        <v>0.51</v>
      </c>
      <c r="K1378" s="45">
        <v>38.0</v>
      </c>
      <c r="P1378" s="141"/>
    </row>
    <row r="1379">
      <c r="C1379" s="133"/>
      <c r="H1379" s="45">
        <v>45.0</v>
      </c>
      <c r="J1379" s="45">
        <v>0.48</v>
      </c>
      <c r="K1379" s="45">
        <v>43.0</v>
      </c>
      <c r="P1379" s="141"/>
    </row>
    <row r="1380">
      <c r="C1380" s="133"/>
      <c r="H1380" s="45">
        <v>45.0</v>
      </c>
      <c r="J1380" s="45">
        <v>0.5</v>
      </c>
      <c r="K1380" s="45">
        <v>45.0</v>
      </c>
      <c r="P1380" s="141"/>
    </row>
    <row r="1381">
      <c r="C1381" s="133"/>
      <c r="H1381" s="45">
        <v>46.0</v>
      </c>
      <c r="J1381" s="45">
        <v>0.46</v>
      </c>
      <c r="K1381" s="45">
        <v>42.0</v>
      </c>
      <c r="P1381" s="141"/>
    </row>
    <row r="1382">
      <c r="C1382" s="133"/>
      <c r="H1382" s="45">
        <v>44.0</v>
      </c>
      <c r="J1382" s="45">
        <v>0.54</v>
      </c>
      <c r="K1382" s="45">
        <v>40.0</v>
      </c>
      <c r="P1382" s="141"/>
    </row>
    <row r="1383">
      <c r="C1383" s="133"/>
      <c r="H1383" s="45">
        <v>49.0</v>
      </c>
      <c r="J1383" s="45">
        <v>0.51</v>
      </c>
      <c r="K1383" s="45">
        <v>44.0</v>
      </c>
      <c r="P1383" s="141"/>
    </row>
    <row r="1384">
      <c r="C1384" s="133"/>
      <c r="H1384" s="45">
        <v>46.0</v>
      </c>
      <c r="J1384" s="45">
        <v>0.48</v>
      </c>
      <c r="K1384" s="45">
        <v>43.0</v>
      </c>
      <c r="P1384" s="141"/>
    </row>
    <row r="1385">
      <c r="C1385" s="133"/>
      <c r="H1385" s="45">
        <v>43.0</v>
      </c>
      <c r="J1385" s="45">
        <v>0.48</v>
      </c>
      <c r="K1385" s="45">
        <v>45.0</v>
      </c>
      <c r="P1385" s="141"/>
    </row>
    <row r="1386">
      <c r="C1386" s="133"/>
      <c r="H1386" s="45">
        <v>44.0</v>
      </c>
      <c r="J1386" s="45">
        <v>0.48</v>
      </c>
      <c r="K1386" s="45">
        <v>38.0</v>
      </c>
      <c r="P1386" s="141"/>
    </row>
    <row r="1387">
      <c r="C1387" s="133"/>
      <c r="H1387" s="45">
        <v>49.0</v>
      </c>
      <c r="J1387" s="45">
        <v>0.53</v>
      </c>
      <c r="K1387" s="45">
        <v>46.0</v>
      </c>
      <c r="P1387" s="141"/>
    </row>
    <row r="1388">
      <c r="C1388" s="133"/>
      <c r="H1388" s="45">
        <v>45.0</v>
      </c>
      <c r="J1388" s="45">
        <v>0.52</v>
      </c>
      <c r="K1388" s="45">
        <v>44.0</v>
      </c>
      <c r="P1388" s="141"/>
    </row>
    <row r="1389">
      <c r="C1389" s="133"/>
      <c r="H1389" s="45">
        <v>46.0</v>
      </c>
      <c r="J1389" s="45">
        <v>0.49</v>
      </c>
      <c r="K1389" s="45">
        <v>40.0</v>
      </c>
      <c r="P1389" s="141"/>
    </row>
    <row r="1390">
      <c r="C1390" s="133"/>
      <c r="H1390" s="45">
        <v>43.0</v>
      </c>
      <c r="J1390" s="45">
        <v>0.52</v>
      </c>
      <c r="K1390" s="45">
        <v>41.0</v>
      </c>
      <c r="P1390" s="141"/>
    </row>
    <row r="1391">
      <c r="C1391" s="133"/>
      <c r="H1391" s="45">
        <v>44.0</v>
      </c>
      <c r="J1391" s="45">
        <v>0.47</v>
      </c>
      <c r="K1391" s="45">
        <v>43.0</v>
      </c>
      <c r="P1391" s="141"/>
    </row>
    <row r="1392">
      <c r="C1392" s="133"/>
      <c r="H1392" s="45">
        <v>43.0</v>
      </c>
      <c r="J1392" s="45">
        <v>0.52</v>
      </c>
      <c r="K1392" s="45">
        <v>44.0</v>
      </c>
      <c r="P1392" s="141"/>
    </row>
    <row r="1393">
      <c r="C1393" s="133"/>
      <c r="H1393" s="45">
        <v>47.0</v>
      </c>
      <c r="J1393" s="45">
        <v>0.48</v>
      </c>
      <c r="K1393" s="45">
        <v>44.0</v>
      </c>
      <c r="P1393" s="141"/>
    </row>
    <row r="1394">
      <c r="C1394" s="133"/>
      <c r="H1394" s="45">
        <v>46.0</v>
      </c>
      <c r="J1394" s="45">
        <v>0.5</v>
      </c>
      <c r="K1394" s="45">
        <v>40.0</v>
      </c>
      <c r="P1394" s="141"/>
    </row>
    <row r="1395">
      <c r="C1395" s="133"/>
      <c r="H1395" s="45">
        <v>46.0</v>
      </c>
      <c r="J1395" s="45">
        <v>0.5</v>
      </c>
      <c r="K1395" s="45">
        <v>40.0</v>
      </c>
      <c r="P1395" s="141"/>
    </row>
    <row r="1396">
      <c r="C1396" s="133"/>
      <c r="H1396" s="45">
        <v>41.0</v>
      </c>
      <c r="J1396" s="45">
        <v>0.45</v>
      </c>
      <c r="K1396" s="45">
        <v>45.0</v>
      </c>
      <c r="P1396" s="141"/>
    </row>
    <row r="1397">
      <c r="C1397" s="133"/>
      <c r="H1397" s="45">
        <v>42.0</v>
      </c>
      <c r="J1397" s="45">
        <v>0.46</v>
      </c>
      <c r="K1397" s="45">
        <v>46.0</v>
      </c>
      <c r="P1397" s="141"/>
    </row>
    <row r="1398">
      <c r="C1398" s="133"/>
      <c r="H1398" s="45">
        <v>42.0</v>
      </c>
      <c r="J1398" s="45">
        <v>0.49</v>
      </c>
      <c r="K1398" s="45">
        <v>46.0</v>
      </c>
      <c r="P1398" s="141"/>
    </row>
    <row r="1399">
      <c r="C1399" s="133"/>
      <c r="H1399" s="45">
        <v>45.0</v>
      </c>
      <c r="J1399" s="45">
        <v>0.53</v>
      </c>
      <c r="K1399" s="45">
        <v>45.0</v>
      </c>
      <c r="P1399" s="141"/>
    </row>
    <row r="1400">
      <c r="C1400" s="133"/>
      <c r="H1400" s="45">
        <v>44.0</v>
      </c>
      <c r="J1400" s="45">
        <v>0.52</v>
      </c>
      <c r="K1400" s="45">
        <v>43.0</v>
      </c>
      <c r="P1400" s="141"/>
    </row>
    <row r="1401">
      <c r="C1401" s="133"/>
      <c r="H1401" s="45">
        <v>48.0</v>
      </c>
      <c r="J1401" s="45">
        <v>0.47</v>
      </c>
      <c r="K1401" s="45">
        <v>39.0</v>
      </c>
      <c r="P1401" s="141"/>
    </row>
    <row r="1402">
      <c r="C1402" s="133"/>
      <c r="H1402" s="45">
        <v>47.0</v>
      </c>
      <c r="J1402" s="45">
        <v>0.49</v>
      </c>
      <c r="K1402" s="45">
        <v>41.0</v>
      </c>
      <c r="P1402" s="141"/>
    </row>
    <row r="1403">
      <c r="C1403" s="133"/>
      <c r="H1403" s="45">
        <v>47.0</v>
      </c>
      <c r="J1403" s="45">
        <v>0.63</v>
      </c>
      <c r="K1403" s="45">
        <v>42.0</v>
      </c>
      <c r="P1403" s="141"/>
    </row>
    <row r="1404">
      <c r="C1404" s="133"/>
      <c r="H1404" s="45">
        <v>46.0</v>
      </c>
      <c r="J1404" s="45">
        <v>0.56</v>
      </c>
      <c r="K1404" s="45">
        <v>48.0</v>
      </c>
      <c r="P1404" s="141"/>
    </row>
    <row r="1405">
      <c r="C1405" s="133"/>
      <c r="H1405" s="45">
        <v>47.0</v>
      </c>
      <c r="J1405" s="45">
        <v>0.48</v>
      </c>
      <c r="K1405" s="45">
        <v>46.0</v>
      </c>
      <c r="P1405" s="141"/>
    </row>
    <row r="1406">
      <c r="C1406" s="133"/>
      <c r="H1406" s="45">
        <v>44.0</v>
      </c>
      <c r="J1406" s="45">
        <v>0.5</v>
      </c>
      <c r="K1406" s="45">
        <v>44.0</v>
      </c>
      <c r="P1406" s="141"/>
    </row>
    <row r="1407">
      <c r="C1407" s="133"/>
      <c r="H1407" s="45">
        <v>47.0</v>
      </c>
      <c r="J1407" s="45">
        <v>0.48</v>
      </c>
      <c r="K1407" s="45">
        <v>44.0</v>
      </c>
      <c r="P1407" s="141"/>
    </row>
    <row r="1408">
      <c r="C1408" s="133"/>
      <c r="H1408" s="45">
        <v>47.0</v>
      </c>
      <c r="J1408" s="45">
        <v>0.58</v>
      </c>
      <c r="K1408" s="45">
        <v>42.0</v>
      </c>
      <c r="P1408" s="141"/>
    </row>
    <row r="1409">
      <c r="C1409" s="133"/>
      <c r="H1409" s="45">
        <v>44.0</v>
      </c>
      <c r="J1409" s="45">
        <v>0.46</v>
      </c>
      <c r="K1409" s="45">
        <v>41.0</v>
      </c>
      <c r="P1409" s="141"/>
    </row>
    <row r="1410">
      <c r="C1410" s="133"/>
      <c r="H1410" s="45">
        <v>44.0</v>
      </c>
      <c r="J1410" s="45">
        <v>0.54</v>
      </c>
      <c r="K1410" s="45">
        <v>43.0</v>
      </c>
      <c r="P1410" s="141"/>
    </row>
    <row r="1411">
      <c r="C1411" s="133"/>
      <c r="H1411" s="45">
        <v>46.0</v>
      </c>
      <c r="J1411" s="45">
        <v>0.47</v>
      </c>
      <c r="K1411" s="45">
        <v>48.0</v>
      </c>
      <c r="P1411" s="141"/>
    </row>
    <row r="1412">
      <c r="C1412" s="133"/>
      <c r="H1412" s="45">
        <v>44.0</v>
      </c>
      <c r="J1412" s="45">
        <v>0.52</v>
      </c>
      <c r="K1412" s="45">
        <v>43.0</v>
      </c>
      <c r="P1412" s="141"/>
    </row>
    <row r="1413">
      <c r="C1413" s="133"/>
      <c r="H1413" s="45">
        <v>40.0</v>
      </c>
      <c r="J1413" s="45">
        <v>0.49</v>
      </c>
      <c r="K1413" s="45">
        <v>41.0</v>
      </c>
      <c r="P1413" s="141"/>
    </row>
    <row r="1414">
      <c r="C1414" s="133"/>
      <c r="H1414" s="45">
        <v>46.0</v>
      </c>
      <c r="J1414" s="45">
        <v>0.57</v>
      </c>
      <c r="K1414" s="45">
        <v>39.0</v>
      </c>
      <c r="P1414" s="141"/>
    </row>
    <row r="1415">
      <c r="C1415" s="133"/>
      <c r="H1415" s="45">
        <v>52.0</v>
      </c>
      <c r="J1415" s="45">
        <v>0.55</v>
      </c>
      <c r="K1415" s="45">
        <v>45.0</v>
      </c>
      <c r="P1415" s="141"/>
    </row>
    <row r="1416">
      <c r="C1416" s="133"/>
      <c r="H1416" s="45">
        <v>46.0</v>
      </c>
      <c r="J1416" s="45">
        <v>0.55</v>
      </c>
      <c r="K1416" s="45">
        <v>42.0</v>
      </c>
      <c r="P1416" s="141"/>
    </row>
    <row r="1417">
      <c r="C1417" s="133"/>
      <c r="H1417" s="45">
        <v>42.0</v>
      </c>
      <c r="J1417" s="45">
        <v>0.57</v>
      </c>
      <c r="K1417" s="45">
        <v>39.0</v>
      </c>
      <c r="P1417" s="141"/>
    </row>
    <row r="1418">
      <c r="C1418" s="133"/>
      <c r="H1418" s="45">
        <v>44.0</v>
      </c>
      <c r="J1418" s="45">
        <v>0.47</v>
      </c>
      <c r="K1418" s="45">
        <v>44.0</v>
      </c>
      <c r="P1418" s="141"/>
    </row>
    <row r="1419">
      <c r="C1419" s="133"/>
      <c r="H1419" s="45">
        <v>45.0</v>
      </c>
      <c r="J1419" s="45">
        <v>0.53</v>
      </c>
      <c r="K1419" s="45">
        <v>45.0</v>
      </c>
      <c r="P1419" s="141"/>
    </row>
    <row r="1420">
      <c r="C1420" s="133"/>
      <c r="H1420" s="45">
        <v>43.0</v>
      </c>
      <c r="J1420" s="45">
        <v>0.5</v>
      </c>
      <c r="K1420" s="45">
        <v>42.0</v>
      </c>
      <c r="P1420" s="141"/>
    </row>
    <row r="1421">
      <c r="C1421" s="133"/>
      <c r="H1421" s="45">
        <v>38.0</v>
      </c>
      <c r="J1421" s="45">
        <v>0.47</v>
      </c>
      <c r="K1421" s="45">
        <v>40.0</v>
      </c>
      <c r="P1421" s="141"/>
    </row>
    <row r="1422">
      <c r="C1422" s="133"/>
      <c r="H1422" s="45">
        <v>44.0</v>
      </c>
      <c r="J1422" s="45">
        <v>0.54</v>
      </c>
      <c r="K1422" s="45">
        <v>44.0</v>
      </c>
      <c r="P1422" s="141"/>
    </row>
    <row r="1423">
      <c r="C1423" s="133"/>
      <c r="H1423" s="45">
        <v>46.0</v>
      </c>
      <c r="J1423" s="45">
        <v>0.49</v>
      </c>
      <c r="K1423" s="45">
        <v>42.0</v>
      </c>
      <c r="P1423" s="141"/>
    </row>
    <row r="1424">
      <c r="C1424" s="133"/>
      <c r="H1424" s="45">
        <v>38.0</v>
      </c>
      <c r="J1424" s="45">
        <v>0.49</v>
      </c>
      <c r="K1424" s="45">
        <v>40.0</v>
      </c>
      <c r="P1424" s="141"/>
    </row>
    <row r="1425">
      <c r="C1425" s="133"/>
      <c r="H1425" s="45">
        <v>45.0</v>
      </c>
      <c r="J1425" s="45">
        <v>0.53</v>
      </c>
      <c r="K1425" s="45">
        <v>35.0</v>
      </c>
      <c r="P1425" s="141"/>
    </row>
    <row r="1426">
      <c r="C1426" s="133"/>
      <c r="H1426" s="45">
        <v>43.0</v>
      </c>
      <c r="J1426" s="45">
        <v>0.51</v>
      </c>
      <c r="K1426" s="45">
        <v>40.0</v>
      </c>
      <c r="P1426" s="141"/>
    </row>
    <row r="1427">
      <c r="C1427" s="133"/>
      <c r="H1427" s="45">
        <v>46.0</v>
      </c>
      <c r="J1427" s="45">
        <v>0.49</v>
      </c>
      <c r="K1427" s="45">
        <v>44.0</v>
      </c>
      <c r="P1427" s="141"/>
    </row>
    <row r="1428">
      <c r="C1428" s="133"/>
      <c r="H1428" s="45">
        <v>42.0</v>
      </c>
      <c r="J1428" s="45">
        <v>0.51</v>
      </c>
      <c r="K1428" s="45">
        <v>45.0</v>
      </c>
      <c r="P1428" s="141"/>
    </row>
    <row r="1429">
      <c r="C1429" s="133"/>
      <c r="H1429" s="45">
        <v>46.0</v>
      </c>
      <c r="J1429" s="45">
        <v>0.45</v>
      </c>
      <c r="K1429" s="45">
        <v>46.0</v>
      </c>
      <c r="P1429" s="141"/>
    </row>
    <row r="1430">
      <c r="C1430" s="133"/>
      <c r="H1430" s="45">
        <v>44.0</v>
      </c>
      <c r="J1430" s="45">
        <v>0.48</v>
      </c>
      <c r="K1430" s="45">
        <v>42.0</v>
      </c>
      <c r="P1430" s="141"/>
    </row>
    <row r="1431">
      <c r="C1431" s="133"/>
      <c r="H1431" s="45">
        <v>46.0</v>
      </c>
      <c r="J1431" s="45">
        <v>0.49</v>
      </c>
      <c r="K1431" s="45">
        <v>48.0</v>
      </c>
      <c r="P1431" s="141"/>
    </row>
    <row r="1432">
      <c r="C1432" s="133"/>
      <c r="H1432" s="45">
        <v>40.0</v>
      </c>
      <c r="J1432" s="45">
        <v>0.48</v>
      </c>
      <c r="K1432" s="45">
        <v>39.0</v>
      </c>
      <c r="P1432" s="141"/>
    </row>
    <row r="1433">
      <c r="C1433" s="133"/>
      <c r="H1433" s="45">
        <v>45.0</v>
      </c>
      <c r="J1433" s="45">
        <v>0.54</v>
      </c>
      <c r="K1433" s="45">
        <v>41.0</v>
      </c>
      <c r="P1433" s="141"/>
    </row>
    <row r="1434">
      <c r="C1434" s="133"/>
      <c r="H1434" s="45">
        <v>39.0</v>
      </c>
      <c r="J1434" s="45">
        <v>0.54</v>
      </c>
      <c r="K1434" s="45">
        <v>38.0</v>
      </c>
      <c r="P1434" s="141"/>
    </row>
    <row r="1435">
      <c r="C1435" s="133"/>
      <c r="H1435" s="45">
        <v>42.0</v>
      </c>
      <c r="J1435" s="45">
        <v>0.55</v>
      </c>
      <c r="K1435" s="45">
        <v>42.0</v>
      </c>
      <c r="P1435" s="141"/>
    </row>
    <row r="1436">
      <c r="C1436" s="133"/>
      <c r="H1436" s="45">
        <v>45.0</v>
      </c>
      <c r="J1436" s="45">
        <v>0.51</v>
      </c>
      <c r="K1436" s="45">
        <v>48.0</v>
      </c>
      <c r="P1436" s="141"/>
    </row>
    <row r="1437">
      <c r="C1437" s="133"/>
      <c r="H1437" s="45">
        <v>48.0</v>
      </c>
      <c r="J1437" s="45">
        <v>0.49</v>
      </c>
      <c r="K1437" s="45">
        <v>47.0</v>
      </c>
      <c r="P1437" s="141"/>
    </row>
    <row r="1438">
      <c r="C1438" s="133"/>
      <c r="H1438" s="45">
        <v>44.0</v>
      </c>
      <c r="J1438" s="45">
        <v>0.5</v>
      </c>
      <c r="K1438" s="45">
        <v>40.0</v>
      </c>
      <c r="P1438" s="141"/>
    </row>
    <row r="1439">
      <c r="C1439" s="133"/>
      <c r="H1439" s="45">
        <v>44.0</v>
      </c>
      <c r="J1439" s="45">
        <v>0.53</v>
      </c>
      <c r="K1439" s="45">
        <v>48.0</v>
      </c>
      <c r="P1439" s="141"/>
    </row>
    <row r="1440">
      <c r="C1440" s="133"/>
      <c r="H1440" s="45">
        <v>46.0</v>
      </c>
      <c r="J1440" s="45">
        <v>0.5</v>
      </c>
      <c r="K1440" s="45">
        <v>45.0</v>
      </c>
      <c r="P1440" s="141"/>
    </row>
    <row r="1441">
      <c r="C1441" s="133"/>
      <c r="H1441" s="45">
        <v>46.0</v>
      </c>
      <c r="J1441" s="45">
        <v>0.45</v>
      </c>
      <c r="K1441" s="45">
        <v>46.0</v>
      </c>
      <c r="P1441" s="141"/>
    </row>
    <row r="1442">
      <c r="C1442" s="133"/>
      <c r="H1442" s="45">
        <v>39.0</v>
      </c>
      <c r="J1442" s="45">
        <v>0.5</v>
      </c>
      <c r="K1442" s="45">
        <v>42.0</v>
      </c>
      <c r="P1442" s="141"/>
    </row>
    <row r="1443">
      <c r="C1443" s="133"/>
      <c r="H1443" s="45">
        <v>47.0</v>
      </c>
      <c r="J1443" s="45">
        <v>0.55</v>
      </c>
      <c r="K1443" s="45">
        <v>42.0</v>
      </c>
      <c r="P1443" s="141"/>
    </row>
    <row r="1444">
      <c r="C1444" s="133"/>
      <c r="H1444" s="45">
        <v>44.0</v>
      </c>
      <c r="J1444" s="45">
        <v>0.46</v>
      </c>
      <c r="K1444" s="45">
        <v>46.0</v>
      </c>
      <c r="P1444" s="141"/>
    </row>
    <row r="1445">
      <c r="C1445" s="133"/>
      <c r="H1445" s="45">
        <v>45.0</v>
      </c>
      <c r="J1445" s="45">
        <v>0.57</v>
      </c>
      <c r="K1445" s="45">
        <v>50.0</v>
      </c>
      <c r="P1445" s="141"/>
    </row>
    <row r="1446">
      <c r="C1446" s="133"/>
      <c r="H1446" s="45">
        <v>45.0</v>
      </c>
      <c r="J1446" s="45">
        <v>0.51</v>
      </c>
      <c r="K1446" s="45">
        <v>47.0</v>
      </c>
      <c r="P1446" s="141"/>
    </row>
    <row r="1447">
      <c r="C1447" s="133"/>
      <c r="H1447" s="45">
        <v>44.0</v>
      </c>
      <c r="J1447" s="45">
        <v>0.45</v>
      </c>
      <c r="K1447" s="45">
        <v>43.0</v>
      </c>
      <c r="P1447" s="141"/>
    </row>
    <row r="1448">
      <c r="C1448" s="133"/>
      <c r="H1448" s="45">
        <v>45.0</v>
      </c>
      <c r="J1448" s="45">
        <v>0.48</v>
      </c>
      <c r="K1448" s="45">
        <v>47.0</v>
      </c>
      <c r="P1448" s="141"/>
    </row>
    <row r="1449">
      <c r="C1449" s="133"/>
      <c r="H1449" s="45">
        <v>47.0</v>
      </c>
      <c r="J1449" s="45">
        <v>0.55</v>
      </c>
      <c r="K1449" s="45">
        <v>44.0</v>
      </c>
      <c r="P1449" s="141"/>
    </row>
    <row r="1450">
      <c r="C1450" s="133"/>
      <c r="H1450" s="45">
        <v>45.0</v>
      </c>
      <c r="J1450" s="45">
        <v>0.55</v>
      </c>
      <c r="K1450" s="45">
        <v>38.0</v>
      </c>
      <c r="P1450" s="141"/>
    </row>
    <row r="1451">
      <c r="C1451" s="133"/>
      <c r="H1451" s="45">
        <v>44.0</v>
      </c>
      <c r="J1451" s="45">
        <v>0.49</v>
      </c>
      <c r="K1451" s="45">
        <v>46.0</v>
      </c>
      <c r="P1451" s="141"/>
    </row>
    <row r="1452">
      <c r="C1452" s="133"/>
      <c r="H1452" s="45">
        <v>47.0</v>
      </c>
      <c r="J1452" s="45">
        <v>0.52</v>
      </c>
      <c r="K1452" s="45">
        <v>43.0</v>
      </c>
      <c r="P1452" s="141"/>
    </row>
    <row r="1453">
      <c r="C1453" s="133"/>
      <c r="H1453" s="45">
        <v>42.0</v>
      </c>
      <c r="J1453" s="45">
        <v>0.49</v>
      </c>
      <c r="K1453" s="45">
        <v>40.0</v>
      </c>
      <c r="P1453" s="141"/>
    </row>
    <row r="1454">
      <c r="C1454" s="133"/>
      <c r="H1454" s="45">
        <v>42.0</v>
      </c>
      <c r="J1454" s="45">
        <v>0.48</v>
      </c>
      <c r="K1454" s="45">
        <v>43.0</v>
      </c>
      <c r="P1454" s="141"/>
    </row>
    <row r="1455">
      <c r="C1455" s="133"/>
      <c r="H1455" s="45">
        <v>49.0</v>
      </c>
      <c r="J1455" s="45">
        <v>0.49</v>
      </c>
      <c r="K1455" s="45">
        <v>45.0</v>
      </c>
      <c r="P1455" s="141"/>
    </row>
    <row r="1456">
      <c r="C1456" s="133"/>
      <c r="H1456" s="45">
        <v>48.0</v>
      </c>
      <c r="J1456" s="45">
        <v>0.55</v>
      </c>
      <c r="K1456" s="45">
        <v>48.0</v>
      </c>
      <c r="P1456" s="141"/>
    </row>
    <row r="1457">
      <c r="C1457" s="133"/>
      <c r="H1457" s="45">
        <v>43.0</v>
      </c>
      <c r="J1457" s="45">
        <v>0.51</v>
      </c>
      <c r="K1457" s="45">
        <v>48.0</v>
      </c>
      <c r="P1457" s="141"/>
    </row>
    <row r="1458">
      <c r="C1458" s="133"/>
      <c r="H1458" s="45">
        <v>47.0</v>
      </c>
      <c r="J1458" s="45">
        <v>0.53</v>
      </c>
      <c r="K1458" s="45">
        <v>48.0</v>
      </c>
      <c r="P1458" s="141"/>
    </row>
    <row r="1459">
      <c r="C1459" s="133"/>
      <c r="H1459" s="45">
        <v>45.0</v>
      </c>
      <c r="J1459" s="45">
        <v>0.52</v>
      </c>
      <c r="K1459" s="45">
        <v>49.0</v>
      </c>
      <c r="P1459" s="141"/>
    </row>
    <row r="1460">
      <c r="C1460" s="133"/>
      <c r="H1460" s="45">
        <v>42.0</v>
      </c>
      <c r="J1460" s="45">
        <v>0.55</v>
      </c>
      <c r="K1460" s="45">
        <v>45.0</v>
      </c>
      <c r="P1460" s="141"/>
    </row>
    <row r="1461">
      <c r="C1461" s="133"/>
      <c r="H1461" s="45">
        <v>45.0</v>
      </c>
      <c r="J1461" s="45">
        <v>0.5</v>
      </c>
      <c r="K1461" s="45">
        <v>41.0</v>
      </c>
      <c r="P1461" s="141"/>
    </row>
    <row r="1462">
      <c r="C1462" s="133"/>
      <c r="H1462" s="45">
        <v>41.0</v>
      </c>
      <c r="J1462" s="45">
        <v>0.51</v>
      </c>
      <c r="K1462" s="45">
        <v>40.0</v>
      </c>
      <c r="P1462" s="141"/>
    </row>
    <row r="1463">
      <c r="C1463" s="133"/>
      <c r="H1463" s="45">
        <v>48.0</v>
      </c>
      <c r="J1463" s="45">
        <v>0.47</v>
      </c>
      <c r="K1463" s="45">
        <v>41.0</v>
      </c>
      <c r="P1463" s="141"/>
    </row>
    <row r="1464">
      <c r="C1464" s="133"/>
      <c r="H1464" s="45">
        <v>39.0</v>
      </c>
      <c r="J1464" s="45">
        <v>0.5</v>
      </c>
      <c r="K1464" s="45">
        <v>37.0</v>
      </c>
      <c r="P1464" s="141"/>
    </row>
    <row r="1465">
      <c r="C1465" s="133"/>
      <c r="H1465" s="45">
        <v>43.0</v>
      </c>
      <c r="J1465" s="45">
        <v>0.52</v>
      </c>
      <c r="K1465" s="45">
        <v>47.0</v>
      </c>
      <c r="P1465" s="141"/>
    </row>
    <row r="1466">
      <c r="C1466" s="133"/>
      <c r="H1466" s="45">
        <v>42.0</v>
      </c>
      <c r="J1466" s="45">
        <v>0.52</v>
      </c>
      <c r="K1466" s="45">
        <v>46.0</v>
      </c>
      <c r="P1466" s="141"/>
    </row>
    <row r="1467">
      <c r="C1467" s="133"/>
      <c r="H1467" s="45">
        <v>44.0</v>
      </c>
      <c r="J1467" s="45">
        <v>0.47</v>
      </c>
      <c r="K1467" s="45">
        <v>41.0</v>
      </c>
      <c r="P1467" s="141"/>
    </row>
    <row r="1468">
      <c r="C1468" s="133"/>
      <c r="H1468" s="45">
        <v>45.0</v>
      </c>
      <c r="J1468" s="45">
        <v>0.56</v>
      </c>
      <c r="K1468" s="45">
        <v>45.0</v>
      </c>
      <c r="P1468" s="141"/>
    </row>
    <row r="1469">
      <c r="C1469" s="133"/>
      <c r="H1469" s="45">
        <v>50.0</v>
      </c>
      <c r="J1469" s="45">
        <v>0.5</v>
      </c>
      <c r="K1469" s="45">
        <v>48.0</v>
      </c>
      <c r="P1469" s="141"/>
    </row>
    <row r="1470">
      <c r="C1470" s="133"/>
      <c r="H1470" s="45">
        <v>45.0</v>
      </c>
      <c r="J1470" s="45">
        <v>0.52</v>
      </c>
      <c r="K1470" s="45">
        <v>49.0</v>
      </c>
      <c r="P1470" s="141"/>
    </row>
    <row r="1471">
      <c r="C1471" s="133"/>
      <c r="H1471" s="45">
        <v>42.0</v>
      </c>
      <c r="J1471" s="45">
        <v>0.48</v>
      </c>
      <c r="K1471" s="45">
        <v>41.0</v>
      </c>
      <c r="P1471" s="141"/>
    </row>
    <row r="1472">
      <c r="C1472" s="133"/>
      <c r="H1472" s="45">
        <v>39.0</v>
      </c>
      <c r="J1472" s="45">
        <v>0.5</v>
      </c>
      <c r="K1472" s="45">
        <v>45.0</v>
      </c>
      <c r="P1472" s="141"/>
    </row>
    <row r="1473">
      <c r="C1473" s="133"/>
      <c r="H1473" s="45">
        <v>37.0</v>
      </c>
      <c r="J1473" s="45">
        <v>0.47</v>
      </c>
      <c r="K1473" s="45">
        <v>38.0</v>
      </c>
      <c r="P1473" s="141"/>
    </row>
    <row r="1474">
      <c r="C1474" s="133"/>
      <c r="H1474" s="45">
        <v>43.0</v>
      </c>
      <c r="J1474" s="45">
        <v>0.59</v>
      </c>
      <c r="K1474" s="45">
        <v>36.0</v>
      </c>
      <c r="P1474" s="141"/>
    </row>
    <row r="1475">
      <c r="C1475" s="133"/>
      <c r="H1475" s="45">
        <v>45.0</v>
      </c>
      <c r="J1475" s="45">
        <v>0.49</v>
      </c>
      <c r="K1475" s="45">
        <v>40.0</v>
      </c>
      <c r="P1475" s="141"/>
    </row>
    <row r="1476">
      <c r="C1476" s="133"/>
      <c r="H1476" s="45">
        <v>43.0</v>
      </c>
      <c r="J1476" s="45">
        <v>0.47</v>
      </c>
      <c r="K1476" s="45">
        <v>49.0</v>
      </c>
      <c r="P1476" s="141"/>
    </row>
    <row r="1477">
      <c r="C1477" s="133"/>
      <c r="H1477" s="45">
        <v>40.0</v>
      </c>
      <c r="J1477" s="45">
        <v>0.48</v>
      </c>
      <c r="K1477" s="45">
        <v>44.0</v>
      </c>
      <c r="P1477" s="141"/>
    </row>
    <row r="1478">
      <c r="C1478" s="133"/>
      <c r="H1478" s="45">
        <v>42.0</v>
      </c>
      <c r="J1478" s="45">
        <v>0.54</v>
      </c>
      <c r="K1478" s="45">
        <v>40.0</v>
      </c>
      <c r="P1478" s="141"/>
    </row>
    <row r="1479">
      <c r="C1479" s="133"/>
      <c r="H1479" s="45">
        <v>44.0</v>
      </c>
      <c r="J1479" s="45">
        <v>0.47</v>
      </c>
      <c r="K1479" s="45">
        <v>51.0</v>
      </c>
      <c r="P1479" s="141"/>
    </row>
    <row r="1480">
      <c r="C1480" s="133"/>
      <c r="H1480" s="45">
        <v>39.0</v>
      </c>
      <c r="J1480" s="45">
        <v>0.56</v>
      </c>
      <c r="K1480" s="45">
        <v>41.0</v>
      </c>
      <c r="P1480" s="141"/>
    </row>
    <row r="1481">
      <c r="C1481" s="133"/>
      <c r="H1481" s="45">
        <v>46.0</v>
      </c>
      <c r="J1481" s="45">
        <v>0.5</v>
      </c>
      <c r="K1481" s="45">
        <v>47.0</v>
      </c>
      <c r="P1481" s="141"/>
    </row>
    <row r="1482">
      <c r="C1482" s="133"/>
      <c r="H1482" s="45">
        <v>45.0</v>
      </c>
      <c r="J1482" s="45">
        <v>0.52</v>
      </c>
      <c r="K1482" s="45">
        <v>41.0</v>
      </c>
      <c r="P1482" s="141"/>
    </row>
    <row r="1483">
      <c r="C1483" s="133"/>
      <c r="H1483" s="45">
        <v>44.0</v>
      </c>
      <c r="J1483" s="45">
        <v>0.51</v>
      </c>
      <c r="K1483" s="45">
        <v>44.0</v>
      </c>
      <c r="P1483" s="141"/>
    </row>
    <row r="1484">
      <c r="C1484" s="133"/>
      <c r="H1484" s="45">
        <v>50.0</v>
      </c>
      <c r="J1484" s="45">
        <v>0.57</v>
      </c>
      <c r="K1484" s="45">
        <v>52.0</v>
      </c>
      <c r="P1484" s="141"/>
    </row>
    <row r="1485">
      <c r="C1485" s="133"/>
      <c r="H1485" s="45">
        <v>42.0</v>
      </c>
      <c r="J1485" s="45">
        <v>0.52</v>
      </c>
      <c r="K1485" s="45">
        <v>38.0</v>
      </c>
      <c r="P1485" s="141"/>
    </row>
    <row r="1486">
      <c r="C1486" s="133"/>
      <c r="H1486" s="45">
        <v>38.0</v>
      </c>
      <c r="J1486" s="45">
        <v>0.49</v>
      </c>
      <c r="K1486" s="45">
        <v>37.0</v>
      </c>
      <c r="P1486" s="141"/>
    </row>
    <row r="1487">
      <c r="C1487" s="133"/>
      <c r="H1487" s="45">
        <v>44.0</v>
      </c>
      <c r="J1487" s="45">
        <v>0.54</v>
      </c>
      <c r="K1487" s="45">
        <v>46.0</v>
      </c>
      <c r="P1487" s="141"/>
    </row>
    <row r="1488">
      <c r="C1488" s="133"/>
      <c r="H1488" s="45">
        <v>43.0</v>
      </c>
      <c r="J1488" s="45">
        <v>0.5</v>
      </c>
      <c r="K1488" s="45">
        <v>41.0</v>
      </c>
      <c r="P1488" s="141"/>
    </row>
    <row r="1489">
      <c r="C1489" s="133"/>
      <c r="H1489" s="45">
        <v>42.0</v>
      </c>
      <c r="J1489" s="45">
        <v>0.52</v>
      </c>
      <c r="K1489" s="45">
        <v>41.0</v>
      </c>
      <c r="P1489" s="141"/>
    </row>
    <row r="1490">
      <c r="C1490" s="133"/>
      <c r="H1490" s="45">
        <v>41.0</v>
      </c>
      <c r="J1490" s="45">
        <v>0.51</v>
      </c>
      <c r="K1490" s="45">
        <v>36.0</v>
      </c>
      <c r="P1490" s="141"/>
    </row>
    <row r="1491">
      <c r="C1491" s="133"/>
      <c r="H1491" s="45">
        <v>47.0</v>
      </c>
      <c r="J1491" s="45">
        <v>0.53</v>
      </c>
      <c r="K1491" s="45">
        <v>56.0</v>
      </c>
      <c r="P1491" s="141"/>
    </row>
    <row r="1492">
      <c r="C1492" s="133"/>
      <c r="H1492" s="45">
        <v>45.0</v>
      </c>
      <c r="J1492" s="45">
        <v>0.5</v>
      </c>
      <c r="K1492" s="45">
        <v>39.0</v>
      </c>
      <c r="P1492" s="141"/>
    </row>
    <row r="1493">
      <c r="C1493" s="133"/>
      <c r="H1493" s="45">
        <v>49.0</v>
      </c>
      <c r="J1493" s="45">
        <v>0.57</v>
      </c>
      <c r="K1493" s="45">
        <v>40.0</v>
      </c>
      <c r="P1493" s="141"/>
    </row>
    <row r="1494">
      <c r="C1494" s="133"/>
      <c r="H1494" s="45">
        <v>45.0</v>
      </c>
      <c r="J1494" s="45">
        <v>0.51</v>
      </c>
      <c r="K1494" s="45">
        <v>41.0</v>
      </c>
      <c r="P1494" s="141"/>
    </row>
    <row r="1495">
      <c r="C1495" s="133"/>
      <c r="H1495" s="45">
        <v>38.0</v>
      </c>
      <c r="J1495" s="45">
        <v>0.49</v>
      </c>
      <c r="K1495" s="45">
        <v>40.0</v>
      </c>
      <c r="P1495" s="141"/>
    </row>
    <row r="1496">
      <c r="C1496" s="133"/>
      <c r="H1496" s="45">
        <v>40.0</v>
      </c>
      <c r="J1496" s="45">
        <v>0.58</v>
      </c>
      <c r="K1496" s="45">
        <v>43.0</v>
      </c>
      <c r="P1496" s="141"/>
    </row>
    <row r="1497">
      <c r="C1497" s="133"/>
      <c r="H1497" s="45">
        <v>43.0</v>
      </c>
      <c r="J1497" s="45">
        <v>0.5</v>
      </c>
      <c r="K1497" s="45">
        <v>41.0</v>
      </c>
      <c r="P1497" s="141"/>
    </row>
    <row r="1498">
      <c r="C1498" s="133"/>
      <c r="H1498" s="45">
        <v>38.0</v>
      </c>
      <c r="J1498" s="45">
        <v>0.47</v>
      </c>
      <c r="K1498" s="45">
        <v>38.0</v>
      </c>
      <c r="P1498" s="141"/>
    </row>
    <row r="1499">
      <c r="C1499" s="133"/>
      <c r="H1499" s="45">
        <v>40.0</v>
      </c>
      <c r="J1499" s="45">
        <v>0.52</v>
      </c>
      <c r="K1499" s="45">
        <v>47.0</v>
      </c>
      <c r="P1499" s="141"/>
    </row>
    <row r="1500">
      <c r="C1500" s="133"/>
      <c r="H1500" s="45">
        <v>45.0</v>
      </c>
      <c r="J1500" s="45">
        <v>0.51</v>
      </c>
      <c r="K1500" s="45">
        <v>50.0</v>
      </c>
      <c r="P1500" s="141"/>
    </row>
    <row r="1501">
      <c r="C1501" s="133"/>
      <c r="H1501" s="45">
        <v>43.0</v>
      </c>
      <c r="J1501" s="45">
        <v>0.5</v>
      </c>
      <c r="K1501" s="45">
        <v>42.0</v>
      </c>
      <c r="P1501" s="141"/>
    </row>
    <row r="1502">
      <c r="C1502" s="133"/>
      <c r="H1502" s="45">
        <v>42.0</v>
      </c>
      <c r="J1502" s="45">
        <v>0.53</v>
      </c>
      <c r="K1502" s="45">
        <v>37.0</v>
      </c>
      <c r="P1502" s="141"/>
    </row>
    <row r="1503">
      <c r="C1503" s="133"/>
      <c r="H1503" s="45">
        <v>44.0</v>
      </c>
      <c r="J1503" s="45">
        <v>0.49</v>
      </c>
      <c r="K1503" s="45">
        <v>40.0</v>
      </c>
      <c r="P1503" s="141"/>
    </row>
    <row r="1504">
      <c r="C1504" s="133"/>
      <c r="H1504" s="45">
        <v>45.0</v>
      </c>
      <c r="J1504" s="45">
        <v>0.53</v>
      </c>
      <c r="K1504" s="45">
        <v>45.0</v>
      </c>
      <c r="P1504" s="141"/>
    </row>
    <row r="1505">
      <c r="C1505" s="133"/>
      <c r="H1505" s="45">
        <v>45.0</v>
      </c>
      <c r="J1505" s="45">
        <v>0.51</v>
      </c>
      <c r="K1505" s="45">
        <v>45.0</v>
      </c>
      <c r="P1505" s="141"/>
    </row>
    <row r="1506">
      <c r="C1506" s="133"/>
      <c r="H1506" s="45">
        <v>49.0</v>
      </c>
      <c r="J1506" s="45">
        <v>0.49</v>
      </c>
      <c r="K1506" s="45">
        <v>39.0</v>
      </c>
      <c r="P1506" s="141"/>
    </row>
    <row r="1507">
      <c r="C1507" s="133"/>
      <c r="H1507" s="45">
        <v>40.0</v>
      </c>
      <c r="J1507" s="45">
        <v>0.48</v>
      </c>
      <c r="K1507" s="45">
        <v>49.0</v>
      </c>
      <c r="P1507" s="141"/>
    </row>
    <row r="1508">
      <c r="C1508" s="133"/>
      <c r="H1508" s="45">
        <v>43.0</v>
      </c>
      <c r="J1508" s="45">
        <v>0.51</v>
      </c>
      <c r="K1508" s="45">
        <v>47.0</v>
      </c>
      <c r="P1508" s="141"/>
    </row>
    <row r="1509">
      <c r="C1509" s="133"/>
      <c r="H1509" s="45">
        <v>37.0</v>
      </c>
      <c r="J1509" s="45">
        <v>0.53</v>
      </c>
      <c r="K1509" s="45">
        <v>44.0</v>
      </c>
      <c r="P1509" s="141"/>
    </row>
    <row r="1510">
      <c r="C1510" s="133"/>
      <c r="H1510" s="45">
        <v>40.0</v>
      </c>
      <c r="J1510" s="45">
        <v>0.51</v>
      </c>
      <c r="K1510" s="45">
        <v>44.0</v>
      </c>
      <c r="P1510" s="141"/>
    </row>
    <row r="1511">
      <c r="C1511" s="133"/>
      <c r="H1511" s="45">
        <v>44.0</v>
      </c>
      <c r="J1511" s="45">
        <v>0.51</v>
      </c>
      <c r="K1511" s="45">
        <v>40.0</v>
      </c>
      <c r="P1511" s="141"/>
    </row>
    <row r="1512">
      <c r="C1512" s="133"/>
      <c r="H1512" s="45">
        <v>43.0</v>
      </c>
      <c r="J1512" s="45">
        <v>0.5</v>
      </c>
      <c r="K1512" s="45">
        <v>44.0</v>
      </c>
      <c r="P1512" s="141"/>
    </row>
    <row r="1513">
      <c r="C1513" s="133"/>
      <c r="H1513" s="45">
        <v>44.0</v>
      </c>
      <c r="J1513" s="45">
        <v>0.5</v>
      </c>
      <c r="K1513" s="45">
        <v>42.0</v>
      </c>
      <c r="P1513" s="141"/>
    </row>
    <row r="1514">
      <c r="C1514" s="133"/>
      <c r="H1514" s="45">
        <v>44.0</v>
      </c>
      <c r="J1514" s="45">
        <v>0.55</v>
      </c>
      <c r="K1514" s="45">
        <v>42.0</v>
      </c>
      <c r="P1514" s="141"/>
    </row>
    <row r="1515">
      <c r="C1515" s="133"/>
      <c r="H1515" s="45">
        <v>43.0</v>
      </c>
      <c r="J1515" s="45">
        <v>0.47</v>
      </c>
      <c r="K1515" s="45">
        <v>44.0</v>
      </c>
      <c r="P1515" s="141"/>
    </row>
    <row r="1516">
      <c r="C1516" s="133"/>
      <c r="H1516" s="45">
        <v>42.0</v>
      </c>
      <c r="J1516" s="45">
        <v>0.54</v>
      </c>
      <c r="K1516" s="45">
        <v>39.0</v>
      </c>
      <c r="P1516" s="141"/>
    </row>
    <row r="1517">
      <c r="C1517" s="133"/>
      <c r="H1517" s="45">
        <v>40.0</v>
      </c>
      <c r="J1517" s="45">
        <v>0.54</v>
      </c>
      <c r="K1517" s="45">
        <v>41.0</v>
      </c>
      <c r="P1517" s="141"/>
    </row>
    <row r="1518">
      <c r="C1518" s="133"/>
      <c r="H1518" s="45">
        <v>48.0</v>
      </c>
      <c r="J1518" s="45">
        <v>0.53</v>
      </c>
      <c r="K1518" s="45">
        <v>48.0</v>
      </c>
      <c r="P1518" s="141"/>
    </row>
    <row r="1519">
      <c r="C1519" s="133"/>
      <c r="H1519" s="45">
        <v>37.0</v>
      </c>
      <c r="J1519" s="45">
        <v>0.52</v>
      </c>
      <c r="K1519" s="45">
        <v>44.0</v>
      </c>
      <c r="P1519" s="141"/>
    </row>
    <row r="1520">
      <c r="C1520" s="133"/>
      <c r="H1520" s="45">
        <v>46.0</v>
      </c>
      <c r="J1520" s="45">
        <v>0.49</v>
      </c>
      <c r="K1520" s="45">
        <v>41.0</v>
      </c>
      <c r="P1520" s="141"/>
    </row>
    <row r="1521">
      <c r="C1521" s="133"/>
      <c r="H1521" s="45">
        <v>39.0</v>
      </c>
      <c r="J1521" s="45">
        <v>0.54</v>
      </c>
      <c r="K1521" s="45">
        <v>43.0</v>
      </c>
      <c r="P1521" s="141"/>
    </row>
    <row r="1522">
      <c r="C1522" s="133"/>
      <c r="H1522" s="45">
        <v>42.0</v>
      </c>
      <c r="J1522" s="45">
        <v>0.5</v>
      </c>
      <c r="K1522" s="45">
        <v>37.0</v>
      </c>
      <c r="P1522" s="141"/>
    </row>
    <row r="1523">
      <c r="C1523" s="133"/>
      <c r="H1523" s="45">
        <v>50.0</v>
      </c>
      <c r="J1523" s="45">
        <v>0.5</v>
      </c>
      <c r="K1523" s="45">
        <v>45.0</v>
      </c>
      <c r="P1523" s="141"/>
    </row>
    <row r="1524">
      <c r="C1524" s="133"/>
      <c r="H1524" s="45">
        <v>40.0</v>
      </c>
      <c r="J1524" s="45">
        <v>0.53</v>
      </c>
      <c r="K1524" s="45">
        <v>43.0</v>
      </c>
      <c r="P1524" s="141"/>
    </row>
    <row r="1525">
      <c r="C1525" s="133"/>
      <c r="H1525" s="45">
        <v>43.0</v>
      </c>
      <c r="J1525" s="45">
        <v>0.51</v>
      </c>
      <c r="K1525" s="45">
        <v>44.0</v>
      </c>
      <c r="P1525" s="141"/>
    </row>
    <row r="1526">
      <c r="C1526" s="133"/>
      <c r="H1526" s="45">
        <v>42.0</v>
      </c>
      <c r="J1526" s="45">
        <v>0.56</v>
      </c>
      <c r="K1526" s="45">
        <v>40.0</v>
      </c>
      <c r="P1526" s="141"/>
    </row>
    <row r="1527">
      <c r="C1527" s="133"/>
      <c r="H1527" s="45">
        <v>46.0</v>
      </c>
      <c r="J1527" s="45">
        <v>0.52</v>
      </c>
      <c r="K1527" s="45">
        <v>44.0</v>
      </c>
      <c r="P1527" s="141"/>
    </row>
    <row r="1528">
      <c r="C1528" s="133"/>
      <c r="H1528" s="45">
        <v>38.0</v>
      </c>
      <c r="J1528" s="45">
        <v>0.54</v>
      </c>
      <c r="K1528" s="45">
        <v>46.0</v>
      </c>
      <c r="P1528" s="141"/>
    </row>
    <row r="1529">
      <c r="C1529" s="133"/>
      <c r="H1529" s="45">
        <v>44.0</v>
      </c>
      <c r="J1529" s="45">
        <v>0.51</v>
      </c>
      <c r="K1529" s="45">
        <v>37.0</v>
      </c>
      <c r="P1529" s="141"/>
    </row>
    <row r="1530">
      <c r="C1530" s="133"/>
      <c r="H1530" s="45">
        <v>49.0</v>
      </c>
      <c r="J1530" s="45">
        <v>0.51</v>
      </c>
      <c r="K1530" s="45">
        <v>46.0</v>
      </c>
      <c r="P1530" s="141"/>
    </row>
    <row r="1531">
      <c r="C1531" s="133"/>
      <c r="H1531" s="45">
        <v>46.0</v>
      </c>
      <c r="J1531" s="45">
        <v>0.53</v>
      </c>
      <c r="K1531" s="45">
        <v>41.0</v>
      </c>
      <c r="P1531" s="141"/>
    </row>
    <row r="1532">
      <c r="C1532" s="133"/>
      <c r="H1532" s="45">
        <v>39.0</v>
      </c>
      <c r="J1532" s="45">
        <v>0.5</v>
      </c>
      <c r="K1532" s="45">
        <v>47.0</v>
      </c>
      <c r="P1532" s="141"/>
    </row>
    <row r="1533">
      <c r="C1533" s="133"/>
      <c r="H1533" s="45">
        <v>48.0</v>
      </c>
      <c r="J1533" s="45">
        <v>0.52</v>
      </c>
      <c r="K1533" s="45">
        <v>37.0</v>
      </c>
      <c r="P1533" s="141"/>
    </row>
    <row r="1534">
      <c r="C1534" s="133"/>
      <c r="H1534" s="45">
        <v>46.0</v>
      </c>
      <c r="J1534" s="45">
        <v>0.53</v>
      </c>
      <c r="K1534" s="45">
        <v>40.0</v>
      </c>
      <c r="P1534" s="141"/>
    </row>
    <row r="1535">
      <c r="C1535" s="133"/>
      <c r="H1535" s="45">
        <v>44.0</v>
      </c>
      <c r="J1535" s="45">
        <v>0.5</v>
      </c>
      <c r="K1535" s="45">
        <v>41.0</v>
      </c>
      <c r="P1535" s="141"/>
    </row>
    <row r="1536">
      <c r="C1536" s="133"/>
      <c r="H1536" s="45">
        <v>44.0</v>
      </c>
      <c r="J1536" s="45">
        <v>0.5</v>
      </c>
      <c r="K1536" s="45">
        <v>48.0</v>
      </c>
      <c r="P1536" s="141"/>
    </row>
    <row r="1537">
      <c r="C1537" s="133"/>
      <c r="H1537" s="45">
        <v>46.0</v>
      </c>
      <c r="J1537" s="45">
        <v>0.52</v>
      </c>
      <c r="K1537" s="45">
        <v>39.0</v>
      </c>
      <c r="P1537" s="141"/>
    </row>
    <row r="1538">
      <c r="C1538" s="133"/>
      <c r="H1538" s="45">
        <v>42.0</v>
      </c>
      <c r="J1538" s="45">
        <v>0.52</v>
      </c>
      <c r="K1538" s="45">
        <v>44.0</v>
      </c>
      <c r="P1538" s="141"/>
    </row>
    <row r="1539">
      <c r="C1539" s="133"/>
      <c r="H1539" s="45">
        <v>40.0</v>
      </c>
      <c r="J1539" s="45">
        <v>0.51</v>
      </c>
      <c r="K1539" s="45">
        <v>43.0</v>
      </c>
      <c r="P1539" s="141"/>
    </row>
    <row r="1540">
      <c r="C1540" s="133"/>
      <c r="H1540" s="45">
        <v>48.0</v>
      </c>
      <c r="J1540" s="45">
        <v>0.48</v>
      </c>
      <c r="K1540" s="45">
        <v>41.0</v>
      </c>
      <c r="P1540" s="141"/>
    </row>
    <row r="1541">
      <c r="C1541" s="133"/>
      <c r="H1541" s="45">
        <v>44.0</v>
      </c>
      <c r="J1541" s="45">
        <v>0.49</v>
      </c>
      <c r="K1541" s="45">
        <v>41.0</v>
      </c>
      <c r="P1541" s="141"/>
    </row>
    <row r="1542">
      <c r="C1542" s="133"/>
      <c r="H1542" s="45">
        <v>39.0</v>
      </c>
      <c r="J1542" s="45">
        <v>0.52</v>
      </c>
      <c r="K1542" s="45">
        <v>45.0</v>
      </c>
      <c r="P1542" s="141"/>
    </row>
    <row r="1543">
      <c r="C1543" s="133"/>
      <c r="H1543" s="45">
        <v>44.0</v>
      </c>
      <c r="J1543" s="45">
        <v>0.53</v>
      </c>
      <c r="K1543" s="45">
        <v>37.0</v>
      </c>
      <c r="P1543" s="141"/>
    </row>
    <row r="1544">
      <c r="C1544" s="133"/>
      <c r="H1544" s="45">
        <v>43.0</v>
      </c>
      <c r="J1544" s="45">
        <v>0.48</v>
      </c>
      <c r="K1544" s="45">
        <v>42.0</v>
      </c>
      <c r="P1544" s="141"/>
    </row>
    <row r="1545">
      <c r="C1545" s="133"/>
      <c r="H1545" s="45">
        <v>42.0</v>
      </c>
      <c r="J1545" s="45">
        <v>0.51</v>
      </c>
      <c r="K1545" s="45">
        <v>38.0</v>
      </c>
      <c r="P1545" s="141"/>
    </row>
    <row r="1546">
      <c r="C1546" s="133"/>
      <c r="H1546" s="45">
        <v>39.0</v>
      </c>
      <c r="J1546" s="45">
        <v>0.5</v>
      </c>
      <c r="K1546" s="45">
        <v>43.0</v>
      </c>
      <c r="P1546" s="141"/>
    </row>
    <row r="1547">
      <c r="C1547" s="133"/>
      <c r="H1547" s="45">
        <v>44.0</v>
      </c>
      <c r="J1547" s="45">
        <v>0.47</v>
      </c>
      <c r="K1547" s="45">
        <v>38.0</v>
      </c>
      <c r="P1547" s="141"/>
    </row>
    <row r="1548">
      <c r="C1548" s="133"/>
      <c r="H1548" s="45">
        <v>42.0</v>
      </c>
      <c r="J1548" s="45">
        <v>0.45</v>
      </c>
      <c r="K1548" s="45">
        <v>40.0</v>
      </c>
      <c r="P1548" s="141"/>
    </row>
    <row r="1549">
      <c r="C1549" s="133"/>
      <c r="H1549" s="45">
        <v>43.0</v>
      </c>
      <c r="J1549" s="45">
        <v>0.47</v>
      </c>
      <c r="K1549" s="45">
        <v>39.0</v>
      </c>
      <c r="P1549" s="141"/>
    </row>
    <row r="1550">
      <c r="C1550" s="133"/>
      <c r="H1550" s="45">
        <v>42.0</v>
      </c>
      <c r="J1550" s="45">
        <v>0.42</v>
      </c>
      <c r="K1550" s="45">
        <v>40.0</v>
      </c>
      <c r="P1550" s="141"/>
    </row>
    <row r="1551">
      <c r="C1551" s="133"/>
      <c r="H1551" s="45">
        <v>45.0</v>
      </c>
      <c r="J1551" s="45">
        <v>0.52</v>
      </c>
      <c r="K1551" s="45">
        <v>41.0</v>
      </c>
      <c r="P1551" s="141"/>
    </row>
    <row r="1552">
      <c r="C1552" s="133"/>
      <c r="H1552" s="45">
        <v>46.0</v>
      </c>
      <c r="J1552" s="45">
        <v>0.54</v>
      </c>
      <c r="K1552" s="45">
        <v>38.0</v>
      </c>
      <c r="P1552" s="141"/>
    </row>
    <row r="1553">
      <c r="C1553" s="133"/>
      <c r="H1553" s="45">
        <v>43.0</v>
      </c>
      <c r="J1553" s="45">
        <v>0.49</v>
      </c>
      <c r="K1553" s="45">
        <v>37.0</v>
      </c>
      <c r="P1553" s="141"/>
    </row>
    <row r="1554">
      <c r="C1554" s="133"/>
      <c r="H1554" s="45">
        <v>43.0</v>
      </c>
      <c r="J1554" s="45">
        <v>0.52</v>
      </c>
      <c r="K1554" s="45">
        <v>39.0</v>
      </c>
      <c r="P1554" s="141"/>
    </row>
    <row r="1555">
      <c r="C1555" s="133"/>
      <c r="H1555" s="45">
        <v>45.0</v>
      </c>
      <c r="J1555" s="45">
        <v>0.53</v>
      </c>
      <c r="K1555" s="45">
        <v>40.0</v>
      </c>
      <c r="P1555" s="141"/>
    </row>
    <row r="1556">
      <c r="C1556" s="133"/>
      <c r="H1556" s="45">
        <v>42.0</v>
      </c>
      <c r="J1556" s="45">
        <v>0.44</v>
      </c>
      <c r="K1556" s="45">
        <v>39.0</v>
      </c>
      <c r="P1556" s="141"/>
    </row>
    <row r="1557">
      <c r="C1557" s="133"/>
      <c r="H1557" s="45">
        <v>42.0</v>
      </c>
      <c r="J1557" s="45">
        <v>0.51</v>
      </c>
      <c r="K1557" s="45">
        <v>47.0</v>
      </c>
      <c r="P1557" s="141"/>
    </row>
    <row r="1558">
      <c r="C1558" s="133"/>
      <c r="H1558" s="45">
        <v>43.0</v>
      </c>
      <c r="J1558" s="45">
        <v>0.48</v>
      </c>
      <c r="K1558" s="45">
        <v>39.0</v>
      </c>
      <c r="P1558" s="141"/>
    </row>
    <row r="1559">
      <c r="C1559" s="133"/>
      <c r="H1559" s="45">
        <v>44.0</v>
      </c>
      <c r="J1559" s="45">
        <v>0.5</v>
      </c>
      <c r="K1559" s="45">
        <v>41.0</v>
      </c>
      <c r="P1559" s="141"/>
    </row>
    <row r="1560">
      <c r="C1560" s="133"/>
      <c r="H1560" s="45">
        <v>46.0</v>
      </c>
      <c r="J1560" s="45">
        <v>0.46</v>
      </c>
      <c r="K1560" s="45">
        <v>40.0</v>
      </c>
      <c r="P1560" s="141"/>
    </row>
    <row r="1561">
      <c r="C1561" s="133"/>
      <c r="H1561" s="45">
        <v>47.0</v>
      </c>
      <c r="J1561" s="45">
        <v>0.53</v>
      </c>
      <c r="K1561" s="45">
        <v>42.0</v>
      </c>
      <c r="P1561" s="141"/>
    </row>
    <row r="1562">
      <c r="C1562" s="133"/>
      <c r="H1562" s="45">
        <v>37.0</v>
      </c>
      <c r="J1562" s="45">
        <v>0.47</v>
      </c>
      <c r="K1562" s="45">
        <v>38.0</v>
      </c>
      <c r="P1562" s="141"/>
    </row>
    <row r="1563">
      <c r="C1563" s="133"/>
      <c r="H1563" s="45">
        <v>43.0</v>
      </c>
      <c r="J1563" s="45">
        <v>0.47</v>
      </c>
      <c r="K1563" s="45">
        <v>38.0</v>
      </c>
      <c r="P1563" s="141"/>
    </row>
    <row r="1564">
      <c r="C1564" s="133"/>
      <c r="H1564" s="45">
        <v>45.0</v>
      </c>
      <c r="J1564" s="45">
        <v>0.44</v>
      </c>
      <c r="K1564" s="45">
        <v>42.0</v>
      </c>
      <c r="P1564" s="141"/>
    </row>
    <row r="1565">
      <c r="C1565" s="133"/>
      <c r="H1565" s="45">
        <v>46.0</v>
      </c>
      <c r="J1565" s="45">
        <v>0.47</v>
      </c>
      <c r="K1565" s="45">
        <v>46.0</v>
      </c>
      <c r="P1565" s="141"/>
    </row>
    <row r="1566">
      <c r="C1566" s="133"/>
      <c r="H1566" s="45">
        <v>42.0</v>
      </c>
      <c r="J1566" s="45">
        <v>0.48</v>
      </c>
      <c r="K1566" s="45">
        <v>39.0</v>
      </c>
      <c r="P1566" s="141"/>
    </row>
    <row r="1567">
      <c r="C1567" s="133"/>
      <c r="H1567" s="45">
        <v>46.0</v>
      </c>
      <c r="J1567" s="45">
        <v>0.43</v>
      </c>
      <c r="K1567" s="45">
        <v>44.0</v>
      </c>
      <c r="P1567" s="141"/>
    </row>
    <row r="1568">
      <c r="C1568" s="133"/>
      <c r="H1568" s="45">
        <v>43.0</v>
      </c>
      <c r="J1568" s="45">
        <v>0.53</v>
      </c>
      <c r="K1568" s="45">
        <v>50.0</v>
      </c>
      <c r="P1568" s="141"/>
    </row>
    <row r="1569">
      <c r="C1569" s="133"/>
      <c r="H1569" s="45">
        <v>46.0</v>
      </c>
      <c r="J1569" s="45">
        <v>0.51</v>
      </c>
      <c r="K1569" s="45">
        <v>40.0</v>
      </c>
      <c r="P1569" s="141"/>
    </row>
    <row r="1570">
      <c r="C1570" s="133"/>
      <c r="H1570" s="45">
        <v>49.0</v>
      </c>
      <c r="J1570" s="45">
        <v>0.45</v>
      </c>
      <c r="K1570" s="45">
        <v>41.0</v>
      </c>
      <c r="P1570" s="141"/>
    </row>
    <row r="1571">
      <c r="C1571" s="133"/>
      <c r="H1571" s="45">
        <v>48.0</v>
      </c>
      <c r="J1571" s="45">
        <v>0.48</v>
      </c>
      <c r="K1571" s="45">
        <v>45.0</v>
      </c>
      <c r="P1571" s="141"/>
    </row>
    <row r="1572">
      <c r="C1572" s="133"/>
      <c r="H1572" s="45">
        <v>44.0</v>
      </c>
      <c r="J1572" s="45">
        <v>0.49</v>
      </c>
      <c r="K1572" s="45">
        <v>43.0</v>
      </c>
      <c r="P1572" s="141"/>
    </row>
    <row r="1573">
      <c r="C1573" s="133"/>
      <c r="H1573" s="45">
        <v>44.0</v>
      </c>
      <c r="J1573" s="45">
        <v>0.56</v>
      </c>
      <c r="K1573" s="45">
        <v>38.0</v>
      </c>
      <c r="P1573" s="141"/>
    </row>
    <row r="1574">
      <c r="C1574" s="133"/>
      <c r="H1574" s="45">
        <v>44.0</v>
      </c>
      <c r="J1574" s="45">
        <v>0.48</v>
      </c>
      <c r="K1574" s="45">
        <v>39.0</v>
      </c>
      <c r="P1574" s="141"/>
    </row>
    <row r="1575">
      <c r="C1575" s="133"/>
      <c r="H1575" s="45">
        <v>41.0</v>
      </c>
      <c r="J1575" s="45">
        <v>0.48</v>
      </c>
      <c r="K1575" s="45">
        <v>41.0</v>
      </c>
      <c r="P1575" s="141"/>
    </row>
    <row r="1576">
      <c r="C1576" s="133"/>
      <c r="H1576" s="45">
        <v>43.0</v>
      </c>
      <c r="J1576" s="45">
        <v>0.46</v>
      </c>
      <c r="K1576" s="45">
        <v>43.0</v>
      </c>
      <c r="P1576" s="141"/>
    </row>
    <row r="1577">
      <c r="C1577" s="133"/>
      <c r="H1577" s="45">
        <v>47.0</v>
      </c>
      <c r="J1577" s="45">
        <v>0.48</v>
      </c>
      <c r="K1577" s="45">
        <v>36.0</v>
      </c>
      <c r="P1577" s="141"/>
    </row>
    <row r="1578">
      <c r="C1578" s="133"/>
      <c r="H1578" s="45">
        <v>52.0</v>
      </c>
      <c r="J1578" s="45">
        <v>0.54</v>
      </c>
      <c r="K1578" s="45">
        <v>38.0</v>
      </c>
      <c r="P1578" s="141"/>
    </row>
    <row r="1579">
      <c r="C1579" s="133"/>
      <c r="H1579" s="45">
        <v>42.0</v>
      </c>
      <c r="J1579" s="45">
        <v>0.5</v>
      </c>
      <c r="K1579" s="45">
        <v>43.0</v>
      </c>
      <c r="P1579" s="141"/>
    </row>
    <row r="1580">
      <c r="C1580" s="133"/>
      <c r="H1580" s="45">
        <v>44.0</v>
      </c>
      <c r="J1580" s="45">
        <v>0.48</v>
      </c>
      <c r="K1580" s="45">
        <v>42.0</v>
      </c>
      <c r="P1580" s="141"/>
    </row>
    <row r="1581">
      <c r="C1581" s="133"/>
      <c r="H1581" s="45">
        <v>45.0</v>
      </c>
      <c r="J1581" s="45">
        <v>0.51</v>
      </c>
      <c r="K1581" s="45">
        <v>41.0</v>
      </c>
      <c r="P1581" s="141"/>
    </row>
    <row r="1582">
      <c r="C1582" s="133"/>
      <c r="H1582" s="45">
        <v>47.0</v>
      </c>
      <c r="J1582" s="45">
        <v>0.49</v>
      </c>
      <c r="K1582" s="45">
        <v>41.0</v>
      </c>
      <c r="P1582" s="141"/>
    </row>
    <row r="1583">
      <c r="C1583" s="133"/>
      <c r="H1583" s="45">
        <v>48.0</v>
      </c>
      <c r="J1583" s="45">
        <v>0.47</v>
      </c>
      <c r="K1583" s="45">
        <v>43.0</v>
      </c>
      <c r="P1583" s="141"/>
    </row>
    <row r="1584">
      <c r="C1584" s="133"/>
      <c r="H1584" s="45">
        <v>47.0</v>
      </c>
      <c r="J1584" s="45">
        <v>0.47</v>
      </c>
      <c r="K1584" s="45">
        <v>47.0</v>
      </c>
      <c r="P1584" s="141"/>
    </row>
    <row r="1585">
      <c r="C1585" s="133"/>
      <c r="H1585" s="45">
        <v>45.0</v>
      </c>
      <c r="J1585" s="45">
        <v>0.5</v>
      </c>
      <c r="K1585" s="45">
        <v>44.0</v>
      </c>
      <c r="P1585" s="141"/>
    </row>
    <row r="1586">
      <c r="C1586" s="133"/>
      <c r="H1586" s="45">
        <v>41.0</v>
      </c>
      <c r="J1586" s="45">
        <v>0.43</v>
      </c>
      <c r="K1586" s="45">
        <v>40.0</v>
      </c>
      <c r="P1586" s="141"/>
    </row>
    <row r="1587">
      <c r="C1587" s="133"/>
      <c r="H1587" s="45">
        <v>45.0</v>
      </c>
      <c r="J1587" s="45">
        <v>0.5</v>
      </c>
      <c r="K1587" s="45">
        <v>46.0</v>
      </c>
      <c r="P1587" s="141"/>
    </row>
    <row r="1588">
      <c r="C1588" s="133"/>
      <c r="H1588" s="45">
        <v>43.0</v>
      </c>
      <c r="J1588" s="45">
        <v>0.46</v>
      </c>
      <c r="K1588" s="45">
        <v>49.0</v>
      </c>
      <c r="P1588" s="141"/>
    </row>
    <row r="1589">
      <c r="C1589" s="133"/>
      <c r="H1589" s="45">
        <v>43.0</v>
      </c>
      <c r="J1589" s="45">
        <v>0.49</v>
      </c>
      <c r="K1589" s="45">
        <v>47.0</v>
      </c>
      <c r="P1589" s="141"/>
    </row>
    <row r="1590">
      <c r="C1590" s="133"/>
      <c r="H1590" s="45">
        <v>44.0</v>
      </c>
      <c r="J1590" s="45">
        <v>0.45</v>
      </c>
      <c r="K1590" s="45">
        <v>41.0</v>
      </c>
      <c r="P1590" s="141"/>
    </row>
    <row r="1591">
      <c r="C1591" s="133"/>
      <c r="H1591" s="45">
        <v>45.0</v>
      </c>
      <c r="J1591" s="45">
        <v>0.48</v>
      </c>
      <c r="K1591" s="45">
        <v>43.0</v>
      </c>
      <c r="P1591" s="141"/>
    </row>
    <row r="1592">
      <c r="C1592" s="133"/>
      <c r="H1592" s="45">
        <v>44.0</v>
      </c>
      <c r="J1592" s="45">
        <v>0.47</v>
      </c>
      <c r="K1592" s="45">
        <v>40.0</v>
      </c>
      <c r="P1592" s="141"/>
    </row>
    <row r="1593">
      <c r="C1593" s="133"/>
      <c r="H1593" s="45">
        <v>47.0</v>
      </c>
      <c r="J1593" s="45">
        <v>0.5</v>
      </c>
      <c r="K1593" s="45">
        <v>43.0</v>
      </c>
      <c r="P1593" s="141"/>
    </row>
    <row r="1594">
      <c r="C1594" s="133"/>
      <c r="H1594" s="45">
        <v>47.0</v>
      </c>
      <c r="J1594" s="45">
        <v>0.45</v>
      </c>
      <c r="K1594" s="45">
        <v>44.0</v>
      </c>
      <c r="P1594" s="141"/>
    </row>
    <row r="1595">
      <c r="C1595" s="133"/>
      <c r="H1595" s="45">
        <v>46.0</v>
      </c>
      <c r="J1595" s="45">
        <v>0.5</v>
      </c>
      <c r="K1595" s="45">
        <v>45.0</v>
      </c>
      <c r="P1595" s="141"/>
    </row>
    <row r="1596">
      <c r="C1596" s="133"/>
      <c r="H1596" s="45">
        <v>44.0</v>
      </c>
      <c r="J1596" s="45">
        <v>0.44</v>
      </c>
      <c r="K1596" s="45">
        <v>43.0</v>
      </c>
      <c r="P1596" s="141"/>
    </row>
    <row r="1597">
      <c r="C1597" s="133"/>
      <c r="H1597" s="45">
        <v>45.0</v>
      </c>
      <c r="J1597" s="45">
        <v>0.49</v>
      </c>
      <c r="K1597" s="45">
        <v>44.0</v>
      </c>
      <c r="P1597" s="141"/>
    </row>
    <row r="1598">
      <c r="C1598" s="133"/>
      <c r="H1598" s="45">
        <v>46.0</v>
      </c>
      <c r="J1598" s="45">
        <v>0.51</v>
      </c>
      <c r="K1598" s="45">
        <v>38.0</v>
      </c>
      <c r="P1598" s="141"/>
    </row>
    <row r="1599">
      <c r="C1599" s="133"/>
      <c r="H1599" s="45">
        <v>36.0</v>
      </c>
      <c r="J1599" s="45">
        <v>0.5</v>
      </c>
      <c r="K1599" s="45">
        <v>46.0</v>
      </c>
      <c r="P1599" s="141"/>
    </row>
    <row r="1600">
      <c r="C1600" s="133"/>
      <c r="H1600" s="45">
        <v>45.0</v>
      </c>
      <c r="J1600" s="45">
        <v>0.47</v>
      </c>
      <c r="K1600" s="45">
        <v>41.0</v>
      </c>
      <c r="P1600" s="141"/>
    </row>
    <row r="1601">
      <c r="C1601" s="133"/>
      <c r="H1601" s="45">
        <v>48.0</v>
      </c>
      <c r="J1601" s="45">
        <v>0.49</v>
      </c>
      <c r="K1601" s="45">
        <v>40.0</v>
      </c>
      <c r="P1601" s="141"/>
    </row>
    <row r="1602">
      <c r="C1602" s="133"/>
      <c r="H1602" s="45">
        <v>45.0</v>
      </c>
      <c r="J1602" s="45">
        <v>0.49</v>
      </c>
      <c r="K1602" s="45">
        <v>38.0</v>
      </c>
      <c r="P1602" s="141"/>
    </row>
    <row r="1603">
      <c r="C1603" s="133"/>
      <c r="H1603" s="45">
        <v>45.0</v>
      </c>
      <c r="J1603" s="45">
        <v>0.43</v>
      </c>
      <c r="K1603" s="45">
        <v>48.0</v>
      </c>
      <c r="P1603" s="141"/>
    </row>
    <row r="1604">
      <c r="C1604" s="133"/>
      <c r="H1604" s="45">
        <v>45.0</v>
      </c>
      <c r="J1604" s="45">
        <v>0.49</v>
      </c>
      <c r="K1604" s="45">
        <v>41.0</v>
      </c>
      <c r="P1604" s="141"/>
    </row>
    <row r="1605">
      <c r="C1605" s="133"/>
      <c r="H1605" s="45">
        <v>46.0</v>
      </c>
      <c r="J1605" s="45">
        <v>0.5</v>
      </c>
      <c r="K1605" s="45">
        <v>47.0</v>
      </c>
      <c r="P1605" s="141"/>
    </row>
    <row r="1606">
      <c r="C1606" s="133"/>
      <c r="H1606" s="45">
        <v>41.0</v>
      </c>
      <c r="J1606" s="45">
        <v>0.46</v>
      </c>
      <c r="K1606" s="45">
        <v>44.0</v>
      </c>
      <c r="P1606" s="141"/>
    </row>
    <row r="1607">
      <c r="C1607" s="133"/>
      <c r="H1607" s="45">
        <v>47.0</v>
      </c>
      <c r="J1607" s="45">
        <v>0.47</v>
      </c>
      <c r="K1607" s="45">
        <v>44.0</v>
      </c>
      <c r="P1607" s="141"/>
    </row>
    <row r="1608">
      <c r="C1608" s="133"/>
      <c r="H1608" s="45">
        <v>45.0</v>
      </c>
      <c r="J1608" s="45">
        <v>0.45</v>
      </c>
      <c r="K1608" s="45">
        <v>42.0</v>
      </c>
      <c r="P1608" s="141"/>
    </row>
    <row r="1609">
      <c r="C1609" s="133"/>
      <c r="H1609" s="45">
        <v>47.0</v>
      </c>
      <c r="J1609" s="45">
        <v>0.45</v>
      </c>
      <c r="K1609" s="45">
        <v>45.0</v>
      </c>
      <c r="P1609" s="141"/>
    </row>
    <row r="1610">
      <c r="C1610" s="133"/>
      <c r="H1610" s="45">
        <v>47.0</v>
      </c>
      <c r="J1610" s="45">
        <v>0.49</v>
      </c>
      <c r="K1610" s="45">
        <v>40.0</v>
      </c>
      <c r="P1610" s="141"/>
    </row>
    <row r="1611">
      <c r="C1611" s="133"/>
      <c r="H1611" s="45">
        <v>48.0</v>
      </c>
      <c r="J1611" s="45">
        <v>0.48</v>
      </c>
      <c r="K1611" s="45">
        <v>44.0</v>
      </c>
      <c r="P1611" s="141"/>
    </row>
    <row r="1612">
      <c r="C1612" s="133"/>
      <c r="H1612" s="45">
        <v>48.0</v>
      </c>
      <c r="J1612" s="45">
        <v>0.42</v>
      </c>
      <c r="K1612" s="45">
        <v>40.0</v>
      </c>
      <c r="P1612" s="141"/>
    </row>
    <row r="1613">
      <c r="C1613" s="133"/>
      <c r="H1613" s="45">
        <v>47.0</v>
      </c>
      <c r="J1613" s="45">
        <v>0.46</v>
      </c>
      <c r="K1613" s="45">
        <v>45.0</v>
      </c>
      <c r="P1613" s="141"/>
    </row>
    <row r="1614">
      <c r="C1614" s="133"/>
      <c r="H1614" s="45">
        <v>42.0</v>
      </c>
      <c r="J1614" s="45">
        <v>0.46</v>
      </c>
      <c r="K1614" s="45">
        <v>49.0</v>
      </c>
      <c r="P1614" s="141"/>
    </row>
    <row r="1615">
      <c r="C1615" s="133"/>
      <c r="H1615" s="45">
        <v>43.0</v>
      </c>
      <c r="J1615" s="45">
        <v>0.43</v>
      </c>
      <c r="K1615" s="45">
        <v>45.0</v>
      </c>
      <c r="P1615" s="141"/>
    </row>
    <row r="1616">
      <c r="C1616" s="133"/>
      <c r="H1616" s="45">
        <v>45.0</v>
      </c>
      <c r="J1616" s="45">
        <v>0.5</v>
      </c>
      <c r="K1616" s="45">
        <v>40.0</v>
      </c>
      <c r="P1616" s="141"/>
    </row>
    <row r="1617">
      <c r="C1617" s="133"/>
      <c r="H1617" s="45">
        <v>44.0</v>
      </c>
      <c r="J1617" s="45">
        <v>0.48</v>
      </c>
      <c r="K1617" s="45">
        <v>43.0</v>
      </c>
      <c r="P1617" s="141"/>
    </row>
    <row r="1618">
      <c r="C1618" s="133"/>
      <c r="H1618" s="45">
        <v>47.0</v>
      </c>
      <c r="J1618" s="45">
        <v>0.45</v>
      </c>
      <c r="K1618" s="45">
        <v>38.0</v>
      </c>
      <c r="P1618" s="141"/>
    </row>
    <row r="1619">
      <c r="C1619" s="133"/>
      <c r="H1619" s="45">
        <v>48.0</v>
      </c>
      <c r="J1619" s="45">
        <v>0.5</v>
      </c>
      <c r="K1619" s="45">
        <v>45.0</v>
      </c>
      <c r="P1619" s="141"/>
    </row>
    <row r="1620">
      <c r="C1620" s="133"/>
      <c r="H1620" s="45">
        <v>46.0</v>
      </c>
      <c r="J1620" s="45">
        <v>0.45</v>
      </c>
      <c r="K1620" s="45">
        <v>46.0</v>
      </c>
      <c r="P1620" s="141"/>
    </row>
    <row r="1621">
      <c r="C1621" s="133"/>
      <c r="H1621" s="45">
        <v>46.0</v>
      </c>
      <c r="J1621" s="45">
        <v>0.46</v>
      </c>
      <c r="K1621" s="45">
        <v>41.0</v>
      </c>
      <c r="P1621" s="141"/>
    </row>
    <row r="1622">
      <c r="C1622" s="133"/>
      <c r="H1622" s="45">
        <v>45.0</v>
      </c>
      <c r="J1622" s="45">
        <v>0.45</v>
      </c>
      <c r="K1622" s="45">
        <v>40.0</v>
      </c>
      <c r="P1622" s="141"/>
    </row>
    <row r="1623">
      <c r="C1623" s="133"/>
      <c r="H1623" s="45">
        <v>51.0</v>
      </c>
      <c r="J1623" s="45">
        <v>0.51</v>
      </c>
      <c r="K1623" s="45">
        <v>45.0</v>
      </c>
      <c r="P1623" s="141"/>
    </row>
    <row r="1624">
      <c r="C1624" s="133"/>
      <c r="H1624" s="45">
        <v>44.0</v>
      </c>
      <c r="J1624" s="45">
        <v>0.5</v>
      </c>
      <c r="K1624" s="45">
        <v>46.0</v>
      </c>
      <c r="P1624" s="141"/>
    </row>
    <row r="1625">
      <c r="C1625" s="133"/>
      <c r="H1625" s="45">
        <v>42.0</v>
      </c>
      <c r="J1625" s="45">
        <v>0.46</v>
      </c>
      <c r="K1625" s="45">
        <v>44.0</v>
      </c>
      <c r="P1625" s="141"/>
    </row>
    <row r="1626">
      <c r="C1626" s="133"/>
      <c r="H1626" s="45">
        <v>44.0</v>
      </c>
      <c r="J1626" s="45">
        <v>0.49</v>
      </c>
      <c r="K1626" s="45">
        <v>44.0</v>
      </c>
      <c r="P1626" s="141"/>
    </row>
    <row r="1627">
      <c r="C1627" s="133"/>
      <c r="H1627" s="45">
        <v>41.0</v>
      </c>
      <c r="J1627" s="45">
        <v>0.49</v>
      </c>
      <c r="K1627" s="45">
        <v>42.0</v>
      </c>
      <c r="P1627" s="141"/>
    </row>
    <row r="1628">
      <c r="C1628" s="133"/>
      <c r="H1628" s="45">
        <v>44.0</v>
      </c>
      <c r="J1628" s="45">
        <v>0.51</v>
      </c>
      <c r="K1628" s="45">
        <v>44.0</v>
      </c>
      <c r="P1628" s="141"/>
    </row>
    <row r="1629">
      <c r="C1629" s="133"/>
      <c r="H1629" s="45">
        <v>43.0</v>
      </c>
      <c r="J1629" s="45">
        <v>0.45</v>
      </c>
      <c r="K1629" s="45">
        <v>41.0</v>
      </c>
      <c r="P1629" s="141"/>
    </row>
    <row r="1630">
      <c r="C1630" s="133"/>
      <c r="H1630" s="45">
        <v>45.0</v>
      </c>
      <c r="J1630" s="45">
        <v>0.46</v>
      </c>
      <c r="K1630" s="45">
        <v>38.0</v>
      </c>
      <c r="P1630" s="141"/>
    </row>
    <row r="1631">
      <c r="C1631" s="133"/>
      <c r="H1631" s="45">
        <v>50.0</v>
      </c>
      <c r="J1631" s="45">
        <v>0.44</v>
      </c>
      <c r="K1631" s="45">
        <v>44.0</v>
      </c>
      <c r="P1631" s="141"/>
    </row>
    <row r="1632">
      <c r="C1632" s="133"/>
      <c r="H1632" s="45">
        <v>47.0</v>
      </c>
      <c r="J1632" s="45">
        <v>0.46</v>
      </c>
      <c r="K1632" s="45">
        <v>47.0</v>
      </c>
      <c r="P1632" s="141"/>
    </row>
    <row r="1633">
      <c r="C1633" s="133"/>
      <c r="H1633" s="45">
        <v>44.0</v>
      </c>
      <c r="J1633" s="45">
        <v>0.51</v>
      </c>
      <c r="K1633" s="45">
        <v>45.0</v>
      </c>
      <c r="P1633" s="141"/>
    </row>
    <row r="1634">
      <c r="C1634" s="133"/>
      <c r="H1634" s="45">
        <v>44.0</v>
      </c>
      <c r="J1634" s="45">
        <v>0.45</v>
      </c>
      <c r="K1634" s="45">
        <v>41.0</v>
      </c>
      <c r="P1634" s="141"/>
    </row>
    <row r="1635">
      <c r="C1635" s="133"/>
      <c r="H1635" s="45">
        <v>43.0</v>
      </c>
      <c r="J1635" s="45">
        <v>0.48</v>
      </c>
      <c r="K1635" s="45">
        <v>48.0</v>
      </c>
      <c r="P1635" s="141"/>
    </row>
    <row r="1636">
      <c r="C1636" s="133"/>
      <c r="H1636" s="45">
        <v>49.0</v>
      </c>
      <c r="J1636" s="45">
        <v>0.47</v>
      </c>
      <c r="K1636" s="45">
        <v>42.0</v>
      </c>
      <c r="P1636" s="141"/>
    </row>
    <row r="1637">
      <c r="C1637" s="133"/>
      <c r="H1637" s="45">
        <v>46.0</v>
      </c>
      <c r="J1637" s="45">
        <v>0.45</v>
      </c>
      <c r="K1637" s="45">
        <v>45.0</v>
      </c>
      <c r="P1637" s="141"/>
    </row>
    <row r="1638">
      <c r="C1638" s="133"/>
      <c r="H1638" s="45">
        <v>43.0</v>
      </c>
      <c r="J1638" s="45">
        <v>0.47</v>
      </c>
      <c r="K1638" s="45">
        <v>43.0</v>
      </c>
      <c r="P1638" s="141"/>
    </row>
    <row r="1639">
      <c r="C1639" s="133"/>
      <c r="H1639" s="45">
        <v>40.0</v>
      </c>
      <c r="J1639" s="45">
        <v>0.47</v>
      </c>
      <c r="K1639" s="45">
        <v>41.0</v>
      </c>
      <c r="P1639" s="141"/>
    </row>
    <row r="1640">
      <c r="C1640" s="133"/>
      <c r="H1640" s="45">
        <v>42.0</v>
      </c>
      <c r="J1640" s="45">
        <v>0.47</v>
      </c>
      <c r="K1640" s="45">
        <v>38.0</v>
      </c>
      <c r="P1640" s="141"/>
    </row>
    <row r="1641">
      <c r="C1641" s="133"/>
      <c r="H1641" s="45">
        <v>43.0</v>
      </c>
      <c r="J1641" s="45">
        <v>0.45</v>
      </c>
      <c r="K1641" s="45">
        <v>43.0</v>
      </c>
      <c r="P1641" s="141"/>
    </row>
    <row r="1642">
      <c r="C1642" s="133"/>
      <c r="H1642" s="45">
        <v>40.0</v>
      </c>
      <c r="J1642" s="45">
        <v>0.51</v>
      </c>
      <c r="K1642" s="45">
        <v>37.0</v>
      </c>
      <c r="P1642" s="141"/>
    </row>
    <row r="1643">
      <c r="C1643" s="133"/>
      <c r="H1643" s="45">
        <v>42.0</v>
      </c>
      <c r="J1643" s="45">
        <v>0.46</v>
      </c>
      <c r="K1643" s="45">
        <v>48.0</v>
      </c>
      <c r="P1643" s="141"/>
    </row>
    <row r="1644">
      <c r="C1644" s="133"/>
      <c r="H1644" s="45">
        <v>42.0</v>
      </c>
      <c r="J1644" s="45">
        <v>0.49</v>
      </c>
      <c r="K1644" s="45">
        <v>43.0</v>
      </c>
      <c r="P1644" s="141"/>
    </row>
    <row r="1645">
      <c r="C1645" s="133"/>
      <c r="H1645" s="45">
        <v>42.0</v>
      </c>
      <c r="J1645" s="45">
        <v>0.44</v>
      </c>
      <c r="K1645" s="45">
        <v>47.0</v>
      </c>
      <c r="P1645" s="141"/>
    </row>
    <row r="1646">
      <c r="C1646" s="133"/>
      <c r="H1646" s="45">
        <v>44.0</v>
      </c>
      <c r="J1646" s="45">
        <v>0.46</v>
      </c>
      <c r="K1646" s="45">
        <v>39.0</v>
      </c>
      <c r="P1646" s="141"/>
    </row>
    <row r="1647">
      <c r="C1647" s="133"/>
      <c r="H1647" s="45">
        <v>48.0</v>
      </c>
      <c r="J1647" s="45">
        <v>0.44</v>
      </c>
      <c r="K1647" s="45">
        <v>52.0</v>
      </c>
      <c r="P1647" s="141"/>
    </row>
    <row r="1648">
      <c r="C1648" s="133"/>
      <c r="H1648" s="45">
        <v>45.0</v>
      </c>
      <c r="J1648" s="45">
        <v>0.46</v>
      </c>
      <c r="K1648" s="45">
        <v>39.0</v>
      </c>
      <c r="P1648" s="141"/>
    </row>
    <row r="1649">
      <c r="C1649" s="133"/>
      <c r="H1649" s="45">
        <v>47.0</v>
      </c>
      <c r="J1649" s="45">
        <v>0.46</v>
      </c>
      <c r="K1649" s="45">
        <v>43.0</v>
      </c>
      <c r="P1649" s="141"/>
    </row>
    <row r="1650">
      <c r="C1650" s="133"/>
      <c r="H1650" s="45">
        <v>50.0</v>
      </c>
      <c r="J1650" s="45">
        <v>0.45</v>
      </c>
      <c r="K1650" s="45">
        <v>39.0</v>
      </c>
      <c r="P1650" s="141"/>
    </row>
    <row r="1651">
      <c r="C1651" s="133"/>
      <c r="H1651" s="45">
        <v>42.0</v>
      </c>
      <c r="J1651" s="45">
        <v>0.46</v>
      </c>
      <c r="K1651" s="45">
        <v>38.0</v>
      </c>
      <c r="P1651" s="141"/>
    </row>
    <row r="1652">
      <c r="C1652" s="133"/>
      <c r="H1652" s="45">
        <v>43.0</v>
      </c>
      <c r="J1652" s="45">
        <v>0.46</v>
      </c>
      <c r="K1652" s="45">
        <v>38.0</v>
      </c>
      <c r="P1652" s="141"/>
    </row>
    <row r="1653">
      <c r="C1653" s="133"/>
      <c r="H1653" s="45">
        <v>42.0</v>
      </c>
      <c r="J1653" s="45">
        <v>0.47</v>
      </c>
      <c r="K1653" s="45">
        <v>36.0</v>
      </c>
      <c r="P1653" s="141"/>
    </row>
    <row r="1654">
      <c r="C1654" s="133"/>
      <c r="H1654" s="45">
        <v>41.0</v>
      </c>
      <c r="J1654" s="45">
        <v>0.48</v>
      </c>
      <c r="K1654" s="45">
        <v>38.0</v>
      </c>
      <c r="P1654" s="141"/>
    </row>
    <row r="1655">
      <c r="C1655" s="133"/>
      <c r="H1655" s="45">
        <v>44.0</v>
      </c>
      <c r="J1655" s="45">
        <v>0.47</v>
      </c>
      <c r="K1655" s="45">
        <v>42.0</v>
      </c>
      <c r="P1655" s="141"/>
    </row>
    <row r="1656">
      <c r="C1656" s="133"/>
      <c r="H1656" s="45">
        <v>45.0</v>
      </c>
      <c r="J1656" s="45">
        <v>0.46</v>
      </c>
      <c r="K1656" s="45">
        <v>38.0</v>
      </c>
      <c r="P1656" s="141"/>
    </row>
    <row r="1657">
      <c r="C1657" s="133"/>
      <c r="H1657" s="45">
        <v>41.0</v>
      </c>
      <c r="J1657" s="45">
        <v>0.49</v>
      </c>
      <c r="K1657" s="45">
        <v>41.0</v>
      </c>
      <c r="P1657" s="141"/>
    </row>
    <row r="1658">
      <c r="C1658" s="133"/>
      <c r="H1658" s="45">
        <v>43.0</v>
      </c>
      <c r="J1658" s="45">
        <v>0.44</v>
      </c>
      <c r="K1658" s="45">
        <v>40.0</v>
      </c>
      <c r="P1658" s="141"/>
    </row>
    <row r="1659">
      <c r="C1659" s="133"/>
      <c r="H1659" s="45">
        <v>49.0</v>
      </c>
      <c r="J1659" s="45">
        <v>0.46</v>
      </c>
      <c r="K1659" s="45">
        <v>43.0</v>
      </c>
      <c r="P1659" s="141"/>
    </row>
    <row r="1660">
      <c r="C1660" s="133"/>
      <c r="H1660" s="45">
        <v>47.0</v>
      </c>
      <c r="J1660" s="45">
        <v>0.47</v>
      </c>
      <c r="K1660" s="45">
        <v>41.0</v>
      </c>
      <c r="P1660" s="141"/>
    </row>
    <row r="1661">
      <c r="C1661" s="133"/>
      <c r="H1661" s="45">
        <v>48.0</v>
      </c>
      <c r="J1661" s="45">
        <v>0.49</v>
      </c>
      <c r="K1661" s="45">
        <v>44.0</v>
      </c>
      <c r="P1661" s="141"/>
    </row>
    <row r="1662">
      <c r="C1662" s="133"/>
      <c r="H1662" s="45">
        <v>47.0</v>
      </c>
      <c r="J1662" s="45">
        <v>0.45</v>
      </c>
      <c r="K1662" s="45">
        <v>44.0</v>
      </c>
      <c r="P1662" s="141"/>
    </row>
    <row r="1663">
      <c r="C1663" s="133"/>
      <c r="H1663" s="45">
        <v>44.0</v>
      </c>
      <c r="J1663" s="45">
        <v>0.47</v>
      </c>
      <c r="K1663" s="45">
        <v>40.0</v>
      </c>
      <c r="P1663" s="141"/>
    </row>
    <row r="1664">
      <c r="C1664" s="133"/>
      <c r="H1664" s="45">
        <v>43.0</v>
      </c>
      <c r="J1664" s="45">
        <v>0.48</v>
      </c>
      <c r="K1664" s="45">
        <v>39.0</v>
      </c>
      <c r="P1664" s="141"/>
    </row>
    <row r="1665">
      <c r="C1665" s="133"/>
      <c r="H1665" s="45">
        <v>42.0</v>
      </c>
      <c r="J1665" s="45">
        <v>0.47</v>
      </c>
      <c r="K1665" s="45">
        <v>38.0</v>
      </c>
      <c r="P1665" s="141"/>
    </row>
    <row r="1666">
      <c r="C1666" s="133"/>
      <c r="H1666" s="45">
        <v>43.0</v>
      </c>
      <c r="J1666" s="45">
        <v>0.46</v>
      </c>
      <c r="K1666" s="45">
        <v>36.0</v>
      </c>
      <c r="P1666" s="141"/>
    </row>
    <row r="1667">
      <c r="C1667" s="133"/>
      <c r="H1667" s="45">
        <v>42.0</v>
      </c>
      <c r="J1667" s="45">
        <v>0.46</v>
      </c>
      <c r="K1667" s="45">
        <v>41.0</v>
      </c>
      <c r="P1667" s="141"/>
    </row>
    <row r="1668">
      <c r="C1668" s="142"/>
      <c r="H1668" s="45">
        <v>43.0</v>
      </c>
      <c r="J1668" s="45">
        <v>0.47</v>
      </c>
      <c r="K1668" s="45">
        <v>41.0</v>
      </c>
      <c r="P1668" s="141"/>
    </row>
    <row r="1669">
      <c r="C1669" s="142"/>
      <c r="H1669" s="45">
        <v>44.0</v>
      </c>
      <c r="J1669" s="45">
        <v>0.51</v>
      </c>
      <c r="K1669" s="45">
        <v>42.0</v>
      </c>
      <c r="P1669" s="141"/>
    </row>
    <row r="1670">
      <c r="C1670" s="142"/>
      <c r="H1670" s="45">
        <v>43.0</v>
      </c>
      <c r="J1670" s="45">
        <v>0.44</v>
      </c>
      <c r="K1670" s="45">
        <v>39.0</v>
      </c>
      <c r="P1670" s="141"/>
    </row>
    <row r="1671">
      <c r="C1671" s="142"/>
      <c r="H1671" s="45">
        <v>44.0</v>
      </c>
      <c r="J1671" s="45">
        <v>0.47</v>
      </c>
      <c r="K1671" s="45">
        <v>42.0</v>
      </c>
      <c r="P1671" s="141"/>
    </row>
    <row r="1672">
      <c r="C1672" s="142"/>
      <c r="H1672" s="45">
        <v>48.0</v>
      </c>
      <c r="J1672" s="45">
        <v>0.48</v>
      </c>
      <c r="K1672" s="45">
        <v>47.0</v>
      </c>
      <c r="P1672" s="141"/>
    </row>
    <row r="1673">
      <c r="C1673" s="142"/>
      <c r="H1673" s="45">
        <v>45.0</v>
      </c>
      <c r="J1673" s="45">
        <v>0.47</v>
      </c>
      <c r="K1673" s="45">
        <v>43.0</v>
      </c>
      <c r="P1673" s="141"/>
    </row>
    <row r="1674">
      <c r="C1674" s="142"/>
      <c r="H1674" s="45">
        <v>49.0</v>
      </c>
      <c r="J1674" s="45">
        <v>0.48</v>
      </c>
      <c r="K1674" s="45">
        <v>41.0</v>
      </c>
      <c r="P1674" s="141"/>
    </row>
    <row r="1675">
      <c r="C1675" s="142"/>
      <c r="J1675" s="45">
        <v>0.49</v>
      </c>
      <c r="K1675" s="45">
        <v>41.0</v>
      </c>
      <c r="P1675" s="141"/>
    </row>
    <row r="1676">
      <c r="C1676" s="142"/>
      <c r="J1676" s="45">
        <v>0.47</v>
      </c>
      <c r="K1676" s="45">
        <v>41.0</v>
      </c>
      <c r="P1676" s="141"/>
    </row>
    <row r="1677">
      <c r="C1677" s="142"/>
      <c r="J1677" s="45">
        <v>0.46</v>
      </c>
      <c r="K1677" s="45">
        <v>42.0</v>
      </c>
      <c r="P1677" s="141"/>
    </row>
    <row r="1678">
      <c r="C1678" s="142"/>
      <c r="J1678" s="45">
        <v>0.5</v>
      </c>
      <c r="K1678" s="45">
        <v>35.0</v>
      </c>
      <c r="P1678" s="141"/>
    </row>
    <row r="1679">
      <c r="C1679" s="142"/>
      <c r="J1679" s="45">
        <v>0.48</v>
      </c>
      <c r="K1679" s="45">
        <v>41.0</v>
      </c>
      <c r="P1679" s="141"/>
    </row>
    <row r="1680">
      <c r="C1680" s="142"/>
      <c r="J1680" s="45">
        <v>0.49</v>
      </c>
      <c r="K1680" s="45">
        <v>38.0</v>
      </c>
      <c r="P1680" s="141"/>
    </row>
    <row r="1681">
      <c r="C1681" s="142"/>
      <c r="J1681" s="45">
        <v>0.48</v>
      </c>
      <c r="K1681" s="45">
        <v>38.0</v>
      </c>
      <c r="P1681" s="141"/>
    </row>
    <row r="1682">
      <c r="C1682" s="142"/>
      <c r="J1682" s="45">
        <v>0.47</v>
      </c>
      <c r="K1682" s="45">
        <v>37.0</v>
      </c>
      <c r="P1682" s="141"/>
    </row>
    <row r="1683">
      <c r="C1683" s="142"/>
      <c r="J1683" s="45">
        <v>0.46</v>
      </c>
      <c r="K1683" s="45">
        <v>41.0</v>
      </c>
      <c r="P1683" s="141"/>
    </row>
    <row r="1684">
      <c r="C1684" s="142"/>
      <c r="J1684" s="45">
        <v>0.48</v>
      </c>
      <c r="K1684" s="45">
        <v>47.0</v>
      </c>
      <c r="P1684" s="141"/>
    </row>
    <row r="1685">
      <c r="C1685" s="142"/>
      <c r="J1685" s="45">
        <v>0.49</v>
      </c>
      <c r="K1685" s="45">
        <v>43.0</v>
      </c>
      <c r="P1685" s="141"/>
    </row>
    <row r="1686">
      <c r="C1686" s="142"/>
      <c r="J1686" s="45">
        <v>0.49</v>
      </c>
      <c r="K1686" s="45">
        <v>47.0</v>
      </c>
      <c r="P1686" s="141"/>
    </row>
    <row r="1687">
      <c r="C1687" s="142"/>
      <c r="P1687" s="141"/>
    </row>
    <row r="1688">
      <c r="C1688" s="142"/>
      <c r="P1688" s="141"/>
    </row>
    <row r="1689">
      <c r="C1689" s="142"/>
      <c r="P1689" s="141"/>
    </row>
    <row r="1690">
      <c r="C1690" s="142"/>
      <c r="P1690" s="141"/>
    </row>
    <row r="1691">
      <c r="C1691" s="142"/>
      <c r="P1691" s="141"/>
    </row>
    <row r="1692">
      <c r="C1692" s="142"/>
      <c r="P1692" s="141"/>
    </row>
    <row r="1693">
      <c r="C1693" s="142"/>
      <c r="P1693" s="141"/>
    </row>
    <row r="1694">
      <c r="C1694" s="142"/>
      <c r="P1694" s="141"/>
    </row>
    <row r="1695">
      <c r="C1695" s="142"/>
      <c r="P1695" s="141"/>
    </row>
    <row r="1696">
      <c r="C1696" s="142"/>
      <c r="P1696" s="141"/>
    </row>
    <row r="1697">
      <c r="C1697" s="142"/>
      <c r="P1697" s="141"/>
    </row>
    <row r="1698">
      <c r="C1698" s="142"/>
      <c r="P1698" s="141"/>
    </row>
    <row r="1699">
      <c r="C1699" s="142"/>
      <c r="P1699" s="141"/>
    </row>
    <row r="1700">
      <c r="C1700" s="142"/>
      <c r="P1700" s="141"/>
    </row>
    <row r="1701">
      <c r="C1701" s="142"/>
      <c r="P1701" s="141"/>
    </row>
    <row r="1702">
      <c r="C1702" s="142"/>
      <c r="P1702" s="141"/>
    </row>
    <row r="1703">
      <c r="C1703" s="142"/>
      <c r="P1703" s="141"/>
    </row>
    <row r="1704">
      <c r="C1704" s="142"/>
      <c r="P1704" s="141"/>
    </row>
    <row r="1705">
      <c r="C1705" s="142"/>
      <c r="P1705" s="141"/>
    </row>
    <row r="1706">
      <c r="C1706" s="142"/>
      <c r="P1706" s="141"/>
    </row>
    <row r="1707">
      <c r="C1707" s="142"/>
      <c r="P1707" s="141"/>
    </row>
    <row r="1708">
      <c r="C1708" s="142"/>
      <c r="P1708" s="141"/>
    </row>
    <row r="1709">
      <c r="C1709" s="142"/>
      <c r="P1709" s="141"/>
    </row>
    <row r="1710">
      <c r="C1710" s="142"/>
      <c r="P1710" s="141"/>
    </row>
    <row r="1711">
      <c r="C1711" s="142"/>
      <c r="P1711" s="141"/>
    </row>
    <row r="1712">
      <c r="C1712" s="142"/>
      <c r="P1712" s="141"/>
    </row>
    <row r="1713">
      <c r="C1713" s="142"/>
      <c r="P1713" s="141"/>
    </row>
    <row r="1714">
      <c r="C1714" s="142"/>
      <c r="P1714" s="141"/>
    </row>
    <row r="1715">
      <c r="C1715" s="142"/>
      <c r="P1715" s="141"/>
    </row>
    <row r="1716">
      <c r="C1716" s="142"/>
      <c r="P1716" s="141"/>
    </row>
    <row r="1717">
      <c r="C1717" s="142"/>
      <c r="P1717" s="141"/>
    </row>
    <row r="1718">
      <c r="C1718" s="142"/>
      <c r="P1718" s="141"/>
    </row>
    <row r="1719">
      <c r="C1719" s="142"/>
      <c r="P1719" s="141"/>
    </row>
    <row r="1720">
      <c r="C1720" s="142"/>
      <c r="P1720" s="141"/>
    </row>
    <row r="1721">
      <c r="C1721" s="142"/>
      <c r="P1721" s="141"/>
    </row>
    <row r="1722">
      <c r="C1722" s="142"/>
      <c r="P1722" s="141"/>
    </row>
    <row r="1723">
      <c r="C1723" s="142"/>
      <c r="P1723" s="141"/>
    </row>
    <row r="1724">
      <c r="C1724" s="142"/>
      <c r="P1724" s="141"/>
    </row>
    <row r="1725">
      <c r="C1725" s="142"/>
      <c r="P1725" s="141"/>
    </row>
    <row r="1726">
      <c r="C1726" s="142"/>
      <c r="P1726" s="141"/>
    </row>
    <row r="1727">
      <c r="C1727" s="142"/>
      <c r="P1727" s="141"/>
    </row>
    <row r="1728">
      <c r="C1728" s="142"/>
      <c r="P1728" s="141"/>
    </row>
    <row r="1729">
      <c r="C1729" s="142"/>
      <c r="P1729" s="141"/>
    </row>
    <row r="1730">
      <c r="C1730" s="142"/>
      <c r="P1730" s="141"/>
    </row>
    <row r="1731">
      <c r="C1731" s="142"/>
      <c r="P1731" s="141"/>
    </row>
    <row r="1732">
      <c r="C1732" s="142"/>
      <c r="P1732" s="141"/>
    </row>
    <row r="1733">
      <c r="C1733" s="142"/>
      <c r="P1733" s="141"/>
    </row>
    <row r="1734">
      <c r="C1734" s="142"/>
      <c r="P1734" s="141"/>
    </row>
    <row r="1735">
      <c r="C1735" s="142"/>
      <c r="P1735" s="141"/>
    </row>
    <row r="1736">
      <c r="C1736" s="142"/>
      <c r="P1736" s="141"/>
    </row>
    <row r="1737">
      <c r="C1737" s="142"/>
      <c r="P1737" s="141"/>
    </row>
    <row r="1738">
      <c r="C1738" s="142"/>
      <c r="P1738" s="141"/>
    </row>
    <row r="1739">
      <c r="C1739" s="142"/>
      <c r="P1739" s="141"/>
    </row>
    <row r="1740">
      <c r="C1740" s="142"/>
      <c r="P1740" s="141"/>
    </row>
    <row r="1741">
      <c r="C1741" s="142"/>
      <c r="P1741" s="141"/>
    </row>
    <row r="1742">
      <c r="C1742" s="142"/>
      <c r="P1742" s="141"/>
    </row>
    <row r="1743">
      <c r="C1743" s="142"/>
      <c r="P1743" s="141"/>
    </row>
    <row r="1744">
      <c r="C1744" s="142"/>
      <c r="P1744" s="141"/>
    </row>
    <row r="1745">
      <c r="C1745" s="142"/>
      <c r="P1745" s="141"/>
    </row>
    <row r="1746">
      <c r="C1746" s="142"/>
      <c r="P1746" s="141"/>
    </row>
    <row r="1747">
      <c r="C1747" s="142"/>
      <c r="P1747" s="141"/>
    </row>
    <row r="1748">
      <c r="C1748" s="142"/>
      <c r="P1748" s="141"/>
    </row>
    <row r="1749">
      <c r="C1749" s="142"/>
      <c r="P1749" s="141"/>
    </row>
    <row r="1750">
      <c r="C1750" s="142"/>
      <c r="P1750" s="141"/>
    </row>
    <row r="1751">
      <c r="C1751" s="142"/>
      <c r="P1751" s="141"/>
    </row>
    <row r="1752">
      <c r="C1752" s="142"/>
      <c r="P1752" s="141"/>
    </row>
    <row r="1753">
      <c r="C1753" s="142"/>
      <c r="P1753" s="141"/>
    </row>
    <row r="1754">
      <c r="C1754" s="142"/>
      <c r="P1754" s="141"/>
    </row>
    <row r="1755">
      <c r="C1755" s="142"/>
      <c r="P1755" s="141"/>
    </row>
    <row r="1756">
      <c r="C1756" s="142"/>
      <c r="P1756" s="141"/>
    </row>
    <row r="1757">
      <c r="C1757" s="142"/>
      <c r="P1757" s="141"/>
    </row>
    <row r="1758">
      <c r="C1758" s="142"/>
      <c r="P1758" s="141"/>
    </row>
    <row r="1759">
      <c r="C1759" s="142"/>
      <c r="P1759" s="141"/>
    </row>
    <row r="1760">
      <c r="C1760" s="142"/>
      <c r="P1760" s="141"/>
    </row>
    <row r="1761">
      <c r="C1761" s="142"/>
      <c r="P1761" s="141"/>
    </row>
    <row r="1762">
      <c r="C1762" s="142"/>
      <c r="P1762" s="141"/>
    </row>
    <row r="1763">
      <c r="C1763" s="142"/>
      <c r="P1763" s="141"/>
    </row>
    <row r="1764">
      <c r="C1764" s="142"/>
      <c r="P1764" s="141"/>
    </row>
    <row r="1765">
      <c r="C1765" s="142"/>
      <c r="P1765" s="141"/>
    </row>
    <row r="1766">
      <c r="C1766" s="142"/>
      <c r="P1766" s="141"/>
    </row>
    <row r="1767">
      <c r="C1767" s="142"/>
      <c r="P1767" s="141"/>
    </row>
    <row r="1768">
      <c r="C1768" s="142"/>
      <c r="P1768" s="141"/>
    </row>
    <row r="1769">
      <c r="C1769" s="142"/>
      <c r="P1769" s="141"/>
    </row>
    <row r="1770">
      <c r="C1770" s="142"/>
      <c r="P1770" s="141"/>
    </row>
    <row r="1771">
      <c r="C1771" s="142"/>
      <c r="P1771" s="141"/>
    </row>
    <row r="1772">
      <c r="C1772" s="142"/>
      <c r="P1772" s="141"/>
    </row>
    <row r="1773">
      <c r="C1773" s="142"/>
      <c r="P1773" s="141"/>
    </row>
    <row r="1774">
      <c r="C1774" s="142"/>
      <c r="P1774" s="141"/>
    </row>
    <row r="1775">
      <c r="C1775" s="142"/>
      <c r="P1775" s="141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102"/>
      <c r="B1" s="143" t="s">
        <v>258</v>
      </c>
      <c r="C1" s="144"/>
      <c r="D1" s="144"/>
      <c r="E1" s="144"/>
      <c r="F1" s="144"/>
      <c r="G1" s="145" t="s">
        <v>259</v>
      </c>
      <c r="H1" s="144"/>
      <c r="I1" s="144"/>
      <c r="J1" s="144"/>
      <c r="K1" s="144"/>
      <c r="L1" s="144"/>
      <c r="M1" s="146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</row>
    <row r="2">
      <c r="A2" s="93" t="s">
        <v>3</v>
      </c>
      <c r="B2" s="147" t="s">
        <v>260</v>
      </c>
      <c r="C2" s="148" t="s">
        <v>261</v>
      </c>
      <c r="D2" s="148" t="s">
        <v>163</v>
      </c>
      <c r="E2" s="148" t="s">
        <v>262</v>
      </c>
      <c r="F2" s="149" t="s">
        <v>263</v>
      </c>
      <c r="G2" s="147">
        <v>1.0</v>
      </c>
      <c r="H2" s="148" t="s">
        <v>115</v>
      </c>
      <c r="I2" s="148">
        <v>2.0</v>
      </c>
      <c r="J2" s="148" t="s">
        <v>264</v>
      </c>
      <c r="K2" s="150" t="s">
        <v>265</v>
      </c>
      <c r="L2" s="148" t="s">
        <v>266</v>
      </c>
      <c r="M2" s="151" t="s">
        <v>267</v>
      </c>
      <c r="N2" s="98" t="s">
        <v>268</v>
      </c>
      <c r="O2" s="98" t="s">
        <v>269</v>
      </c>
      <c r="P2" s="98" t="s">
        <v>270</v>
      </c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</row>
    <row r="3">
      <c r="A3" s="98"/>
      <c r="B3" s="152"/>
      <c r="C3" s="153"/>
      <c r="D3" s="153"/>
      <c r="E3" s="153"/>
      <c r="F3" s="154" t="str">
        <f t="shared" ref="F3:F22" si="1">IFERROR((E3-C3)/abs(C3),"")</f>
        <v/>
      </c>
      <c r="G3" s="10"/>
      <c r="H3" s="10"/>
      <c r="I3" s="10"/>
      <c r="J3" s="98"/>
      <c r="K3" s="155" t="str">
        <f t="shared" ref="K3:K22" si="2">IF(ISNUMBER(J3),J3/$E$29,"")</f>
        <v/>
      </c>
      <c r="L3" s="98"/>
      <c r="M3" s="155" t="str">
        <f t="shared" ref="M3:M22" si="3">IF(ISNUMBER(L3),L3/H3,"")</f>
        <v/>
      </c>
      <c r="N3" s="102"/>
      <c r="O3" s="98"/>
      <c r="P3" s="156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</row>
    <row r="4">
      <c r="A4" s="98"/>
      <c r="B4" s="152"/>
      <c r="C4" s="153"/>
      <c r="D4" s="153"/>
      <c r="E4" s="153"/>
      <c r="F4" s="154" t="str">
        <f t="shared" si="1"/>
        <v/>
      </c>
      <c r="G4" s="10"/>
      <c r="H4" s="10"/>
      <c r="I4" s="10"/>
      <c r="J4" s="98"/>
      <c r="K4" s="155" t="str">
        <f t="shared" si="2"/>
        <v/>
      </c>
      <c r="L4" s="98"/>
      <c r="M4" s="155" t="str">
        <f t="shared" si="3"/>
        <v/>
      </c>
      <c r="N4" s="102"/>
      <c r="O4" s="98"/>
      <c r="P4" s="156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</row>
    <row r="5">
      <c r="A5" s="25"/>
      <c r="B5" s="157"/>
      <c r="C5" s="89"/>
      <c r="D5" s="89"/>
      <c r="E5" s="89"/>
      <c r="F5" s="154" t="str">
        <f t="shared" si="1"/>
        <v/>
      </c>
      <c r="G5" s="10"/>
      <c r="H5" s="10"/>
      <c r="I5" s="10"/>
      <c r="J5" s="25"/>
      <c r="K5" s="155" t="str">
        <f t="shared" si="2"/>
        <v/>
      </c>
      <c r="L5" s="25"/>
      <c r="M5" s="155" t="str">
        <f t="shared" si="3"/>
        <v/>
      </c>
      <c r="N5" s="98"/>
      <c r="O5" s="82"/>
      <c r="P5" s="158"/>
    </row>
    <row r="6">
      <c r="A6" s="98"/>
      <c r="B6" s="152"/>
      <c r="C6" s="153"/>
      <c r="D6" s="153"/>
      <c r="E6" s="153"/>
      <c r="F6" s="154" t="str">
        <f t="shared" si="1"/>
        <v/>
      </c>
      <c r="G6" s="10"/>
      <c r="H6" s="10"/>
      <c r="I6" s="10"/>
      <c r="J6" s="98"/>
      <c r="K6" s="155" t="str">
        <f t="shared" si="2"/>
        <v/>
      </c>
      <c r="L6" s="98"/>
      <c r="M6" s="155" t="str">
        <f t="shared" si="3"/>
        <v/>
      </c>
      <c r="N6" s="102"/>
      <c r="O6" s="98"/>
      <c r="P6" s="156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</row>
    <row r="7">
      <c r="A7" s="25"/>
      <c r="B7" s="157"/>
      <c r="C7" s="89"/>
      <c r="D7" s="89"/>
      <c r="E7" s="89"/>
      <c r="F7" s="154" t="str">
        <f t="shared" si="1"/>
        <v/>
      </c>
      <c r="G7" s="113"/>
      <c r="H7" s="82"/>
      <c r="I7" s="82"/>
      <c r="J7" s="82"/>
      <c r="K7" s="155" t="str">
        <f t="shared" si="2"/>
        <v/>
      </c>
      <c r="L7" s="82"/>
      <c r="M7" s="155" t="str">
        <f t="shared" si="3"/>
        <v/>
      </c>
      <c r="N7" s="25"/>
      <c r="O7" s="82"/>
      <c r="P7" s="159"/>
    </row>
    <row r="8">
      <c r="A8" s="25"/>
      <c r="B8" s="157"/>
      <c r="C8" s="89"/>
      <c r="D8" s="89"/>
      <c r="E8" s="89"/>
      <c r="F8" s="154" t="str">
        <f t="shared" si="1"/>
        <v/>
      </c>
      <c r="G8" s="113"/>
      <c r="H8" s="82"/>
      <c r="I8" s="82"/>
      <c r="J8" s="82"/>
      <c r="K8" s="155" t="str">
        <f t="shared" si="2"/>
        <v/>
      </c>
      <c r="L8" s="82"/>
      <c r="M8" s="155" t="str">
        <f t="shared" si="3"/>
        <v/>
      </c>
      <c r="N8" s="25"/>
      <c r="O8" s="82"/>
      <c r="P8" s="159"/>
    </row>
    <row r="9">
      <c r="A9" s="98"/>
      <c r="B9" s="152"/>
      <c r="C9" s="153"/>
      <c r="D9" s="153"/>
      <c r="E9" s="153"/>
      <c r="F9" s="154" t="str">
        <f t="shared" si="1"/>
        <v/>
      </c>
      <c r="G9" s="10"/>
      <c r="H9" s="10"/>
      <c r="I9" s="10"/>
      <c r="J9" s="98"/>
      <c r="K9" s="155" t="str">
        <f t="shared" si="2"/>
        <v/>
      </c>
      <c r="L9" s="98"/>
      <c r="M9" s="155" t="str">
        <f t="shared" si="3"/>
        <v/>
      </c>
      <c r="N9" s="102"/>
      <c r="O9" s="98"/>
      <c r="P9" s="156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</row>
    <row r="10">
      <c r="A10" s="25"/>
      <c r="B10" s="157"/>
      <c r="C10" s="89"/>
      <c r="D10" s="89"/>
      <c r="E10" s="89"/>
      <c r="F10" s="154" t="str">
        <f t="shared" si="1"/>
        <v/>
      </c>
      <c r="G10" s="10"/>
      <c r="H10" s="102"/>
      <c r="I10" s="10"/>
      <c r="J10" s="25"/>
      <c r="K10" s="155" t="str">
        <f t="shared" si="2"/>
        <v/>
      </c>
      <c r="L10" s="25"/>
      <c r="M10" s="155" t="str">
        <f t="shared" si="3"/>
        <v/>
      </c>
      <c r="N10" s="98"/>
      <c r="O10" s="82"/>
      <c r="P10" s="159"/>
    </row>
    <row r="11">
      <c r="A11" s="98"/>
      <c r="B11" s="152"/>
      <c r="C11" s="153"/>
      <c r="D11" s="153"/>
      <c r="E11" s="153"/>
      <c r="F11" s="154" t="str">
        <f t="shared" si="1"/>
        <v/>
      </c>
      <c r="G11" s="160"/>
      <c r="H11" s="102"/>
      <c r="I11" s="102"/>
      <c r="J11" s="98"/>
      <c r="K11" s="155" t="str">
        <f t="shared" si="2"/>
        <v/>
      </c>
      <c r="L11" s="98"/>
      <c r="M11" s="155" t="str">
        <f t="shared" si="3"/>
        <v/>
      </c>
      <c r="N11" s="98"/>
      <c r="O11" s="102"/>
      <c r="P11" s="161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</row>
    <row r="12">
      <c r="A12" s="25"/>
      <c r="B12" s="157"/>
      <c r="C12" s="89"/>
      <c r="D12" s="89"/>
      <c r="E12" s="89"/>
      <c r="F12" s="154" t="str">
        <f t="shared" si="1"/>
        <v/>
      </c>
      <c r="G12" s="10"/>
      <c r="H12" s="10"/>
      <c r="I12" s="10"/>
      <c r="J12" s="25"/>
      <c r="K12" s="155" t="str">
        <f t="shared" si="2"/>
        <v/>
      </c>
      <c r="L12" s="25"/>
      <c r="M12" s="155" t="str">
        <f t="shared" si="3"/>
        <v/>
      </c>
      <c r="N12" s="98"/>
      <c r="O12" s="82"/>
      <c r="P12" s="159"/>
    </row>
    <row r="13">
      <c r="A13" s="98"/>
      <c r="B13" s="152"/>
      <c r="C13" s="153"/>
      <c r="D13" s="153"/>
      <c r="E13" s="153"/>
      <c r="F13" s="154" t="str">
        <f t="shared" si="1"/>
        <v/>
      </c>
      <c r="G13" s="160"/>
      <c r="H13" s="102"/>
      <c r="I13" s="102"/>
      <c r="J13" s="102"/>
      <c r="K13" s="155" t="str">
        <f t="shared" si="2"/>
        <v/>
      </c>
      <c r="L13" s="102"/>
      <c r="M13" s="155" t="str">
        <f t="shared" si="3"/>
        <v/>
      </c>
      <c r="N13" s="98"/>
      <c r="O13" s="102"/>
      <c r="P13" s="161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</row>
    <row r="14">
      <c r="A14" s="25"/>
      <c r="B14" s="157"/>
      <c r="C14" s="89"/>
      <c r="D14" s="89"/>
      <c r="E14" s="89"/>
      <c r="F14" s="154" t="str">
        <f t="shared" si="1"/>
        <v/>
      </c>
      <c r="G14" s="113"/>
      <c r="H14" s="82"/>
      <c r="I14" s="82"/>
      <c r="J14" s="82"/>
      <c r="K14" s="155" t="str">
        <f t="shared" si="2"/>
        <v/>
      </c>
      <c r="L14" s="82"/>
      <c r="M14" s="155" t="str">
        <f t="shared" si="3"/>
        <v/>
      </c>
      <c r="N14" s="25"/>
      <c r="O14" s="82"/>
      <c r="P14" s="159"/>
    </row>
    <row r="15">
      <c r="A15" s="25"/>
      <c r="B15" s="157"/>
      <c r="C15" s="89"/>
      <c r="D15" s="89"/>
      <c r="E15" s="89"/>
      <c r="F15" s="154" t="str">
        <f t="shared" si="1"/>
        <v/>
      </c>
      <c r="G15" s="113"/>
      <c r="H15" s="82"/>
      <c r="I15" s="82"/>
      <c r="J15" s="82"/>
      <c r="K15" s="155" t="str">
        <f t="shared" si="2"/>
        <v/>
      </c>
      <c r="L15" s="82"/>
      <c r="M15" s="155" t="str">
        <f t="shared" si="3"/>
        <v/>
      </c>
      <c r="N15" s="98"/>
      <c r="O15" s="82"/>
      <c r="P15" s="159"/>
    </row>
    <row r="16">
      <c r="A16" s="25"/>
      <c r="B16" s="157"/>
      <c r="C16" s="89"/>
      <c r="D16" s="89"/>
      <c r="E16" s="89"/>
      <c r="F16" s="154" t="str">
        <f t="shared" si="1"/>
        <v/>
      </c>
      <c r="G16" s="113"/>
      <c r="H16" s="82"/>
      <c r="I16" s="82"/>
      <c r="J16" s="82"/>
      <c r="K16" s="155" t="str">
        <f t="shared" si="2"/>
        <v/>
      </c>
      <c r="L16" s="82"/>
      <c r="M16" s="155" t="str">
        <f t="shared" si="3"/>
        <v/>
      </c>
      <c r="N16" s="98"/>
      <c r="O16" s="82"/>
      <c r="P16" s="159"/>
    </row>
    <row r="17">
      <c r="A17" s="25"/>
      <c r="B17" s="157"/>
      <c r="C17" s="89"/>
      <c r="D17" s="89"/>
      <c r="E17" s="89"/>
      <c r="F17" s="154" t="str">
        <f t="shared" si="1"/>
        <v/>
      </c>
      <c r="G17" s="113"/>
      <c r="H17" s="82"/>
      <c r="I17" s="82"/>
      <c r="J17" s="82"/>
      <c r="K17" s="155" t="str">
        <f t="shared" si="2"/>
        <v/>
      </c>
      <c r="L17" s="82"/>
      <c r="M17" s="155" t="str">
        <f t="shared" si="3"/>
        <v/>
      </c>
      <c r="N17" s="98"/>
      <c r="O17" s="82"/>
      <c r="P17" s="159"/>
    </row>
    <row r="18">
      <c r="A18" s="25"/>
      <c r="B18" s="157"/>
      <c r="C18" s="89"/>
      <c r="D18" s="89"/>
      <c r="E18" s="89"/>
      <c r="F18" s="154" t="str">
        <f t="shared" si="1"/>
        <v/>
      </c>
      <c r="G18" s="113"/>
      <c r="H18" s="82"/>
      <c r="I18" s="82"/>
      <c r="J18" s="82"/>
      <c r="K18" s="155" t="str">
        <f t="shared" si="2"/>
        <v/>
      </c>
      <c r="L18" s="82"/>
      <c r="M18" s="155" t="str">
        <f t="shared" si="3"/>
        <v/>
      </c>
      <c r="N18" s="25"/>
      <c r="O18" s="82"/>
      <c r="P18" s="159"/>
    </row>
    <row r="19">
      <c r="A19" s="98"/>
      <c r="B19" s="152"/>
      <c r="C19" s="153"/>
      <c r="D19" s="153"/>
      <c r="E19" s="153"/>
      <c r="F19" s="154" t="str">
        <f t="shared" si="1"/>
        <v/>
      </c>
      <c r="G19" s="160"/>
      <c r="H19" s="102"/>
      <c r="I19" s="102"/>
      <c r="J19" s="98"/>
      <c r="K19" s="155" t="str">
        <f t="shared" si="2"/>
        <v/>
      </c>
      <c r="L19" s="98"/>
      <c r="M19" s="155" t="str">
        <f t="shared" si="3"/>
        <v/>
      </c>
      <c r="N19" s="25"/>
      <c r="O19" s="102"/>
      <c r="P19" s="161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</row>
    <row r="20">
      <c r="A20" s="19"/>
      <c r="B20" s="21"/>
      <c r="C20" s="21"/>
      <c r="D20" s="21"/>
      <c r="E20" s="21"/>
      <c r="F20" s="154" t="str">
        <f t="shared" si="1"/>
        <v/>
      </c>
      <c r="G20" s="23"/>
      <c r="H20" s="23"/>
      <c r="I20" s="23"/>
      <c r="J20" s="23"/>
      <c r="K20" s="155" t="str">
        <f t="shared" si="2"/>
        <v/>
      </c>
      <c r="L20" s="23"/>
      <c r="M20" s="155" t="str">
        <f t="shared" si="3"/>
        <v/>
      </c>
      <c r="N20" s="25"/>
      <c r="O20" s="23"/>
      <c r="P20" s="162"/>
    </row>
    <row r="21">
      <c r="A21" s="19"/>
      <c r="B21" s="21"/>
      <c r="C21" s="21"/>
      <c r="D21" s="21"/>
      <c r="E21" s="21"/>
      <c r="F21" s="154" t="str">
        <f t="shared" si="1"/>
        <v/>
      </c>
      <c r="G21" s="23"/>
      <c r="H21" s="23"/>
      <c r="I21" s="23"/>
      <c r="J21" s="23"/>
      <c r="K21" s="155" t="str">
        <f t="shared" si="2"/>
        <v/>
      </c>
      <c r="L21" s="23"/>
      <c r="M21" s="155" t="str">
        <f t="shared" si="3"/>
        <v/>
      </c>
      <c r="N21" s="25"/>
      <c r="O21" s="23"/>
      <c r="P21" s="162"/>
    </row>
    <row r="22">
      <c r="A22" s="6"/>
      <c r="B22" s="8"/>
      <c r="C22" s="8"/>
      <c r="D22" s="8"/>
      <c r="E22" s="8"/>
      <c r="F22" s="154" t="str">
        <f t="shared" si="1"/>
        <v/>
      </c>
      <c r="G22" s="10"/>
      <c r="H22" s="10"/>
      <c r="I22" s="10"/>
      <c r="J22" s="10"/>
      <c r="K22" s="155" t="str">
        <f t="shared" si="2"/>
        <v/>
      </c>
      <c r="L22" s="10"/>
      <c r="M22" s="155" t="str">
        <f t="shared" si="3"/>
        <v/>
      </c>
      <c r="N22" s="98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</row>
    <row r="23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</row>
    <row r="24">
      <c r="A24" s="92" t="s">
        <v>155</v>
      </c>
      <c r="B24" s="163" t="str">
        <f t="shared" ref="B24:F24" si="4">IFERROR(AVERAGE(B3:B22),"")</f>
        <v/>
      </c>
      <c r="C24" s="163" t="str">
        <f t="shared" si="4"/>
        <v/>
      </c>
      <c r="D24" s="163" t="str">
        <f t="shared" si="4"/>
        <v/>
      </c>
      <c r="E24" s="163" t="str">
        <f t="shared" si="4"/>
        <v/>
      </c>
      <c r="F24" s="163" t="str">
        <f t="shared" si="4"/>
        <v/>
      </c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</row>
    <row r="25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</row>
    <row r="26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</row>
    <row r="27">
      <c r="A27" s="10"/>
      <c r="B27" s="10"/>
      <c r="C27" s="10"/>
      <c r="D27" s="10"/>
      <c r="E27" s="10"/>
      <c r="F27" s="10"/>
      <c r="G27" s="164" t="s">
        <v>271</v>
      </c>
      <c r="H27" s="10"/>
      <c r="I27" s="10"/>
      <c r="J27" s="10"/>
      <c r="K27" s="10"/>
      <c r="L27" s="10"/>
      <c r="M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</row>
    <row r="28">
      <c r="A28" s="10"/>
      <c r="B28" s="10"/>
      <c r="C28" s="10"/>
      <c r="D28" s="10"/>
      <c r="E28" s="10"/>
      <c r="F28" s="10"/>
      <c r="G28" s="165">
        <v>1.0</v>
      </c>
      <c r="H28" s="165" t="s">
        <v>115</v>
      </c>
      <c r="I28" s="165">
        <v>2.0</v>
      </c>
      <c r="J28" s="10"/>
      <c r="K28" s="10"/>
      <c r="L28" s="10"/>
      <c r="M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</row>
    <row r="29">
      <c r="A29" s="10"/>
      <c r="B29" s="10"/>
      <c r="C29" s="10"/>
      <c r="D29" s="6" t="s">
        <v>272</v>
      </c>
      <c r="E29" s="6">
        <f>J29</f>
        <v>146</v>
      </c>
      <c r="F29" s="10"/>
      <c r="G29" s="166">
        <v>59.0</v>
      </c>
      <c r="H29" s="166">
        <v>33.0</v>
      </c>
      <c r="I29" s="166">
        <v>54.0</v>
      </c>
      <c r="J29" s="10">
        <f>SUM(G29:I29)</f>
        <v>146</v>
      </c>
      <c r="K29" s="10"/>
      <c r="L29" s="92" t="s">
        <v>273</v>
      </c>
      <c r="M29" s="92" t="s">
        <v>274</v>
      </c>
      <c r="O29" s="6">
        <v>1.0</v>
      </c>
      <c r="P29" s="10">
        <f t="shared" ref="P29:P31" si="6">COUNTIF($M$30:$M1001,O29)</f>
        <v>54</v>
      </c>
      <c r="R29" s="10"/>
      <c r="S29" s="10"/>
      <c r="T29" s="10"/>
      <c r="U29" s="10"/>
      <c r="V29" s="10"/>
      <c r="W29" s="10"/>
      <c r="X29" s="10"/>
      <c r="Y29" s="10"/>
      <c r="Z29" s="10"/>
      <c r="AA29" s="10"/>
    </row>
    <row r="30">
      <c r="A30" s="10"/>
      <c r="B30" s="10"/>
      <c r="C30" s="10"/>
      <c r="D30" s="10"/>
      <c r="E30" s="10"/>
      <c r="F30" s="10"/>
      <c r="G30" s="167">
        <f t="shared" ref="G30:I30" si="5">G29/$J$29</f>
        <v>0.404109589</v>
      </c>
      <c r="H30" s="167">
        <f t="shared" si="5"/>
        <v>0.2260273973</v>
      </c>
      <c r="I30" s="167">
        <f t="shared" si="5"/>
        <v>0.3698630137</v>
      </c>
      <c r="J30" s="10"/>
      <c r="K30" s="10"/>
      <c r="L30" s="6">
        <v>0.0</v>
      </c>
      <c r="M30" s="6">
        <v>2.0</v>
      </c>
      <c r="O30" s="6">
        <v>0.0</v>
      </c>
      <c r="P30" s="10">
        <f t="shared" si="6"/>
        <v>23</v>
      </c>
      <c r="R30" s="10"/>
      <c r="S30" s="10"/>
      <c r="T30" s="10"/>
      <c r="U30" s="10"/>
      <c r="V30" s="10"/>
      <c r="W30" s="10"/>
      <c r="X30" s="10"/>
      <c r="Y30" s="10"/>
      <c r="Z30" s="10"/>
      <c r="AA30" s="10"/>
    </row>
    <row r="31">
      <c r="A31" s="10"/>
      <c r="B31" s="10"/>
      <c r="C31" s="10"/>
      <c r="D31" s="10"/>
      <c r="E31" s="10"/>
      <c r="F31" s="10"/>
      <c r="K31" s="10"/>
      <c r="L31" s="6">
        <v>2.0</v>
      </c>
      <c r="M31" s="6">
        <v>2.0</v>
      </c>
      <c r="O31" s="6">
        <v>2.0</v>
      </c>
      <c r="P31" s="10">
        <f t="shared" si="6"/>
        <v>69</v>
      </c>
      <c r="R31" s="10"/>
      <c r="S31" s="10"/>
      <c r="T31" s="10"/>
      <c r="U31" s="10"/>
      <c r="V31" s="10"/>
      <c r="W31" s="10"/>
      <c r="X31" s="10"/>
      <c r="Y31" s="10"/>
      <c r="Z31" s="10"/>
      <c r="AA31" s="10"/>
    </row>
    <row r="32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6">
        <v>2.0</v>
      </c>
      <c r="M32" s="6">
        <v>2.0</v>
      </c>
      <c r="O32" s="10"/>
      <c r="P32" s="10"/>
      <c r="R32" s="10"/>
      <c r="S32" s="10"/>
      <c r="T32" s="10"/>
      <c r="U32" s="10"/>
      <c r="V32" s="10"/>
      <c r="W32" s="10"/>
      <c r="X32" s="10"/>
      <c r="Y32" s="10"/>
      <c r="Z32" s="10"/>
      <c r="AA32" s="10"/>
    </row>
    <row r="33">
      <c r="A33" s="10"/>
      <c r="B33" s="10"/>
      <c r="C33" s="10"/>
      <c r="D33" s="10"/>
      <c r="E33" s="10"/>
      <c r="F33" s="10"/>
      <c r="G33" s="117" t="s">
        <v>275</v>
      </c>
      <c r="J33" s="10"/>
      <c r="K33" s="10"/>
      <c r="L33" s="6">
        <v>2.0</v>
      </c>
      <c r="M33" s="6">
        <v>2.0</v>
      </c>
      <c r="O33" s="10"/>
      <c r="P33" s="10"/>
      <c r="R33" s="10"/>
      <c r="S33" s="10"/>
      <c r="T33" s="10"/>
      <c r="U33" s="10"/>
      <c r="V33" s="10"/>
      <c r="W33" s="10"/>
      <c r="X33" s="10"/>
      <c r="Y33" s="10"/>
      <c r="Z33" s="10"/>
      <c r="AA33" s="10"/>
    </row>
    <row r="34">
      <c r="A34" s="10"/>
      <c r="B34" s="10"/>
      <c r="C34" s="10"/>
      <c r="D34" s="10"/>
      <c r="E34" s="10"/>
      <c r="F34" s="10"/>
      <c r="G34" s="168">
        <v>1.0</v>
      </c>
      <c r="H34" s="168" t="s">
        <v>115</v>
      </c>
      <c r="I34" s="168">
        <v>2.0</v>
      </c>
      <c r="J34" s="10"/>
      <c r="K34" s="10"/>
      <c r="L34" s="6">
        <v>0.0</v>
      </c>
      <c r="M34" s="6">
        <v>0.0</v>
      </c>
      <c r="N34" s="10"/>
      <c r="O34" s="10"/>
      <c r="P34" s="10"/>
      <c r="R34" s="10"/>
      <c r="S34" s="10"/>
      <c r="T34" s="10"/>
      <c r="U34" s="10"/>
      <c r="V34" s="10"/>
      <c r="W34" s="10"/>
      <c r="X34" s="10"/>
      <c r="Y34" s="10"/>
      <c r="Z34" s="10"/>
      <c r="AA34" s="10"/>
    </row>
    <row r="35">
      <c r="A35" s="10"/>
      <c r="B35" s="10"/>
      <c r="C35" s="10"/>
      <c r="D35" s="10"/>
      <c r="E35" s="10"/>
      <c r="F35" s="10"/>
      <c r="G35" s="169">
        <v>0.485</v>
      </c>
      <c r="H35" s="169">
        <v>0.285</v>
      </c>
      <c r="I35" s="169">
        <v>0.23</v>
      </c>
      <c r="J35" s="10"/>
      <c r="K35" s="10"/>
      <c r="L35" s="6">
        <v>2.0</v>
      </c>
      <c r="M35" s="6">
        <v>2.0</v>
      </c>
      <c r="N35" s="10"/>
      <c r="O35" s="10"/>
      <c r="P35" s="10"/>
      <c r="R35" s="10"/>
      <c r="S35" s="10"/>
      <c r="T35" s="10"/>
      <c r="U35" s="10"/>
      <c r="V35" s="10"/>
      <c r="W35" s="10"/>
      <c r="X35" s="10"/>
      <c r="Y35" s="10"/>
      <c r="Z35" s="10"/>
      <c r="AA35" s="10"/>
    </row>
    <row r="36">
      <c r="A36" s="10"/>
      <c r="B36" s="10"/>
      <c r="C36" s="10"/>
      <c r="D36" s="10"/>
      <c r="E36" s="10"/>
      <c r="F36" s="10"/>
      <c r="G36" s="23">
        <f t="shared" ref="G36:I36" si="7">ROUND(G35*$E$29,0)</f>
        <v>71</v>
      </c>
      <c r="H36" s="23">
        <f t="shared" si="7"/>
        <v>42</v>
      </c>
      <c r="I36" s="23">
        <f t="shared" si="7"/>
        <v>34</v>
      </c>
      <c r="J36" s="10"/>
      <c r="K36" s="10"/>
      <c r="L36" s="6">
        <v>2.0</v>
      </c>
      <c r="M36" s="6">
        <v>2.0</v>
      </c>
      <c r="N36" s="170"/>
      <c r="O36" s="10"/>
      <c r="P36" s="10"/>
      <c r="R36" s="10"/>
      <c r="S36" s="10"/>
      <c r="T36" s="10"/>
      <c r="U36" s="10"/>
      <c r="V36" s="10"/>
      <c r="W36" s="10"/>
      <c r="X36" s="10"/>
      <c r="Y36" s="10"/>
      <c r="Z36" s="10"/>
      <c r="AA36" s="10"/>
    </row>
    <row r="37">
      <c r="A37" s="10"/>
      <c r="B37" s="10"/>
      <c r="C37" s="10"/>
      <c r="D37" s="10"/>
      <c r="E37" s="10"/>
      <c r="F37" s="10"/>
      <c r="J37" s="10"/>
      <c r="K37" s="10"/>
      <c r="L37" s="6">
        <v>2.0</v>
      </c>
      <c r="M37" s="6">
        <v>2.0</v>
      </c>
      <c r="N37" s="17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</row>
    <row r="38">
      <c r="A38" s="10"/>
      <c r="B38" s="10"/>
      <c r="C38" s="10"/>
      <c r="D38" s="10"/>
      <c r="E38" s="10"/>
      <c r="F38" s="6" t="s">
        <v>276</v>
      </c>
      <c r="G38" s="167">
        <f t="shared" ref="G38:I38" si="8">G30-G35</f>
        <v>-0.08089041096</v>
      </c>
      <c r="H38" s="167">
        <f t="shared" si="8"/>
        <v>-0.05897260274</v>
      </c>
      <c r="I38" s="167">
        <f t="shared" si="8"/>
        <v>0.1398630137</v>
      </c>
      <c r="J38" s="10"/>
      <c r="K38" s="10"/>
      <c r="L38" s="6">
        <v>1.0</v>
      </c>
      <c r="M38" s="6">
        <v>0.0</v>
      </c>
      <c r="N38" s="17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</row>
    <row r="39">
      <c r="A39" s="10"/>
      <c r="B39" s="10"/>
      <c r="C39" s="10"/>
      <c r="D39" s="10"/>
      <c r="E39" s="10"/>
      <c r="K39" s="10"/>
      <c r="L39" s="6">
        <v>1.0</v>
      </c>
      <c r="M39" s="6">
        <v>1.0</v>
      </c>
      <c r="N39" s="17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</row>
    <row r="40">
      <c r="A40" s="10"/>
      <c r="B40" s="10"/>
      <c r="C40" s="10"/>
      <c r="D40" s="10"/>
      <c r="E40" s="10"/>
      <c r="K40" s="10"/>
      <c r="L40" s="6">
        <v>1.0</v>
      </c>
      <c r="M40" s="6">
        <v>1.0</v>
      </c>
      <c r="N40" s="17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</row>
    <row r="41">
      <c r="A41" s="10"/>
      <c r="B41" s="10"/>
      <c r="C41" s="10"/>
      <c r="D41" s="10"/>
      <c r="E41" s="10"/>
      <c r="K41" s="10"/>
      <c r="L41" s="6">
        <v>1.0</v>
      </c>
      <c r="M41" s="6">
        <v>1.0</v>
      </c>
      <c r="N41" s="17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</row>
    <row r="42">
      <c r="A42" s="10"/>
      <c r="B42" s="10"/>
      <c r="C42" s="10"/>
      <c r="D42" s="10"/>
      <c r="E42" s="10"/>
      <c r="K42" s="10"/>
      <c r="L42" s="6">
        <v>0.0</v>
      </c>
      <c r="M42" s="6">
        <v>1.0</v>
      </c>
      <c r="N42" s="17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</row>
    <row r="43">
      <c r="A43" s="10"/>
      <c r="B43" s="10"/>
      <c r="C43" s="10"/>
      <c r="D43" s="10"/>
      <c r="E43" s="10"/>
      <c r="K43" s="10"/>
      <c r="L43" s="6">
        <v>1.0</v>
      </c>
      <c r="M43" s="6">
        <v>0.0</v>
      </c>
      <c r="N43" s="17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</row>
    <row r="44">
      <c r="A44" s="10"/>
      <c r="B44" s="10"/>
      <c r="C44" s="10"/>
      <c r="D44" s="10"/>
      <c r="E44" s="10"/>
      <c r="K44" s="10"/>
      <c r="L44" s="6">
        <v>2.0</v>
      </c>
      <c r="M44" s="6">
        <v>2.0</v>
      </c>
      <c r="N44" s="17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</row>
    <row r="45">
      <c r="A45" s="10"/>
      <c r="B45" s="10"/>
      <c r="C45" s="10"/>
      <c r="D45" s="10"/>
      <c r="E45" s="10"/>
      <c r="K45" s="10"/>
      <c r="L45" s="6">
        <v>2.0</v>
      </c>
      <c r="M45" s="6">
        <v>2.0</v>
      </c>
      <c r="N45" s="17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</row>
    <row r="46">
      <c r="A46" s="10"/>
      <c r="B46" s="10"/>
      <c r="C46" s="10"/>
      <c r="D46" s="10"/>
      <c r="E46" s="10"/>
      <c r="K46" s="10"/>
      <c r="L46" s="6">
        <v>1.0</v>
      </c>
      <c r="M46" s="6">
        <v>1.0</v>
      </c>
      <c r="N46" s="17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</row>
    <row r="47">
      <c r="A47" s="10"/>
      <c r="B47" s="10"/>
      <c r="C47" s="10"/>
      <c r="D47" s="10"/>
      <c r="E47" s="10"/>
      <c r="K47" s="10"/>
      <c r="L47" s="6">
        <v>1.0</v>
      </c>
      <c r="M47" s="6">
        <v>1.0</v>
      </c>
      <c r="N47" s="17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</row>
    <row r="48">
      <c r="A48" s="10"/>
      <c r="B48" s="10"/>
      <c r="C48" s="10"/>
      <c r="D48" s="10"/>
      <c r="E48" s="10"/>
      <c r="K48" s="10"/>
      <c r="L48" s="6">
        <v>2.0</v>
      </c>
      <c r="M48" s="6">
        <v>2.0</v>
      </c>
      <c r="N48" s="17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</row>
    <row r="49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6">
        <v>1.0</v>
      </c>
      <c r="M49" s="6">
        <v>0.0</v>
      </c>
      <c r="N49" s="17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</row>
    <row r="50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6">
        <v>2.0</v>
      </c>
      <c r="M50" s="6">
        <v>2.0</v>
      </c>
      <c r="N50" s="17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</row>
    <row r="5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6">
        <v>0.0</v>
      </c>
      <c r="M51" s="6">
        <v>2.0</v>
      </c>
      <c r="N51" s="17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</row>
    <row r="52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6">
        <v>2.0</v>
      </c>
      <c r="M52" s="6">
        <v>2.0</v>
      </c>
      <c r="N52" s="17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</row>
    <row r="53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6">
        <v>1.0</v>
      </c>
      <c r="M53" s="6">
        <v>2.0</v>
      </c>
      <c r="N53" s="17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</row>
    <row r="54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6">
        <v>2.0</v>
      </c>
      <c r="M54" s="6">
        <v>2.0</v>
      </c>
      <c r="N54" s="17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</row>
    <row r="5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6">
        <v>2.0</v>
      </c>
      <c r="M55" s="6">
        <v>2.0</v>
      </c>
      <c r="N55" s="17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6">
        <v>1.0</v>
      </c>
      <c r="M56" s="6">
        <v>1.0</v>
      </c>
      <c r="N56" s="17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6">
        <v>2.0</v>
      </c>
      <c r="M57" s="6">
        <v>1.0</v>
      </c>
      <c r="N57" s="17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6">
        <v>1.0</v>
      </c>
      <c r="M58" s="6">
        <v>1.0</v>
      </c>
      <c r="N58" s="17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6">
        <v>0.0</v>
      </c>
      <c r="M59" s="6">
        <v>1.0</v>
      </c>
      <c r="N59" s="17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6">
        <v>2.0</v>
      </c>
      <c r="M60" s="6">
        <v>0.0</v>
      </c>
      <c r="N60" s="17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6">
        <v>0.0</v>
      </c>
      <c r="M61" s="6">
        <v>1.0</v>
      </c>
      <c r="N61" s="17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6">
        <v>2.0</v>
      </c>
      <c r="M62" s="6">
        <v>0.0</v>
      </c>
      <c r="N62" s="17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6">
        <v>0.0</v>
      </c>
      <c r="M63" s="6">
        <v>1.0</v>
      </c>
      <c r="N63" s="17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6">
        <v>0.0</v>
      </c>
      <c r="M64" s="6">
        <v>1.0</v>
      </c>
      <c r="N64" s="17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6">
        <v>0.0</v>
      </c>
      <c r="M65" s="6">
        <v>1.0</v>
      </c>
      <c r="N65" s="17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6">
        <v>0.0</v>
      </c>
      <c r="M66" s="6">
        <v>2.0</v>
      </c>
      <c r="N66" s="17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6">
        <v>1.0</v>
      </c>
      <c r="M67" s="6">
        <v>2.0</v>
      </c>
      <c r="N67" s="17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6">
        <v>2.0</v>
      </c>
      <c r="M68" s="6">
        <v>2.0</v>
      </c>
      <c r="N68" s="17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6">
        <v>1.0</v>
      </c>
      <c r="M69" s="6">
        <v>2.0</v>
      </c>
      <c r="N69" s="17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6">
        <v>2.0</v>
      </c>
      <c r="M70" s="6">
        <v>2.0</v>
      </c>
      <c r="N70" s="17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6">
        <v>1.0</v>
      </c>
      <c r="M71" s="6">
        <v>1.0</v>
      </c>
      <c r="N71" s="17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6">
        <v>2.0</v>
      </c>
      <c r="M72" s="6">
        <v>2.0</v>
      </c>
      <c r="N72" s="17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6">
        <v>1.0</v>
      </c>
      <c r="M73" s="6">
        <v>2.0</v>
      </c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6">
        <v>2.0</v>
      </c>
      <c r="M74" s="6">
        <v>1.0</v>
      </c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6">
        <v>1.0</v>
      </c>
      <c r="M75" s="6">
        <v>0.0</v>
      </c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6">
        <v>1.0</v>
      </c>
      <c r="M76" s="6">
        <v>1.0</v>
      </c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6">
        <v>1.0</v>
      </c>
      <c r="M77" s="6">
        <v>1.0</v>
      </c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6">
        <v>0.0</v>
      </c>
      <c r="M78" s="6">
        <v>0.0</v>
      </c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6">
        <v>1.0</v>
      </c>
      <c r="M79" s="6">
        <v>1.0</v>
      </c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6">
        <v>2.0</v>
      </c>
      <c r="M80" s="6">
        <v>2.0</v>
      </c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6">
        <v>1.0</v>
      </c>
      <c r="M81" s="6">
        <v>1.0</v>
      </c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6">
        <v>2.0</v>
      </c>
      <c r="M82" s="6">
        <v>2.0</v>
      </c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6">
        <v>1.0</v>
      </c>
      <c r="M83" s="6">
        <v>1.0</v>
      </c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6">
        <v>1.0</v>
      </c>
      <c r="M84" s="6">
        <v>1.0</v>
      </c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6">
        <v>2.0</v>
      </c>
      <c r="M85" s="6">
        <v>2.0</v>
      </c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6">
        <v>2.0</v>
      </c>
      <c r="M86" s="6">
        <v>2.0</v>
      </c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6">
        <v>1.0</v>
      </c>
      <c r="M87" s="6">
        <v>1.0</v>
      </c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6">
        <v>1.0</v>
      </c>
      <c r="M88" s="6">
        <v>2.0</v>
      </c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6">
        <v>2.0</v>
      </c>
      <c r="M89" s="6">
        <v>2.0</v>
      </c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6">
        <v>1.0</v>
      </c>
      <c r="M90" s="6">
        <v>2.0</v>
      </c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6">
        <v>0.0</v>
      </c>
      <c r="M91" s="6">
        <v>2.0</v>
      </c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6">
        <v>0.0</v>
      </c>
      <c r="M92" s="6">
        <v>0.0</v>
      </c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  <c r="AA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6">
        <v>1.0</v>
      </c>
      <c r="M93" s="6">
        <v>0.0</v>
      </c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6">
        <v>1.0</v>
      </c>
      <c r="M94" s="6">
        <v>1.0</v>
      </c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  <c r="AA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6">
        <v>2.0</v>
      </c>
      <c r="M95" s="6">
        <v>2.0</v>
      </c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  <c r="AA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6">
        <v>1.0</v>
      </c>
      <c r="M96" s="6">
        <v>0.0</v>
      </c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  <c r="AA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6">
        <v>2.0</v>
      </c>
      <c r="M97" s="6">
        <v>1.0</v>
      </c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  <c r="AA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6">
        <v>0.0</v>
      </c>
      <c r="M98" s="6">
        <v>1.0</v>
      </c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  <c r="AA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6">
        <v>0.0</v>
      </c>
      <c r="M99" s="6">
        <v>2.0</v>
      </c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  <c r="AA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6">
        <v>0.0</v>
      </c>
      <c r="M100" s="6">
        <v>1.0</v>
      </c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6">
        <v>2.0</v>
      </c>
      <c r="M101" s="6">
        <v>2.0</v>
      </c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  <c r="AA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6">
        <v>0.0</v>
      </c>
      <c r="M102" s="6">
        <v>2.0</v>
      </c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  <c r="AA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6">
        <v>1.0</v>
      </c>
      <c r="M103" s="6">
        <v>1.0</v>
      </c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  <c r="AA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6">
        <v>1.0</v>
      </c>
      <c r="M104" s="6">
        <v>0.0</v>
      </c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6">
        <v>0.0</v>
      </c>
      <c r="M105" s="6">
        <v>0.0</v>
      </c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6">
        <v>1.0</v>
      </c>
      <c r="M106" s="6">
        <v>2.0</v>
      </c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6">
        <v>0.0</v>
      </c>
      <c r="M107" s="6">
        <v>2.0</v>
      </c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6">
        <v>2.0</v>
      </c>
      <c r="M108" s="6">
        <v>2.0</v>
      </c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6">
        <v>2.0</v>
      </c>
      <c r="M109" s="6">
        <v>2.0</v>
      </c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6">
        <v>0.0</v>
      </c>
      <c r="M110" s="6">
        <v>2.0</v>
      </c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6">
        <v>2.0</v>
      </c>
      <c r="M111" s="6">
        <v>2.0</v>
      </c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6">
        <v>1.0</v>
      </c>
      <c r="M112" s="6">
        <v>2.0</v>
      </c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6">
        <v>0.0</v>
      </c>
      <c r="M113" s="6">
        <v>2.0</v>
      </c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6">
        <v>0.0</v>
      </c>
      <c r="M114" s="6">
        <v>1.0</v>
      </c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6">
        <v>0.0</v>
      </c>
      <c r="M115" s="6">
        <v>2.0</v>
      </c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6">
        <v>1.0</v>
      </c>
      <c r="M116" s="6">
        <v>0.0</v>
      </c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6">
        <v>2.0</v>
      </c>
      <c r="M117" s="6">
        <v>2.0</v>
      </c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6">
        <v>1.0</v>
      </c>
      <c r="M118" s="6">
        <v>2.0</v>
      </c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6">
        <v>2.0</v>
      </c>
      <c r="M119" s="6">
        <v>2.0</v>
      </c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6">
        <v>1.0</v>
      </c>
      <c r="M120" s="6">
        <v>1.0</v>
      </c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6">
        <v>1.0</v>
      </c>
      <c r="M121" s="6">
        <v>1.0</v>
      </c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6">
        <v>0.0</v>
      </c>
      <c r="M122" s="6">
        <v>2.0</v>
      </c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6">
        <v>1.0</v>
      </c>
      <c r="M123" s="6">
        <v>1.0</v>
      </c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6">
        <v>1.0</v>
      </c>
      <c r="M124" s="6">
        <v>1.0</v>
      </c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6">
        <v>1.0</v>
      </c>
      <c r="M125" s="6">
        <v>2.0</v>
      </c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6">
        <v>2.0</v>
      </c>
      <c r="M126" s="6">
        <v>1.0</v>
      </c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6">
        <v>1.0</v>
      </c>
      <c r="M127" s="6">
        <v>2.0</v>
      </c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6">
        <v>1.0</v>
      </c>
      <c r="M128" s="6">
        <v>1.0</v>
      </c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6">
        <v>2.0</v>
      </c>
      <c r="M129" s="6">
        <v>1.0</v>
      </c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6">
        <v>2.0</v>
      </c>
      <c r="M130" s="6">
        <v>1.0</v>
      </c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6">
        <v>2.0</v>
      </c>
      <c r="M131" s="6">
        <v>2.0</v>
      </c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6">
        <v>1.0</v>
      </c>
      <c r="M132" s="6">
        <v>1.0</v>
      </c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6">
        <v>0.0</v>
      </c>
      <c r="M133" s="6">
        <v>0.0</v>
      </c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6">
        <v>1.0</v>
      </c>
      <c r="M134" s="6">
        <v>0.0</v>
      </c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6">
        <v>1.0</v>
      </c>
      <c r="M135" s="6">
        <v>2.0</v>
      </c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6">
        <v>0.0</v>
      </c>
      <c r="M136" s="6">
        <v>2.0</v>
      </c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6">
        <v>1.0</v>
      </c>
      <c r="M137" s="6">
        <v>1.0</v>
      </c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  <c r="AA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6">
        <v>2.0</v>
      </c>
      <c r="M138" s="6">
        <v>2.0</v>
      </c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  <c r="AA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6">
        <v>2.0</v>
      </c>
      <c r="M139" s="6">
        <v>2.0</v>
      </c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  <c r="AA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6">
        <v>1.0</v>
      </c>
      <c r="M140" s="6">
        <v>1.0</v>
      </c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  <c r="AA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6">
        <v>0.0</v>
      </c>
      <c r="M141" s="6">
        <v>1.0</v>
      </c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  <c r="AA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6">
        <v>2.0</v>
      </c>
      <c r="M142" s="6">
        <v>2.0</v>
      </c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  <c r="AA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6">
        <v>1.0</v>
      </c>
      <c r="M143" s="6">
        <v>0.0</v>
      </c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  <c r="AA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6">
        <v>2.0</v>
      </c>
      <c r="M144" s="6">
        <v>2.0</v>
      </c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  <c r="AA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6">
        <v>0.0</v>
      </c>
      <c r="M145" s="6">
        <v>0.0</v>
      </c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  <c r="AA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6">
        <v>2.0</v>
      </c>
      <c r="M146" s="6">
        <v>1.0</v>
      </c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  <c r="AA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6">
        <v>1.0</v>
      </c>
      <c r="M147" s="6">
        <v>0.0</v>
      </c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  <c r="AA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6">
        <v>1.0</v>
      </c>
      <c r="M148" s="6">
        <v>1.0</v>
      </c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  <c r="AA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6">
        <v>1.0</v>
      </c>
      <c r="M149" s="6">
        <v>1.0</v>
      </c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  <c r="AA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6">
        <v>2.0</v>
      </c>
      <c r="M150" s="6">
        <v>2.0</v>
      </c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  <c r="AA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6">
        <v>1.0</v>
      </c>
      <c r="M151" s="6">
        <v>1.0</v>
      </c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  <c r="AA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6">
        <v>0.0</v>
      </c>
      <c r="M152" s="6">
        <v>1.0</v>
      </c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  <c r="AA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6">
        <v>2.0</v>
      </c>
      <c r="M153" s="6">
        <v>2.0</v>
      </c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  <c r="AA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6">
        <v>2.0</v>
      </c>
      <c r="M154" s="6">
        <v>2.0</v>
      </c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  <c r="AA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6">
        <v>2.0</v>
      </c>
      <c r="M155" s="6">
        <v>2.0</v>
      </c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  <c r="AA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6">
        <v>1.0</v>
      </c>
      <c r="M156" s="6">
        <v>1.0</v>
      </c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  <c r="AA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6">
        <v>2.0</v>
      </c>
      <c r="M157" s="6">
        <v>2.0</v>
      </c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  <c r="AA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6">
        <v>2.0</v>
      </c>
      <c r="M158" s="6">
        <v>1.0</v>
      </c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  <c r="AA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6">
        <v>0.0</v>
      </c>
      <c r="M159" s="6">
        <v>1.0</v>
      </c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  <c r="AA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6">
        <v>2.0</v>
      </c>
      <c r="M160" s="6">
        <v>0.0</v>
      </c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  <c r="AA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6">
        <v>1.0</v>
      </c>
      <c r="M161" s="6">
        <v>1.0</v>
      </c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  <c r="AA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6">
        <v>2.0</v>
      </c>
      <c r="M162" s="6">
        <v>2.0</v>
      </c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  <c r="AA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6">
        <v>1.0</v>
      </c>
      <c r="M163" s="6">
        <v>0.0</v>
      </c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  <c r="AA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6">
        <v>1.0</v>
      </c>
      <c r="M164" s="6">
        <v>1.0</v>
      </c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  <c r="AA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6">
        <v>1.0</v>
      </c>
      <c r="M165" s="6">
        <v>0.0</v>
      </c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  <c r="AA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6">
        <v>0.0</v>
      </c>
      <c r="M166" s="6">
        <v>2.0</v>
      </c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  <c r="AA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6">
        <v>1.0</v>
      </c>
      <c r="M167" s="6">
        <v>1.0</v>
      </c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  <c r="AA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6">
        <v>0.0</v>
      </c>
      <c r="M168" s="6">
        <v>2.0</v>
      </c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  <c r="AA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6">
        <v>1.0</v>
      </c>
      <c r="M169" s="6">
        <v>1.0</v>
      </c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6">
        <v>2.0</v>
      </c>
      <c r="M170" s="6">
        <v>2.0</v>
      </c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  <c r="AA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6">
        <v>2.0</v>
      </c>
      <c r="M171" s="6">
        <v>1.0</v>
      </c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  <c r="AA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6">
        <v>1.0</v>
      </c>
      <c r="M172" s="6">
        <v>0.0</v>
      </c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  <c r="AA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6">
        <v>0.0</v>
      </c>
      <c r="M173" s="6">
        <v>2.0</v>
      </c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  <c r="AA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6">
        <v>2.0</v>
      </c>
      <c r="M174" s="6">
        <v>2.0</v>
      </c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  <c r="AA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6">
        <v>2.0</v>
      </c>
      <c r="M175" s="6">
        <v>2.0</v>
      </c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  <c r="AA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  <c r="AA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  <c r="AA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  <c r="AA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  <c r="AA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  <c r="AA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  <c r="AA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  <c r="AA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  <c r="AA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  <c r="AA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  <c r="AA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  <c r="AA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  <c r="AA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  <c r="AA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  <c r="AA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  <c r="AA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  <c r="AA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  <c r="AA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  <c r="AA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  <c r="AA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  <c r="AA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  <c r="AA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  <c r="AA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  <c r="AA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  <c r="AA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  <c r="AA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  <c r="AA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  <c r="AA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  <c r="AA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  <c r="AA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  <c r="AA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  <c r="AA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  <c r="AA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  <c r="AA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  <c r="AA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  <c r="AA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  <c r="AA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  <c r="AA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  <c r="AA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  <c r="AA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  <c r="AA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  <c r="AA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  <c r="AA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</row>
    <row r="1001">
      <c r="A1001" s="10"/>
      <c r="B1001" s="10"/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  <c r="AA1001" s="10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